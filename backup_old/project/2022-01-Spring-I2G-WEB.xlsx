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2-01-Spring-I2G-WEB" sheetId="1" r:id="rId5"/>
    <sheet state="visible" name="2022-01-Spring-I2G-STUDENTS" sheetId="2" r:id="rId6"/>
    <sheet state="visible" name="teams students list" sheetId="3" r:id="rId7"/>
    <sheet state="visible" name="PARTNERS + SPONSORS" sheetId="4" r:id="rId8"/>
  </sheets>
  <definedNames/>
  <calcPr/>
</workbook>
</file>

<file path=xl/sharedStrings.xml><?xml version="1.0" encoding="utf-8"?>
<sst xmlns="http://schemas.openxmlformats.org/spreadsheetml/2006/main" count="1029" uniqueCount="388">
  <si>
    <t>Track</t>
  </si>
  <si>
    <t>Order</t>
  </si>
  <si>
    <t>Year-Semester</t>
  </si>
  <si>
    <t>Class</t>
  </si>
  <si>
    <t>Team#</t>
  </si>
  <si>
    <t>Team Name</t>
  </si>
  <si>
    <t>Project Title</t>
  </si>
  <si>
    <t>Organization</t>
  </si>
  <si>
    <t>Industry</t>
  </si>
  <si>
    <t>Abstract</t>
  </si>
  <si>
    <t>Student Names</t>
  </si>
  <si>
    <t>Name: Title</t>
  </si>
  <si>
    <t>2022-01-Spring-CAP1</t>
  </si>
  <si>
    <t>CAP1</t>
  </si>
  <si>
    <t>TeamChester</t>
  </si>
  <si>
    <t>Case Conveyor Speed Optimization</t>
  </si>
  <si>
    <t>Frito Lay</t>
  </si>
  <si>
    <t>Food Processing</t>
  </si>
  <si>
    <t>Frito Lay Modesto is a snack food manufacturing facility, full-service warehouse, and distribution center. Snack foods are made, moved, and stored here before being distributed all over the western states. They recently had a new portion of factory constructed at the end of their conveyor line to handle outgoing shipments and now need the old conveyors that feed into the new section to run at the same speed of 200 feet per minute to allow for picking and replenishment optimization. After looking at a variety of potential solutions our team decided the most effective solution would be to modify existing gear ratios to increase belt speeds.</t>
  </si>
  <si>
    <t>Brandon Lopez, Jacob Glasser, Jose Manuel Rivera Soto, Lorenzo Sebastian, Lukas Terry</t>
  </si>
  <si>
    <t>The Bench Warmers</t>
  </si>
  <si>
    <t>Pressure treated wood disposal</t>
  </si>
  <si>
    <t>Dave Wilson Nursery</t>
  </si>
  <si>
    <t>Agriculture</t>
  </si>
  <si>
    <t>Dave Wilson Nursery uses mixed material potting benches to grow their crop. Over time the decommissioned benches have been stacked in an unused field. The nursery has decided to expand and now the benches need to be removed. Prior to removal the benches need to be dismantled into their base components so that the material may be properly recycled and disposed of. Specifically, the pressure treated wooden legs of each bench need to be removed wholesale before the remaining wood and steel wire mix can be turned into scrap and recycled. Our final design is the Power Saw Press or P.S.P. It is a series of eight circular saws mounted to a scissor lift and housed in a protective shell. When a bench is inserted into the P.S.P. and the door is closed, thereby activating the pressure and magnetic safety sensors, the scissor lift and saws will activate, cutting the pressure treated legs away from the frame safely and efficiently. This will reduce the labor required to remove the surplus of benches by more than 50%, while maintaining the high rate of deconstruction set by the client’s staff. Additionally, we coordinated the disposal of the hazardous material.</t>
  </si>
  <si>
    <t>Chase Bowman, Jose Colon, Rodolfo Lopez Moreno, William Solis Lopez, Zeus Marquez, Erik Trinkle</t>
  </si>
  <si>
    <t>Pallet Jacks</t>
  </si>
  <si>
    <t>Depalletizer Plastic Removal Ergonomic Improvements</t>
  </si>
  <si>
    <t>E&amp;J Gallo Winery</t>
  </si>
  <si>
    <t>E &amp; J Gallo Winery is a family-owned winemaker and major wine distributor, headquartered in Modesto CA, producing millions of cases of wine each year. These cases of wine are moved on tall, bulk glass pallets in the warehouse and wrapped with a thick plastic that needs to be manually removed by the operator. Depending on the height of the pallet, the operator must reach up and bend down to cut the plastic multiple times a day, and this can result in injuries due to cumulative stresses and overstretching. Our team designed a mobile cutter that would remove the need for an operator to cut the plastic by automating the plastic cutting process leaving the operator to simply peel the remaining plastic off. This cutter will be used by the operators to reduce cumulative stress and injury, and over time, save the company money by avoiding and eliminating current injury costs.</t>
  </si>
  <si>
    <t>Chris Buregeya, Emmanuel Nunez, Jose Bravo, Joshua Butler, Veronica Acevedo</t>
  </si>
  <si>
    <t>Bottled Up Engineering</t>
  </si>
  <si>
    <t>50ml Bottle Rapid Draining for Reclaim</t>
  </si>
  <si>
    <t>Opening 50mL bottles by hand is ergonomically undesirable since the small bottle and cap diameters cause hand strain. The E. &amp; J. Gallo Winery spirits plant may reject a significant number of these bottles per hour due to manufacturing defects. As a result, Gallo team members are continuously risking hand strain injuries from opening bottles. Not only is it a health concern, but it is also a slow and tedious process that can harm productivity. In our project, we came up with an ergonomic design that removes the need to manually open and drain the bottles. Our solution will substantially improve the process, with improved ergonomics and faster reclaim times. This solution can be used by Gallo team members in their daily tasks of opening and draining the bottles.</t>
  </si>
  <si>
    <t>Alex Hellewell, Abner Rosas Hurtado, Elisa Gonzales, Fernando Aguilar, Gerardo Garcia</t>
  </si>
  <si>
    <t>Onion Slicers</t>
  </si>
  <si>
    <t>Improved Onion Slicing</t>
  </si>
  <si>
    <t>Sensient Natural Ingredients</t>
  </si>
  <si>
    <t>The client, Sensient Natural Ingredients (SNI), is a food processing company located in Livingston, California. SNI is a producer of onion powder and other dehydrated vegetables, herbs, and spices. After the product is cleaned and sliced, it is dehydrated in-house and then milled. SNI’s main issue is downtime because the slicers are not standardized. Thus, blade maintenance ranges from 6 to 9 hours. This increases their budgetary issues since they slice over 2.0 million raw pounds on a daily basis. Our objective was to design either a new slicer that can be standardized across the factory or design a system that supports the workers on-site to reduce the machine's downtime while maintaining the volume intake of onions. Our team designed a new slicer, Fan Blades, with double-edged blades and a pin within the shaft to make the slicer bi-directional. Therefore, the slicer can continue running for twice the time before it goes under maintenance.</t>
  </si>
  <si>
    <t>Brisa Botello Sanchez, Kevin Moreno-Ruiz, Luz Mascorro Ramirez, Nathan Ibarra, William Preciado</t>
  </si>
  <si>
    <t>Tote Dumping</t>
  </si>
  <si>
    <t>Sensient Natural Ingredients is one of the largest producers of dehydrated onions and garlic in the world. This project is designed to increase the flexibility and efficiency of the repackaging lines. In an effort to do this, an improved sealing system was designed that allows the repackaging line to accept both the fiber drums they are currently using and the cardboard totes that are aimed to be incorporated into the reckpackaging line. Thus, the team created an attachment to modify the tipping and dumping machine to accept either type of container. This included a set of attachments which were linked to a common base on the tipping and dumping machine. This solution allows SNI to transition from dumping drums to totes easily and with minimal downtime.</t>
  </si>
  <si>
    <t>Christopher Vasquez, Esteban Cruz, Jordyn Barat, Kenny Hong, Matthew Vezien</t>
  </si>
  <si>
    <t>FATT</t>
  </si>
  <si>
    <t>Failure Analysis Toolkit</t>
  </si>
  <si>
    <t>Omron</t>
  </si>
  <si>
    <t>Transportation</t>
  </si>
  <si>
    <t>Omron Robotics and Safety Technologies is a leader at the forefront of industrial, mobile, and collaborative robot development. Currently, our client’s process for diagnosing and troubleshooting brake failure is not as efficient or cost-effective as they would like for it to be, thus there are areas of opportunity for improvement. Our team identified an opportunity for improvements and designed a Failure Analysis Toolkit composed of a sensor system targeted to detect common mechanical, electrical, and thermal failures assisting engineers and technicians in the investigation and troubleshooting of failed brakes in Omron Facilities and client locations. The Failure Analysis Toolkit accomplishes this feat by using onboard sensors to measure discrepancies and provides critical sensor read information to the user.</t>
  </si>
  <si>
    <t>Cifriana Mina Dela Cruz, Demitrius Zulevic, Emanuel Rosales Villalobos, Javier Gomez, Jose Serrato, Abrian Villalobos</t>
  </si>
  <si>
    <t>SCARA Calibration Team</t>
  </si>
  <si>
    <t>Fixed robot calibration method</t>
  </si>
  <si>
    <t>Industrial robots require regular calibration in order to fit the industry standard. The SCARA Calibration Team developed a new calibration method for OMRON’s robots. This calibration system was required to calibrate the system within 15 minutes or less to improve accuracy and precision. The team was able to develop a calibration system that included an algorithm and hardware fixture solution that would include Renishaw Ballbar. The ballbar would only detect the data from circular testing if they are circular like geometric errors, positioning instability, and inconsistent feed rates with the use of Autonomous Control Environment interface.</t>
  </si>
  <si>
    <t>Christopher Edmondson, Giovanni Garcia, Gamaliel Ng, Hailey Harkness, Jolene Hoang</t>
  </si>
  <si>
    <t>Life is Grape</t>
  </si>
  <si>
    <t>Winery Hose Transportation</t>
  </si>
  <si>
    <t>E. &amp; J. Gallo Winery is one of the largest family-owned wineries in the world. The winery, which is located in Livingston, engages in a variety of wine processing activities, including pumping wine through long, heavy industrial hoses that are constantly transported between different areas. The goal was to cut hose transportation labor hours while not increasing safety risks. Currently, the hoses are transported by having two employees carry each end of the hose on their shoulder. Our team created a two-cart model in which the carts are attached to the hose at two points: one at the hose's end and another near the middle. To use this tool, the worker simply secures the two carts to the hose with the attached safety straps before carrying the other end of the hose on their shoulder as usual. The number of employees required to transport a hose is reduced from two to one using this tool, without increasing the current safety risks.</t>
  </si>
  <si>
    <t>Amy He, Eduardo Bautista, Erick Mercado, Gladys Santana, Misael Miranda</t>
  </si>
  <si>
    <t>Weight Watchers</t>
  </si>
  <si>
    <t>AMR Load Detection</t>
  </si>
  <si>
    <t>Omron Adept Robotics and Scientific Technologies is an automation technology development company located in Pleasanton, CA. Omron specializes in developing new mechanics and software for a broad utility of robots, including the main focus for our project: autonomous mobile robots (AMR) with load detection for warehouse maneuverings. The goal of the project is to have Omron’s AMR model LD-250 detect load and notify clients when the loaded weight is outside of its safe operating range, therefore, creating a new safety parameter and reducing the need for maintenance as a result of overloading. Using detectors and runtime data extracted from the AMR we developed a function for the load tolerance of the robot. We then constructed a Matlab code, filtering values of fluctuating current and acceleration when being overloaded and adjusting our calculations to increase percent of precision. We calculated the accuracy of the code by comparing it to the physical load on the robot. This code will provide a new safety measure in the AMR as well as help Omron’s clients learn how to utilize the AMR to optimize and automate their warehouse maneuvering needs.</t>
  </si>
  <si>
    <t>Andres Soto-Barajas, Dat Nguyen, Josue Mendoza, Kelly Thai, Sterling Ayers</t>
  </si>
  <si>
    <t>O2</t>
  </si>
  <si>
    <t>Oxygen Cage Sensors &amp; Air</t>
  </si>
  <si>
    <t>Klingborg Enterprises</t>
  </si>
  <si>
    <t>Health Care</t>
  </si>
  <si>
    <t>Hyperbaric oxygen therapy chambers are used in many veterinary practices. When an animal is placed in the oxygen chamber, the concentration of oxygen can be doubled in order to help animals in need. Some health benefits can be seen from reducing swelling, controlling infection, and improving healing processes. Jon Klingborg, a veterinarian at Valley Animal Hospital in Merced, has implemented this hyperbaric oxygen technology into his practice and is working with college students from the University of California, Merced to make a more affordable chamber so more veterinarians can use it in their practice. The one in development contains a hydrophobic mesh cover to enclose the cage and a multisensor device to measure the environment. In this project, we worked on the major components that make up the multi sensor display.</t>
  </si>
  <si>
    <t>Alondra Zamora, Emily Tran, Kamen Grozev, Nathan Da, Timothy Su</t>
  </si>
  <si>
    <t>Team burier</t>
  </si>
  <si>
    <t>Irrigation Line Burier</t>
  </si>
  <si>
    <t>Gemperle Orchards</t>
  </si>
  <si>
    <t>Gemperle Orchards is a family-owned orchard that principally produces almonds in the central valley. They have requested assistance with what would otherwise be the tedious process of placing an entire irrigation line underground. Environmental factors pose a threat to the irrigation line in the form of extreme heat and damage from critters. Our team's project was to create a tractor attachment that can dig the ditch and move the irrigation line into it in one single pass (a second pass using a blade to compact the dirt is also needed). After designing and proposing our solution to the client, we began to source materials to manufacture a prototype. Currently, this tool is used for this client, however, it is extendable to many farms and can be adapted to the client’s needs depending on their soil, equipment, and wants.</t>
  </si>
  <si>
    <t>David Soto, Eric Angel, Juan Martinez, Joyce Saltzherr, Leonardo Vargas Vazquez</t>
  </si>
  <si>
    <t>Wastewater Warriors</t>
  </si>
  <si>
    <t>Waste Water Treatment Equalization Tanks Optimization</t>
  </si>
  <si>
    <t>Land O' Lakes</t>
  </si>
  <si>
    <t>Land O Lakes is a Fortune 500 company with deep roots in the dairy industry, producing a variety of dairy products for the entire country, with the Tulare plant focusing on milk powders and butter products. Currently, the LOL Tulare plant sends their wastewater  to an external treatment plant that charges them for the amount of flow into the plant, the Biological Oxygen Demand (BOD),  and Total Suspended Solids (TSS). They are also charged fines if the pH of the waste water is below 5 or above 11. Our team designed a system to reduce the biological oxygen demand and total suspended solids present in the wastewater through the implementation of an aeration pump mechanism. This system will be installed on the outside of the two equalization tanks and will pump atmospheric air into the tanks to allow all of the solids to rise to the top and aerate. Implementation of this pump mechanism is estimated to reduce BOD and TSS costs by roughly 1-5%.</t>
  </si>
  <si>
    <t>Boston Williams, Dewayne Broome, Gerardo Fuentes, Ismael Gonzalez Almazan, Muhammad Ahmed</t>
  </si>
  <si>
    <t>Butter Recovery</t>
  </si>
  <si>
    <t>Butter recovery</t>
  </si>
  <si>
    <t>Land o' Lakes is a Fortune 500 company with roots in the dairy industry, producing a variety of dairy products for the entire country. The Tulare plant, the location of team 114's focus, is centered on the production of milk powders and butter products. Team 114 was tasked with reducing butter loss and in light of this request, a pump and a stopper were designed to help minimize yield loss as a response to the issue. Team 114 has approached resolving the problem by testing its concepts through simulated methods to improve production efficiency and maximize the reduction of yield loss.</t>
  </si>
  <si>
    <t>Eduardo Mauricio Gonzalez, Isaiah Ramos, Jason Brosman, Kimberly Parra, Luisito Cruz</t>
  </si>
  <si>
    <t>Team Beta</t>
  </si>
  <si>
    <t>Adjustable Bike Seat Extension</t>
  </si>
  <si>
    <t>UC Merced - The Pi Shop</t>
  </si>
  <si>
    <t>Sports</t>
  </si>
  <si>
    <t>This project was conceived for a new startup venture, in partnership with UC Merced Innovate to Grow and the product incubator Pi Shop in Fresno.  Bikers might encounter an obstacle that would require them to position their center of mass behind and lower than the bicycle seat, or else they could flip over the handlebars.  This risk is higher on steeper terrain. We designed an attachable bike seat that pads and supports bikers when they are in this lower position and trying to regain their seating position. This design also allows for adjustment of the seat angle during a ride. We produced a prototype that will be tested for consumer acceptance, to see if the product is viable for market production.</t>
  </si>
  <si>
    <t>Angel Andrade Rodriguez, Ambrose Liu, Claudette Marikta, Eli Roos, Umar Shaheed</t>
  </si>
  <si>
    <t>Pigeon Mitigators</t>
  </si>
  <si>
    <t>Eco-Friendly Resolution for Stations and System Facilities: Pigeon Mitigation</t>
  </si>
  <si>
    <t>BART</t>
  </si>
  <si>
    <t>Bay Area Rapid Transit (BART), like many public areas, faces the problem of having a considerable amount of pigeons. Due to their nature, pigeons leave feces behind, nest, roost, and die at these BART stations; because of this, the stations require extra maintenance from the workers to conserve a pleasant and safe environment. Furthermore, to keep the stations clean, there is a need to allocate extra funds for these workers and the tools needed. Keeping the effective areas clean will result in financial earnings for the BART stations while creating a delightful eco friendly environment. As a team, we were tasked with reducing the amount of pigeon presence in the stations. The solution(s) must be humane and environmentally friendly for the daily commuters and wildlife. After visiting the location, our team has developed two passive solutions to help the birds avoid areas of interest. The first solution is targeted to cover nesting areas with Acrylonitrile Butadiene Styrene (ABS) 3D-printed covers. The second solution is targeted for signages; we assembled and designed a rotating bearing that will provide ledge or wire mitigation to keep the birds from landing.</t>
  </si>
  <si>
    <t>Alexander Lau, David Mendoza Bautista, Karla Ayala Avalos, Misaki Cramer, Nelson Cha</t>
  </si>
  <si>
    <t>Robotic Plants</t>
  </si>
  <si>
    <t>Empty Tray Palletizing System</t>
  </si>
  <si>
    <t>California Transplants</t>
  </si>
  <si>
    <t>California Transplants is a large scale vegetable seedling operation based in Newman, CA. California Transplants is aimed at growing high-quality vegetable seedlings with a limited turnaround time. Time and labor are crucial components to the company and industry during the peak seasons of spring and summer. The empty trays that return after delivery to farmers must be cleaned and prepped for growing future seedlings to continue the cycle again. Team 117, the Robotic Plants, aided California Transplants with a semi-automatic empty tray palletizing system in organizing and preparing the returned trays for the upcoming cycles of use.  This will enable California Transplants to reallocate their workforce on more crucial tasks at the facility.</t>
  </si>
  <si>
    <t>Amiel Carl Sabile, Eduardo Cuevas, Philana Ng, Romeo Marroquin Ajcac, Saigeetha Bhaskar</t>
  </si>
  <si>
    <t>Welding Defenders</t>
  </si>
  <si>
    <t>Improvements of Welding Efficiency and Safety</t>
  </si>
  <si>
    <t>Laird Manufacturing</t>
  </si>
  <si>
    <t>Laird Manufacturing is a large manufacturing company that specializes in cattle feeding equipment. The problem Laird is facing is not having a sufficient number of workers to manufacture products. Our project was to find a way to improve productivity. We, the Welding Defenders, have designed a semi-autonomous cart to weld a 2 hour seam onto an auger flight. The cart we built will require only to be set up and removed, so that the parts are welded autonomously, and the welder can also manage manufacturing of other products, thus increasing productivity.</t>
  </si>
  <si>
    <t>Adan Guevara, Dylan Chiriff, Melissa Aviles-Aleman, Marlo Gamez, Victor Ashaolu</t>
  </si>
  <si>
    <t>New Heights</t>
  </si>
  <si>
    <t>E-sort Line Ladder in Hand Sort Room</t>
  </si>
  <si>
    <t>Olam</t>
  </si>
  <si>
    <t>Hughson Nut Incorporated is an almond producer and distributor under Olam International that generates $17 million in revenue and produces almonds in the millions of pounds per year. During the shipping process, almonds must be hand sorted from conveyor belts that are fed by raised distributors. Workers must currently use a ladder to climb to the elevation needed to adjust the flow levels in the distributors. This presents a risk of injury due to the height, ladder stability, and slick surfaces caused by oils from almond processing.  To avoid and mitigate this as much as possible, we have proposed the construction of a stable platform with railings and ample treaded surface area to move around on. The platform was designed using OSHA guidelines for elevated platforms and stairs. Testing of the design via SOLIDWORKS Simulation was conducted to ensure the design meets our basic safety criteria. This involved conducting a static loading test, a vibration frequency test, and a component fatigue test. Upon future implementation of our solution, we expect an increase in worker safety, and a subsequent decrease in worker injuries.</t>
  </si>
  <si>
    <t>Andrea Duque, Gregory Elcombe, Lidia Haile, Paxton Kounlavouth, Sebastian Vazquez</t>
  </si>
  <si>
    <t>Team Nuts</t>
  </si>
  <si>
    <t>Roaster Floor Sweep</t>
  </si>
  <si>
    <t>Hughson Nut Inc, a subsidiary of Olam Food Ingredients, is one of the largest almond and macadamia nut packers which produces a full line of almond products. Our client is the Leedom location and is facing high product loss which results in $250,000 a year in profit loss. Our client suffers from nuts falling between conveyor belt transfer, nuts being stuck between belt and side railings, oils from the macadamia accumulate that captures nuts and drags it underneath the conveyor belt which is non-consumable. Lastly, high impact velocity from the  belt transfer is too fast causing the nuts to bounce off of the belt and onto the floor.  Our team designed and implemented new attachments, a roller support and  a ramp extension with a squeegee attachment, onto the existing conveyor belt to prevent product loss. The roller support aided in the conveyor belt slack to prevent nuts from falling in between the belt and the side railings. The ramp extension allowed nuts to fall onto the conveyor belt much softer. Lastly, the squeegee eliminated all oil accumulation to prevent product loss. Our projected goal is to save 80% of all products that equates to $200,000 a year in profit gain.</t>
  </si>
  <si>
    <t>Donald Grondin, Jon Sasaki, Robert Benson, Raymon Cachola, Robert Cespedes</t>
  </si>
  <si>
    <t>DICE</t>
  </si>
  <si>
    <t>Dice Line Ladder Use at the Metal Detector</t>
  </si>
  <si>
    <t>The Hughson Nut, Inc. Olam Group company has three facilities in the Central Valley. Olam company processes Almonds and Macadamias for the purpose of manufacturing and consumer use. We worked with the Leedom Road facility which focuses on Consumer-Packaged Goods, where they process over 80 million pounds of product per year. In this facility, employees are required to test the metal detectors in the dice line in order to ensure that the system is functioning. This is done by an employee using an A-frame ladder to reach the 8ft overhead conveyor belt. However, using the ladder is a safety hazard as the worker could fall from it, injuring themselves. Considering the fact that these tests occur every 2 hours, with three samples introduced for 2 system, this is a very real possibility . To avoid the workers using the A-frame ladder we have designed an inclined conveyor belt system that will carry the metal samples up and onto the metal detector line, while allowing the worker to remain on floor level.  Our conveyor system will be mounted onto the frame of their system to minimize external space usage.</t>
  </si>
  <si>
    <t>Andy Valle, Justin Reyes, Leslye Gonzalez, Michael Difrieri, Paul Arana</t>
  </si>
  <si>
    <t>Team IMProve</t>
  </si>
  <si>
    <t>Improved Moisture Measurement and Control in Pomace Drying Operations</t>
  </si>
  <si>
    <t>The Morning Star Company</t>
  </si>
  <si>
    <t>The MorningStar Company is the global market leader in tomato processing, where tomato skins and seeds are dried and made into pomace, which is then used as an ingredient in dog food. Our project addresses the issue of efficiency in the drying operations. Current moisture measurements before and after drying are taken manually and the dryer temperature is adjusted per batch, leading to inconsistencies both in undersampling and in taking periodic measurements. We decided to automate the moisture measurement process via an in line setup, where the pomace could be measured in real time before and after reaching the dryer. We chose a set of moisture sensors and identified areas appropriate for their installation. To begin testing, we trained a machine learning model that simulated the performance of the sensors. After basing it off data from the previous season, this model can be used by our client to predict the sensors’ performance by referencing our written guide on the program. Upon implementation of our system, our client will save money by avoiding shipment of overdried pomace, and automate their current methods of moisture measurement to produce accurate and timely values.</t>
  </si>
  <si>
    <t>Ahmaree Sanders, Michele Campbell, Noah De Jesus, Oluwatosin Ajetunmobi, Sorina Munteanu</t>
  </si>
  <si>
    <t>Dehydrating Tomato Halves</t>
  </si>
  <si>
    <t>Dehydrating Tomato Halves Improvement</t>
  </si>
  <si>
    <t>The Morning Star Company is a California Central Valley business focused on processing tomatoes.  In addition to making bulk tomato paste, bulk diced tomatoes and canned tomato products, Morning Star also owns Valley Sun Products, the world's largest producer of sun-dried tomato products.  Morning Star is exploring alternative methods of drying tomatoes with the ultimate goal of reducing the cost of manufacturing.  One potential solution is to use a kiln dehydrator that dries the tomatoes to half of their original moisture content, followed by finish-drying in the sun.  Our project was to use a simulation software to model the air flow and humidity within the dehydrator chamber, and to find the optimal conditions of the dehydrator. Our team designed a 2D version of the dehydrator and simulated the air flow as well as heat transfer within the dehydrator under optimal conditions that do not affect the qualities of the final product, dehydrated tomatoes.</t>
  </si>
  <si>
    <t>Alexi Chavez, Aaron Marenco, Jesus Carreno Nunez, Mason Moraga, Nicole Jae Olandria</t>
  </si>
  <si>
    <t>Steam Team</t>
  </si>
  <si>
    <t>Alternative to Steam Ejector to Create Vacuum in Evaporation Process</t>
  </si>
  <si>
    <t>The Morning Star Company provides 40% of domestic tomato products and accounts for over 30% of California’s processing tomato production. Tomato paste is created in a multiple effect evaporation process that includes heat exchangers to indirectly heat the tomato juice, and steam ejectors to create a vacuum, which then creates the flow of steam. In order for operations to run smoothly throughout the season, steam ejectors are used to create and maintain a vacuum during the tomato paste evaporation process. During this process, a large amount of steam is currently exhausted into the atmosphere. This steam loss translates to both efficiency and monetary losses. After an in depth analysis of the problem and possible solutions, our team’s final design consists of pipelines that will direct the vented steam into an accumulation tank and into existing pipelines so that the steam can instead be repurposed back into the system for other heating uses.</t>
  </si>
  <si>
    <t>Alyssa Arntzen, Daniel Alvizures, Francisco Alvarez Rodriguez, Marvin Prieto, Michael Rodriguez</t>
  </si>
  <si>
    <t>Aquatic Solutions</t>
  </si>
  <si>
    <t>Turbidity Measurement Tool for Nursery</t>
  </si>
  <si>
    <t>Duarte Nursery</t>
  </si>
  <si>
    <t>Turbidity is the number of total suspended solid (TSS) samples in water droplets. In a greenhouse, turbidity becomes a problem when it rises too high because the condensed solids can harm growing plants. Our client, Duarte Nursery, is a family-owned and operated nursery located in Hughson, CA, and they are the largest permanent crops nursery in the United States. Duarte Nursery utilizes high-pressure nozzles to produce fog in their greenhouses and controlling the amount of fog is especially important in their operations because there may exist high levels of turbidity. We designed the ‘turbidity measurement tool’, which is a device that measures the number of TSS samples in the fog across a greenhouse using infrared light beams. By implementing the principle of light backscattering, the tool was used to provide fast and accurate turbidity measurements in a local area of a greenhouse using a calibrated turbidity sensor. Our tool shall be used by staff working at Duarte Nursery to improve the efficiency of their agricultural operations.</t>
  </si>
  <si>
    <t>Andrew Lai, Alejandro Sanchez, Isha Saini, Jason Ngo, Simranpreet Kaur</t>
  </si>
  <si>
    <t>HydraControl</t>
  </si>
  <si>
    <t>Irrigation by Plant Weight for Containerized Nursery</t>
  </si>
  <si>
    <t>Duarte Nursery is a farming company with a long history of innovative growing methods. Duarte tasked our team with finding a manual, user-friendly method of tracking the water depletion in containerized plants and then facilitate the transmission of this data to the nursery’s database to optimize water use. Our team’s designed a system based on strategically placed load cells which will allow the client to examine the water depletion trends over time as water is processed by the plants. The farmers will then be notified of precise areas of the nursery that require irrigation.</t>
  </si>
  <si>
    <t>Bobak Peyman, Joseph Steffan, Lance Nua, Michael Portillo, Yekaterina Zhezherya</t>
  </si>
  <si>
    <t>Tomato Diversion Control</t>
  </si>
  <si>
    <t>Tomato Bins Diversion Control</t>
  </si>
  <si>
    <t>Neil Jones Foods (TomaTek)</t>
  </si>
  <si>
    <t>Neil Jones Food’s TomaTek facility in Firebaugh, California dices, arranges and packages hundreds of tons of fresh tomatoes per day, every day for the duration of the season. During this twenty-four hour cycle, tomatoes are running down conveyor belts at high speeds and often need to be diverted manually into various directions to allow for cleaning of dicers and prevent pile ups. This process results in loss of tomatoes and requires an employee to run down to the conveyors to fix it, which is inefficient. In order to improve TomaTek’s current means of tomato diversion, our team has developed a system of modules which attach to the intersections of the conveyor lines. This system utilizes pneumatic cylinders to drop gates in different orientations to divert tomatoes into desired directions.</t>
  </si>
  <si>
    <t>Adrian Alvarez-Gil, Andrea Meza, Alexis Ortiz-Vasquez, Hector Flores, Nicholas Serrano</t>
  </si>
  <si>
    <t>Can Detect</t>
  </si>
  <si>
    <t>Can damage detection and reject</t>
  </si>
  <si>
    <t>Neil Jones Foods (San Benito Foods)</t>
  </si>
  <si>
    <t>Neil Jones Foods operates out of Hollister, canning tomato products for use in restaurants, schools, and more throughout the US. The machine that seals the lids on the final product occasionally malfunctions, resulting in cans with improperly sealed lids. These bad cans result in downtime in the system, reduced production, and ultimately lost revenue. Our team has designed a detection system to identify the problematic cans and signal a rejection system to remove them from the processing line. The detection system consists of a camera and low power computer to capture an image of the can. The image is classified through a machine learning model trained by the team. From prototype testing, the cans were consistently and successfully identified.</t>
  </si>
  <si>
    <t>Daniel Miliate, Junyi Xu, Manuel Arellano, Paul Andrae Ysmael Conanan, Ruben Ambriz</t>
  </si>
  <si>
    <t>Innovate to Growbot</t>
  </si>
  <si>
    <t>Design and Development of an End-Effector for Collecting Leaf Spectral Data</t>
  </si>
  <si>
    <t>IoT4Ag</t>
  </si>
  <si>
    <t>IoT4Ag is an NSF Engineering Research Center that strives to ensure food, energy, and water security through advancements in agricultural technology. Early detection of plant stresses can help growers maximize their yield by preventing crop loss. Team Innovate to Growbot has designed an end-effector capable of taking close proximity spectral data, for use on a robotic platform. This autonomously gathered data will provide early detection of plant stresses without the cost associated with manual data collection.</t>
  </si>
  <si>
    <t>Aidan Ross, Colin Cox, Christopher Jimenez Ortega, Elgin Datcher, Kevin Johnson, Houston Dowen</t>
  </si>
  <si>
    <t>The Green Machine</t>
  </si>
  <si>
    <t>Biochar Stabilization</t>
  </si>
  <si>
    <t>Corigin Solutions</t>
  </si>
  <si>
    <t>Materials</t>
  </si>
  <si>
    <t>Corigin Solutions, Inc. is a company based in Merced, CA, where they manufacture organic farming products to increase crop yield and margins. The problem they are facing is that one of their products, Corichar, a Biochar, is prone to smoldering caused by exothermic surface oxidation. The Capstone team created an apparatus to stabilize the biochar by quenching it with mist. The apparatus consists of a steel duct with spraying nozzles attached around the circumference. The product has been installed in the company's existing system.</t>
  </si>
  <si>
    <t>Anthony Tsang, Bryan Powell, Brandon Rodriguez, Justin Zepeda, Kevin Cambero</t>
  </si>
  <si>
    <t>2022-01-Spring-CSE</t>
  </si>
  <si>
    <t>CSE</t>
  </si>
  <si>
    <t>Team Sunshine</t>
  </si>
  <si>
    <t>Solar Industrial Process Heating - Cloud Access and Remote Control</t>
  </si>
  <si>
    <t>Winston Cone Optics</t>
  </si>
  <si>
    <t>Energy</t>
  </si>
  <si>
    <t>Winston Cone Optics (WCO) is a company that focuses on the development of non-imaging optics. They are creating solar powered evaporators and solar coolers for a variety of industrial uses. They currently log solar thermal data with a commercial tool, to ensure their equipment is safely operating. They wish to transition towards a more cost-effective remote-data logger. The current logging technology is cost prohibitive for large scale deployment. Our team built a remote data-logger using the inexpensive Arduino, to reduce unit costs and increase potential adoption of their product with local businesses.</t>
  </si>
  <si>
    <t>Ghi-Hoang Barretto, Fizan Khan, Ismael Figueroa-Ramirez, Maximiliano Coraza</t>
  </si>
  <si>
    <t>Team Optics</t>
  </si>
  <si>
    <t>Winston Cone Optics (WCO) is a startup company spinning out solar thermal technologies developed at UC Merced. Their business is the generation of renewable solar process heat, the likes of which can replace fossil fuel based heating systems. WCO currently logs data and operates these systems in the lab,  and wants to move to remote logging and operation with a phone or web app. The team built a data logging software using Arduino technology that reads, formats, and displays data onto a web app.</t>
  </si>
  <si>
    <t>Harjot Grewal, Andy Hernandez, Austin Myhre, Eric Solorio, Navroop Khangura</t>
  </si>
  <si>
    <t>Blue Resonance</t>
  </si>
  <si>
    <t>Optimal Production Scheduler</t>
  </si>
  <si>
    <t>Sweep Energy</t>
  </si>
  <si>
    <t>In the face of large market demand, manufacturing firms across the country are under intense pressure to limit downtime and keep manufacturing delays minimal. Improved manufacturing efficiency through smart scheduling of resources aids a firm's position within a competitive marketplace and minimizes cost. Sweep is a company that strives to solve and optimize equipment efficiency using a data-driven approach. Team Blue Resonance has developed a program utilizing the SweepAPI and the Sweep manufacturing programming language to address this problem by creating optimal and automated production schedules for clients.</t>
  </si>
  <si>
    <t>Dale Alabastro, Abdias Tellez Benitez, Frank Olotu, Julian Grado</t>
  </si>
  <si>
    <t>Big Precision</t>
  </si>
  <si>
    <t>Sweep helps organizations gain a deeper understanding of their data, through automated data workflows to help uncover insights at a real-time pace. Given the ever-increasing demand to reduce manufacturing downtime, a production scheduler that is able to limit inefficiencies is an important tool to have. Currently, Sweep does not have an optimal production scheduler for optimizing production capability to effectively manufacture physical products on time. Big Precision has devised a robust algorithm which optimally schedules a given list of required tasks and the required resources to manufacture products. The team also developed both a command-line terminal application and a web application which uses the algorithm to generate the optimal schedule for manufacturing the products on time.</t>
  </si>
  <si>
    <t>Shawn Duong, Baljot Singh, Kenny Jung, Nathan Vasquez, Peter Mendoza</t>
  </si>
  <si>
    <t>The Three Musketeers</t>
  </si>
  <si>
    <t>Inventory Management Engine</t>
  </si>
  <si>
    <t>Sweep designs and manufactures industrial wireless meters and Big data workflow software for real-time equipment monitoring. They recently launched SweepAPI, a cloud-based data gathering platform that allows storing and analyzing time-series data. The project goal was to provide warehouse workers with an easy tool to track products, retrieve product data and adjust the parameters. Our team has developed two applications that work jointly to solve that problem: a web application that provides a user-friendly interface and a WebSocket API that processes and stores data. The back-end API manages client connections and handles inventory data. The app can send and receive stream data from Sweep API and convert it into a more intuitive format of products that various front-end applications can utilize. The API allows clients to authorize, request, or update organizations, directories, and streams. The user-friendly and responsive front-end application transmits data to and from the back-end API via WebSockets. Users of the application can authorize, select organizations, and request product data by barcode id, while managers can also add, edit, and delete products.</t>
  </si>
  <si>
    <t>Isaac Perez, Michael Pisman, Salvador Ruiz-Ramirez</t>
  </si>
  <si>
    <t>House Cleaning</t>
  </si>
  <si>
    <t>Sweep helps organizations gain a deeper understanding of their data, allowing for more efficient decision making. They automate data workflows to help you uncover insights at a real-time pace. For large manufacturing businesses, managing an inventory can be difficult and a lack of insight often leads to downtime which decreases overall productivity. Team 306, House Cleaning, created a web application that acts as an inventory management engine, which is a user friendly interface that visualizes a company's inventory allowing users to track important metrics on inventory items like quantity and type. The items within that inventory are then sent as data to the SweepAPI  which takes care of storage and management within their own database.</t>
  </si>
  <si>
    <t>Charison Gill-Branion, Angel Jaimez, Jose Ochoa-Miranda, Omar Ramos-Correa, Samish Kavoori</t>
  </si>
  <si>
    <t>Tree2Tree</t>
  </si>
  <si>
    <t>Automated Inventory System of Planted Trees in a Farm</t>
  </si>
  <si>
    <t>Gemperle Family Farms</t>
  </si>
  <si>
    <t>Gemperle Family Farms is a family owned and operated farm, currently relying on manual labor to count and locate planted trees after the delivery from a nursery.  Team Tree2Tree was tasked with automating the process to reduce labor costs and increase accuracy. We developed a vision-based system utilizing Amazon Rekognition and built a machine learning model that detects trees through custom training labels. The software will be able to count and display tree data onto our web application, where users are able to see the count and relative location of the trees in a simulated map.</t>
  </si>
  <si>
    <t>Kenan Hurem, Adrian Serrano, Alann Tapia, Leandro Olmos, Xavier Ybarra</t>
  </si>
  <si>
    <t>Tree 08</t>
  </si>
  <si>
    <t>Farms take inventory of thousands of trees across hundreds of acres by manually counting and measuring them. This process is very labor-intensive and repetitive. Innovate to Grow saw this problem as an opportunity. So, with the help of Gemperle Family Farms, team Tree 08 has laid the groundwork for automating this labor by creating a web app that detects and organizes data about trees from video and which we can extend to work with a drone or robot.</t>
  </si>
  <si>
    <t>Darshwak Dhami, Grant Lewandowski, Jose Magana, Marianela Garcia Mijango, Marcus Solomon</t>
  </si>
  <si>
    <t>Swole Autobots</t>
  </si>
  <si>
    <t>Automation of Visual Inspection</t>
  </si>
  <si>
    <t>A good product is known for the excellence in manufacturing to create a flawless product. UC Merced gave us an opportunity to meet the global leader in Industrial Automation- OMRON: A company that believes in :Innovation driven by social needs through automation to empower people.: Our team, Swole Autobots collaborated with the manufacturing team at Omron to automate the visual inspection process for Laser Safety Scanner OS32C. We provided an application to detect defects in their OS32C camera so that the final inspection process could be automated to reduce human error. This provides OMRON with more consistent and higher-quality products for its customers.</t>
  </si>
  <si>
    <t>Dani Bitar, Alex Lee, Dillon Marquard, Jessie Herrera, Lorenzo Scaturchio</t>
  </si>
  <si>
    <t>SZL</t>
  </si>
  <si>
    <t>Omron Robotics and Safety Technologies, Inc. (ORT) is a technology development company in the field of manufacturing industrial robots that strives to improve lives and contribute to a better society. Currently, Omron has an inspector review 50-60 parts a day. Team SZL created an autonomous solution with off-the-shelf products and created an image processing program that detects defects autonomously through an off-line application. In turn, this will help eliminate error and reduce time through an autonomous solution.</t>
  </si>
  <si>
    <t>Neida Alonso, Jatnael Montes, Lucas Tran, Richard Hernandez-Hernandez, Sergio Chairez</t>
  </si>
  <si>
    <t>Chester's Angels</t>
  </si>
  <si>
    <t>Predictive maintenance dashboard for fixed robots</t>
  </si>
  <si>
    <t>Omron, a leader in robotic automation, tasked us with creating an application that can use sensor data received from a robot to algorithmically determine if the robot needs or will soon need maintenance. The application we developed represents the front end of this process designed to interact with a database where this log data is stored, process that data, and then present the results to the end-user via our application. Our predictive algorithm will use linear extrapolation to compare the sensor data from a robot to predefined limits on those statistics to detect if the robot currently requires maintenance or will within the next 24 hours.</t>
  </si>
  <si>
    <t>Shivneel Chand, Chester Yang, Duy Do, Matthew Mengell, Nicholas Manzano</t>
  </si>
  <si>
    <t>Hummingbird  Robotics</t>
  </si>
  <si>
    <t>As Requested by OMRON, a leader in Consumer Electronics and Manufacturing Robotics, the Hummingbird Robotics team developed a Predictive Maintenance Dashboard to help ameliorate revenue loss due to unexpected maintenance-related downtime.  The Dashboard aims to predict immediate and future malfunctions by analyzing data received from fixed non-mobile robots. The Prediction algorithm uses two models. The first is a simple linear model that continuously monitors robot parameters to be in operational ranges. The second is an Autoregressive Integrated Moving Average (ARIMA) model that aims to predict future breakdowns based on previously collected data.</t>
  </si>
  <si>
    <t>Nicholas Clifford, Alberto Valle, Connor Loo, Ezequiel Cuevas, Marthen Dominic Nodado</t>
  </si>
  <si>
    <t>The Coolers</t>
  </si>
  <si>
    <t>To Pull or Not to Pull</t>
  </si>
  <si>
    <t>US Cold Storage</t>
  </si>
  <si>
    <t>The United States Cold Storage is a company that provides third-party logistics for perishable foods by arranging the transportation of a customer’s freight with import/export services. The United States Cold Storage has requested the team to create an ETA service that can provide a real-time distance of a trucker’s location with respect to their various facilities in order to reduce dock congestion. The team has developed a web application in which the truckers can send their ETA and any important information to an administrator application for the supervisors to view.</t>
  </si>
  <si>
    <t>Mauricio Alvarez Leon, Arshdeep Chauhan, Ivan Marquez, Zhenyu Peng</t>
  </si>
  <si>
    <t>T-squared (T^2)</t>
  </si>
  <si>
    <t>Kirankumar Ashokkumar, Hannah Joyce Villasin, Michael Lara, Mahodarini Nyalakonda, Sean Li</t>
  </si>
  <si>
    <t>Drop Table</t>
  </si>
  <si>
    <t>Constructing Composite Time Ranges for a Search</t>
  </si>
  <si>
    <t>Veracruz Ventures</t>
  </si>
  <si>
    <t>Education</t>
  </si>
  <si>
    <t>Veracruz Ventures is a Smart Farm startup based in Portugal, interested in applying and developing cutting-edge technology. The team was tasked with creating a solution that would ease the process of constructing a database search involving multiple contiguous time ranges. With the use of modern technologies such as NodeJS, React, and PostgreSQL, the team was able to create a web application that facilitated this process through a clear and intuitive user interface. The application allows for manual entry of time ranges as well as time adjustments through a range slider.</t>
  </si>
  <si>
    <t>Yuxi Chen, Amy Lau, Anthony Ricardo Wright, Jason Crawford, Jophiel Nino Novoa</t>
  </si>
  <si>
    <t>Time Wizards</t>
  </si>
  <si>
    <t>Did you ever try to search through multiple ranges of time in your mailing list, or in a database? You may have noticed the waste of time that comes from redoing the search for each of those ranges! Our sponsors for Innovate to Grow, Veracruz.Ventures, a Portugal based smart farm startup, certainly have, so our team created an app to construct, save, and edit composite time ranges in a convenient way. The app is designed to help users by searching in multiple non-contiguous time ranges, including the option of saving, copying and pasting a pre-formatted string with the Boolean search operations.</t>
  </si>
  <si>
    <t>Prateek Datla, Anooj Vadodkar, Brian Madrigal, Matthew Felix, Ta Jour Harris</t>
  </si>
  <si>
    <t>Veracoders</t>
  </si>
  <si>
    <t>Constructing Composite Geographical Areas for a Search</t>
  </si>
  <si>
    <t>Veracruz Ventures is a Smart Farm startup based in Portugal, interested in applying and developing cutting-edge technology.  Veracruz supports the Innovate to Grow program to develop data management and search modules applicable to Ag and beyond.  Our team goal was to allow users to search for points of interest within predefined areas on a map, rather than the whole visible map.  The team created a web application using Python Flask with a Google Maps Javascript API to create an interactive map that allows a user to create multiple rectangles as defined areas to search, then query a database for points of interest within those areas, and return in a list format only such results.  The application also enables saving user-defined areas of interest for future searches.</t>
  </si>
  <si>
    <t>Jowi Aizpuru, Andre Martin, Alan Triano, Benjamin Hoang, Jonathan Huynh</t>
  </si>
  <si>
    <t>Bobcat Mailer</t>
  </si>
  <si>
    <t>Managing Registrants and Valid Emails</t>
  </si>
  <si>
    <t>ISSNAF</t>
  </si>
  <si>
    <t>Non-Profit</t>
  </si>
  <si>
    <t>The Italian Scientists and Scholars in North America Foundation (ISSNAF) is the largest network of Italian professionals in North America. Annually, many users register to become a member or affiliate. In order to effectively communicate with their membership base, ISSNAF adds them to a mailing list. During this process, they are often faced with emails bouncing for various reasons. The Bobcat Mailer team presents a solution to this issue via a double email verification system that allows professionals to register to become members or affiliates.</t>
  </si>
  <si>
    <t>Aman Kaur, Kenneth Tran, Preethi Merugumala, Rahul B Rajaram, Ryan Saini</t>
  </si>
  <si>
    <t>MAVNN</t>
  </si>
  <si>
    <t>Italian Scientists &amp; Scholars in North America Foundation is a nonprofit organization whose mission is to connect, empower and celebrate the Italian Intellectual Diaspora in North America.  ISSNAF has a problem common to many organizations that need to keep the members' email list up to date and manage bounces.  Members may register with a corporate email, which may later be closed if changing job; also organizations may use proxies that block lists, and mailboxes may just get full.  We created a system where a member can easily register two emails: if they no longer have access to one email, then they can update their information through the other.  This double email system enables organizations to keep track of their members, and handles the complexity of double email member verification without sacrificing security or creating accounts with passwords.</t>
  </si>
  <si>
    <t>Nykolai Coconi, Alvin To, Marco Limon, Nicholas Larson, Vanessa Soto-Sierra</t>
  </si>
  <si>
    <t>The Key-(In)Sight</t>
  </si>
  <si>
    <t>Jira Business Intelligent Project - KeySight</t>
  </si>
  <si>
    <t>Western Digital</t>
  </si>
  <si>
    <t>Computers</t>
  </si>
  <si>
    <t>Western Digital is a data infrastructure company working in the field of digital storage: storage hardware, cloud storage, and other related products. They use Jira, a project management tool, to track team progress. However, the data Jira provides is not conducive to easily illustrating an operation's efficiency. The Key-(In)Sight team created  Keysight, an application that extracts this data from Jira to provide as Key Performance Indicators (KPI’s) in a clean, accessible web application for users. Keysight also keeps managers well informed through custom, automatic email notifications for issues that need attention.</t>
  </si>
  <si>
    <t>Ryan Chang, Adrian Mcbroom, Charles Parkinson, Joshua Stickles, Peter Sou</t>
  </si>
  <si>
    <t>The J&amp;A Team</t>
  </si>
  <si>
    <t>Western Digital is a data infrastructure company that manufactures, develops, and markets data storage devices and solutions. They currently use the Jira platform to track issues and manage projects. With many projects each containing thousands of different issues, Western Digital needed a better way to analyze data from the Jira platform in order to illustrate an operation’s efficiency. The team developed an easy to access web application that automatically pulls data from the Jira platform and displays it so any Western Digital employee could view key performance metrics on a project while also receiving email notifications on issues that need immediate attention.</t>
  </si>
  <si>
    <t>Alexander Holt, Alexander Hom, Alexander Roman Montiel, Jim Nguyen, Juan Rosales</t>
  </si>
  <si>
    <t>TomatoVision</t>
  </si>
  <si>
    <t>Vision System to Identify Planting Quality</t>
  </si>
  <si>
    <t>Morning Star is a vertically integrated company with business units supplying and servicing all aspects of the tomato industry. Morning Star faces the problem of not producing a 100% germination rate when transplanting tomato saplings due to human and machine error. In order to reach 100% germination rate the team has implemented a simple vision system. This vision system is located behind the planter detecting the saplings as they are being planted, producing confidence score where staff can later review results and make adjustments in future planting days. The model ultimately produces confidence scores over a video of the accuracy that a plant has been detected in a given region.</t>
  </si>
  <si>
    <t>Moises Limon, Alberto Melchor-Maldonado, Christine Pham, Darren Ng, Ivan Palacios</t>
  </si>
  <si>
    <t>The Visionaries</t>
  </si>
  <si>
    <t>Morning Star Company is responsible for about 30% of California processing tomato production. The problem is that the tomato transplants do not have a 100% germination rate when growing. Therefore the team project is to improve their production more by designing a vision system to identify whether the tomato plants have been successfully transplanted. Our team designed an identification algorithm to allow the farmers in the field to scan and check the transplants' status. The team also designed a web application that can show and download data of scanned plants.</t>
  </si>
  <si>
    <t>Luis Andrade Gonzalez, Andrew Lara-Kane, Jude Marvin Orsua, Michael Cheung, Zhuo Liu</t>
  </si>
  <si>
    <t>U Betts</t>
  </si>
  <si>
    <t>Non-Conforming Logo Detection</t>
  </si>
  <si>
    <t>Betts Company</t>
  </si>
  <si>
    <t>Since 1868, Betts company has specialized in producing truck parts for all types of trucks. The Betts Spring Manufacturing team provides services with custom designing and other industrial applications for their spring coils. Part of the process involves painting a logo with a serial number onto the coils, however there are often times where the logo or the serial number is unreadable and is sent back by the customer. To combat this problem, our team sought to create a program that will scan the logo, determine if it's legible, and notify the worker if it's good for packaging to allow the spring producing process to be much smoother with little to no human opinion.</t>
  </si>
  <si>
    <t>Kshav Ayer, Angel Monroy, Stephen Garcia, Sunita Thao, Vedaant Vyas</t>
  </si>
  <si>
    <t>Optical Solutions</t>
  </si>
  <si>
    <t>Betts Company creates custom designs and manufactures coil and leaf springs for transportation and other industrial applications. Sometimes, these manufactured logos on the springs can contain visual defects that impact both the customer and the company. The Visual Solutions team created an image classification program that can detect when a logo isn’t up to the company’s specifications or quality and will notify the operator whether the logo is good quality or bad. The goal is to detect errors on logos before the springs are packaged and delivered to the customer to provide quality assurance.</t>
  </si>
  <si>
    <t>Iveth Aguilar Centeno, Baisong Liu, David Yang, Erick Ruvalcaba-Sandoval, Yash Sharma</t>
  </si>
  <si>
    <t>Team Pacific</t>
  </si>
  <si>
    <t>Water Treatment Monitoring - Phase 2</t>
  </si>
  <si>
    <t>Agrecom</t>
  </si>
  <si>
    <t>Agrecom is a company providing water treatment, sanitation, and pest control services to local agricultural, residential, and commercial properties. One of their water treatment services involves taking live readings of water quality measures, which could only be viewed through on-site devices. Agrecom was seeking a more convenient way of configuring and viewing data remotely, as well as a means of long-term storage. This semester, Team Pacific developed a web application which centralizes all of the data on the cloud while making it accessible over the internet. This provides Agrecom with the convenience of configuring and viewing data remotely, and savings on the equipment that was previously used to display data on-site.</t>
  </si>
  <si>
    <t>Karna Errande, Jared Giampietro, Jason Van Tuinen, Luna Lynn, Sabir Kirpal</t>
  </si>
  <si>
    <t>The Cable Company</t>
  </si>
  <si>
    <t>Smart UI for cable database management</t>
  </si>
  <si>
    <t>SLAC National Accelerator Laboratory</t>
  </si>
  <si>
    <t>SLAC National Accelerator Laboratory is currently building a X-Ray Free Electron Laser that will be the forefront of X-ray science. The cabling infrastructure in the facility however, is all done manually. Our team developed a user friendly web application that allows for cabling modifications to be inputted much easier, as well as implementing an approval system that allows administrators to approve changes an engineer makes. Inputting these changes from the web application into the database this way, we helped to replace a 20 year old procedure to improve time efficiency and reduce errors.</t>
  </si>
  <si>
    <t>Alejandro Alcala, Libanose Teffera, Mary Francine Delos Reyes, Sean O'callaghan</t>
  </si>
  <si>
    <t>SLACers</t>
  </si>
  <si>
    <t>Stanford’s SLAC National Accelerator Laboratory handles thousands of cables in their facilities through an Oracle database. The current database is unorganized because engineers are allowed to upload data freely without standardization, leading to many mistakes in the database. They asked for an advanced user interface using Python and the React API that accounts for quality assurance. The engineers will be able to access any cable file information, upload files automatically, add data, and edit data, while the project manager will be able to approve or deny file uploads. We provided a minimum viable product that takes in a local database. Users are allowed to upload files manually or through a spreadsheet file. They are also able to edit the data in the user interface and upload it to the approval queue. Project managers are allowed to approve or reject cables based on standardization in the approval queue. Once approved, it will go into the database.</t>
  </si>
  <si>
    <t>Ankan Bhattacharya, Aayush Koirala, Antony Kustura, Jaqueline Sanchez-Macias, Sabrina Gonzalez</t>
  </si>
  <si>
    <t>404 Not Found</t>
  </si>
  <si>
    <t>Web-based, Multi-Platform, Open-Source Speech-Recording App for Brain Health</t>
  </si>
  <si>
    <t>UCSF</t>
  </si>
  <si>
    <t>Through speech and language assessments, the Memory and Aging Center at UCSF is able to research the effect of neurological and neurodegenerative diseases on higher cognitive functions such as speech, language, and memory. Currently, the problem they face is that these assessments are subjective, specialist-dependent, and exhaustive and are also limited in sensibility and scalability. Most of the data they have currently gathered comes from English speakers, limiting the generalizability of findings across the globe and across different languages. To solve this problem, the 404 Not Found team created an open source speech recording web application that can test patients’ speech and language ability helping to gather data across different languages throughout the globe.</t>
  </si>
  <si>
    <t>Christopher De La Cruz, Akheel Shaik, Derik Gandhi, Isaac Gutierrez, Ysidra Van Kempen</t>
  </si>
  <si>
    <t>Language Experts</t>
  </si>
  <si>
    <t>Neurodegenerative diseases affect about 50 million people worldwide (NIH). Doctors use speech and language assessments to help predict and diagnose these diseases in patients. However, these assessments tend to only come from English speakers and are very specialist-dependent. In collaboration with the UCSF Memory and Aging Center, (insert team name) developed a web based, multi-language, speech-recording application solution that displays text and picture prompts and records patients' responses. With this web application, UCSF and the UdeSA Cognitive Neuroscience Center (Argentina) will analyze the data as a way to find early signs of these neurodegenerative diseases.</t>
  </si>
  <si>
    <t>Jose Arias Zuniga, Betsy Avila Aguilar, Benita Onyenacho, Diego Ponce, Jocelyn Chan</t>
  </si>
  <si>
    <t>2022-01-Spring-CEE</t>
  </si>
  <si>
    <t>CEE</t>
  </si>
  <si>
    <t>Eco-lutions</t>
  </si>
  <si>
    <t>Grayson Riverbend Restoration</t>
  </si>
  <si>
    <t>River Partners</t>
  </si>
  <si>
    <t>Environment</t>
  </si>
  <si>
    <t>Grayson Riverbend Restoration Project goal is to develop 285 acres riparian and high-quality floodplain habitat along the San Joaquin River for the benefit of multiple threatened and endangered species, including spring-run Chinook salmon, as well as the adjacent economically disadvantaged community of Grayson. The design objectives for our team were to provide an optimized habitat for the rearing of the endangered chinook salmon, by designing a friendly fish passage for the newly restored Grayson Riverbend Preserve. The chosen design solution consists of a box culvert design that will create low flow velocities and simulate natural river channel hydraulics that will support the salmonid life cycle. To promote a heathy environment a box culvert was designed and modeled using HEC-RAS which simulates a functional habitat to support the salmonid life cycle.</t>
  </si>
  <si>
    <t>David Baez, Christy Duong, Marianna Estrada, Joy Sajimon</t>
  </si>
  <si>
    <t>Rainwater Irrigation Planning</t>
  </si>
  <si>
    <t>Rainwater Harvesting for Landscape Irrigation</t>
  </si>
  <si>
    <t>UC Merced</t>
  </si>
  <si>
    <t>The University of California, Merced is one the most sustainable university in the nation. With UC Merced’s triple net-zero goals, the campus is considering installing a rainwater harvesting system. Currently, the campus’s only source of water comes from the City of Merced well and does not utilize non-potable water. To address the needs of the UC Merced our team has been tasked with the design of a rainwater system that will capture and use non-potable water to irrigate green areas throughout campus. The proposed design location for the system is the Academic Office Annex building with an annual rainwater collection of 54,000 gallons. To demonstrate proof of concept a prototype was designed and installed at the UC Merced Community Garden that will collect about 400 gallons of rainwater annually that demonstrates UC Merced commitment to sustainability.</t>
  </si>
  <si>
    <t>Kainoa Ferguson, Steven Nguyen, Rosa Ruiz, Robylene Seapno</t>
  </si>
  <si>
    <t>Think Green</t>
  </si>
  <si>
    <t>Estimating Greenhouse Gas Emissions and Designing Mitigation Strategies in Merced, CA</t>
  </si>
  <si>
    <t>City of Merced</t>
  </si>
  <si>
    <t>In alignment with global efforts to limit global warming to 1.5 ? and meet requirements set by Senate Bill (SB) 32, the City of Merced must reduce greenhouse gas (GHG) emissions by 28% by the year 2030. Our project aims to evaluate different GHG mitigation strategies and determine which are well-suited to Merced’s context and goals. The proposed solutions are: 1) solar thermal heating for industrial food processing heat demand 2) anaerobic digestion for agricultural energy and waste recycling needs 3) energy efficient home upgrades for local residences. Our combination of mitigation strategies mitigates ~142, 000 MT of CO2 which meets the requirement set in SB32. We have also developed a decision-support tool and mapping model to help local decision makers and community members prioritize mitigation strategies based on various criteria such as cost, land use, ease of implementation, and proximity to sensitive communities.</t>
  </si>
  <si>
    <t>Vishaal Kumar, Jose Lopez Vela, Sonia Perez, Alexis Smith</t>
  </si>
  <si>
    <t>2022-01-Spring-EngSL</t>
  </si>
  <si>
    <t>EngSL</t>
  </si>
  <si>
    <t>Team 1</t>
  </si>
  <si>
    <t>Ball Wall</t>
  </si>
  <si>
    <t>Fresno Discovery Center</t>
  </si>
  <si>
    <t>The Fresno Discovery Center is the premier Children’s Museum in the Central Valley. Beginning in August 2021, UC Merced students updated an existing ball-drop exhibit with a twist. The updated ball-drop exhibit utilized multiple components designed to catch and return the falling ball while passing it through various obstacles. This exhibit showcased the student’s applicable knowledge of physics and engineering designing. Students in the Engineering Service-Learning course designed, tested their components, and delivered this product to the Fresno Discovery Center in May 2022.</t>
  </si>
  <si>
    <t>Jasmine Camacho, Ronald Fortt, Wendy Haw, Noorulain Irshad, Hannia Otero Castaneda, Hannah Joyce Villasin</t>
  </si>
  <si>
    <t>Team 2</t>
  </si>
  <si>
    <t>Helen Ayala, Nina Cofield, Lucia Gnerre, Joshua Phelps, Valeria Trujillo, Cynthia Vazquez</t>
  </si>
  <si>
    <t>Team 3</t>
  </si>
  <si>
    <t>Fasha Lennon, Luna Lynn, Laily Martinez, Laura Munoz, Alonso Ortiz, Itzel Otero Cast</t>
  </si>
  <si>
    <t>#</t>
  </si>
  <si>
    <t>Last Name</t>
  </si>
  <si>
    <t>Email</t>
  </si>
  <si>
    <t>Team #</t>
  </si>
  <si>
    <t>Name (for list)  =B1&amp;" "&amp;C1</t>
  </si>
  <si>
    <t>Students</t>
  </si>
  <si>
    <t>David</t>
  </si>
  <si>
    <t>Baez</t>
  </si>
  <si>
    <t>dbaez@ucmerced.edu</t>
  </si>
  <si>
    <t>Christy</t>
  </si>
  <si>
    <t>Duong</t>
  </si>
  <si>
    <t>cduong9@ucmerced.edu</t>
  </si>
  <si>
    <t>Marianna</t>
  </si>
  <si>
    <t>Estrada</t>
  </si>
  <si>
    <t>mestrada27@ucmerced.edu</t>
  </si>
  <si>
    <t>Joy</t>
  </si>
  <si>
    <t>Sajimon</t>
  </si>
  <si>
    <t>jsajimon2@ucmerced.edu</t>
  </si>
  <si>
    <t>Kainoa</t>
  </si>
  <si>
    <t>Ferguson</t>
  </si>
  <si>
    <t>kferguson4@ucmerced.edu</t>
  </si>
  <si>
    <t>Steven</t>
  </si>
  <si>
    <t>Nguyen</t>
  </si>
  <si>
    <t>snguyen238@ucmerced.edu</t>
  </si>
  <si>
    <t>Rosa</t>
  </si>
  <si>
    <t>Ruiz</t>
  </si>
  <si>
    <t>rruiz31@ucmerced.edu</t>
  </si>
  <si>
    <t>Robylene</t>
  </si>
  <si>
    <t>Seapno</t>
  </si>
  <si>
    <t>rseapno@ucmerced.edu</t>
  </si>
  <si>
    <t>Vishaal</t>
  </si>
  <si>
    <t>Kumar</t>
  </si>
  <si>
    <t>vkumar10@ucmerced.edu</t>
  </si>
  <si>
    <t>Team Greenhouse</t>
  </si>
  <si>
    <t>Jose</t>
  </si>
  <si>
    <t>Lopez Vela</t>
  </si>
  <si>
    <t>jlopez454@ucmerced.edu</t>
  </si>
  <si>
    <t>Sonia</t>
  </si>
  <si>
    <t>Perez</t>
  </si>
  <si>
    <t>sperez77@ucmerced.edu</t>
  </si>
  <si>
    <t>Alexis</t>
  </si>
  <si>
    <t>Smith</t>
  </si>
  <si>
    <t>asmith91@ucmerced.edu</t>
  </si>
  <si>
    <t>David Baez</t>
  </si>
  <si>
    <t>Christy Duong</t>
  </si>
  <si>
    <t>Marianna Estrada</t>
  </si>
  <si>
    <t>Joy Sajimon</t>
  </si>
  <si>
    <t>Kainoa Ferguson</t>
  </si>
  <si>
    <t>Steven Nguyen</t>
  </si>
  <si>
    <t>Rosa Ruiz</t>
  </si>
  <si>
    <t>Robylene Seapno</t>
  </si>
  <si>
    <t>Vishaal Kumar</t>
  </si>
  <si>
    <t>Jose Lopez Vela</t>
  </si>
  <si>
    <t>Sonia Perez</t>
  </si>
  <si>
    <t>Alexis Smith</t>
  </si>
  <si>
    <t>CAP-129</t>
  </si>
  <si>
    <t>TBD</t>
  </si>
  <si>
    <t>CAP-130</t>
  </si>
  <si>
    <t>Biochar Oxidation</t>
  </si>
  <si>
    <t>CEE-401</t>
  </si>
  <si>
    <t>CEE-402</t>
  </si>
  <si>
    <t>CEE-403</t>
  </si>
  <si>
    <t>EngSL-501</t>
  </si>
  <si>
    <t>EngSL-502</t>
  </si>
  <si>
    <t>EngSL-503</t>
  </si>
  <si>
    <t>Ghi-Hoang Barretto, David Yaranon, Fizan Khan, Ismael Figueroa-Ramirez, Maximiliano Coraza</t>
  </si>
  <si>
    <t>dropped:</t>
  </si>
  <si>
    <t>David Yaranon</t>
  </si>
  <si>
    <t>Sofia Nicole Cando, Isaac Perez, Michael Pisman, Salvador Ruiz-Ramirez</t>
  </si>
  <si>
    <t>Sofia Nicole Cando</t>
  </si>
  <si>
    <t>2022-01-Spring-CAP2</t>
  </si>
  <si>
    <t>2022-01-Spring-CAP3</t>
  </si>
  <si>
    <t>2022-01-Spring-CAP4</t>
  </si>
  <si>
    <t>2022-01-Spring-CAP5</t>
  </si>
  <si>
    <t>2022-01-Spring-CAP6</t>
  </si>
  <si>
    <t>2022-01-Spring-CAP7</t>
  </si>
  <si>
    <t>2022-01-Spring-CAP8</t>
  </si>
  <si>
    <t>2022-01-Spring-CAP9</t>
  </si>
  <si>
    <t>Neil Jones Foods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</si>
</sst>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0">
    <font>
      <sz val="10.0"/>
      <color rgb="FF000000"/>
      <name val="Arial"/>
      <scheme val="minor"/>
    </font>
    <font>
      <b/>
      <sz val="9.0"/>
      <color theme="1"/>
      <name val="Arial"/>
    </font>
    <font>
      <sz val="9.0"/>
      <color theme="1"/>
      <name val="Arial"/>
    </font>
    <font>
      <sz val="9.0"/>
      <color theme="1"/>
      <name val="Arial"/>
      <scheme val="minor"/>
    </font>
    <font>
      <sz val="9.0"/>
      <color rgb="FF222222"/>
      <name val="Arial"/>
    </font>
    <font>
      <sz val="9.0"/>
      <color rgb="FF000000"/>
      <name val="Arial"/>
    </font>
    <font>
      <b/>
      <sz val="9.0"/>
      <color rgb="FF000000"/>
      <name val="Arial"/>
    </font>
    <font>
      <color rgb="FF222222"/>
      <name val="Roboto"/>
    </font>
    <font>
      <color rgb="FF000000"/>
      <name val="Roboto"/>
    </font>
    <font>
      <color theme="1"/>
      <name val="Arial"/>
      <scheme val="minor"/>
    </font>
  </fonts>
  <fills count="6">
    <fill>
      <patternFill patternType="none"/>
    </fill>
    <fill>
      <patternFill patternType="lightGray"/>
    </fill>
    <fill>
      <patternFill patternType="solid">
        <fgColor rgb="FFCCCCCC"/>
        <bgColor rgb="FFCCCCCC"/>
      </patternFill>
    </fill>
    <fill>
      <patternFill patternType="solid">
        <fgColor rgb="FF666666"/>
        <bgColor rgb="FF666666"/>
      </patternFill>
    </fill>
    <fill>
      <patternFill patternType="solid">
        <fgColor rgb="FFFFFFFF"/>
        <bgColor rgb="FFFFFFFF"/>
      </patternFill>
    </fill>
    <fill>
      <patternFill patternType="solid">
        <fgColor rgb="FFD9D9D9"/>
        <bgColor rgb="FFD9D9D9"/>
      </patternFill>
    </fill>
  </fills>
  <borders count="1">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0"/>
    </xf>
    <xf borderId="0" fillId="2" fontId="1" numFmtId="164" xfId="0" applyAlignment="1" applyFont="1" applyNumberFormat="1">
      <alignment horizontal="left" shrinkToFit="0" vertical="center" wrapText="0"/>
    </xf>
    <xf borderId="0" fillId="2" fontId="1" numFmtId="0" xfId="0" applyAlignment="1" applyFont="1">
      <alignment horizontal="left" shrinkToFit="0" vertical="center" wrapText="0"/>
    </xf>
    <xf borderId="0" fillId="3" fontId="1" numFmtId="0" xfId="0" applyAlignment="1" applyFill="1" applyFont="1">
      <alignment horizontal="lef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horizontal="left" shrinkToFit="0" vertical="center" wrapText="0"/>
    </xf>
    <xf borderId="0" fillId="0" fontId="2" numFmtId="0" xfId="0" applyAlignment="1" applyFont="1">
      <alignment horizontal="left" readingOrder="0" shrinkToFit="0" vertical="center" wrapText="0"/>
    </xf>
    <xf borderId="0" fillId="4" fontId="2" numFmtId="0" xfId="0" applyAlignment="1" applyFill="1" applyFont="1">
      <alignment horizontal="left" readingOrder="0" shrinkToFit="0" vertical="center" wrapText="0"/>
    </xf>
    <xf borderId="0" fillId="0" fontId="3" numFmtId="0" xfId="0" applyAlignment="1" applyFont="1">
      <alignment horizontal="left" shrinkToFit="0" vertical="center" wrapText="0"/>
    </xf>
    <xf borderId="0" fillId="0" fontId="4" numFmtId="0" xfId="0" applyAlignment="1" applyFont="1">
      <alignment horizontal="left" vertical="center"/>
    </xf>
    <xf borderId="0" fillId="4" fontId="2" numFmtId="0" xfId="0" applyAlignment="1" applyFont="1">
      <alignment horizontal="left" shrinkToFit="0" vertical="center" wrapText="0"/>
    </xf>
    <xf borderId="0" fillId="0" fontId="2" numFmtId="0" xfId="0" applyFont="1"/>
    <xf borderId="0" fillId="0" fontId="2" numFmtId="0" xfId="0" applyFont="1"/>
    <xf borderId="0" fillId="0" fontId="2" numFmtId="0" xfId="0" applyFont="1"/>
    <xf borderId="0" fillId="0" fontId="2" numFmtId="0" xfId="0" applyFont="1"/>
    <xf borderId="0" fillId="0" fontId="2" numFmtId="0" xfId="0" applyAlignment="1" applyFont="1">
      <alignment horizontal="left" shrinkToFit="0" vertical="center" wrapText="0"/>
    </xf>
    <xf borderId="0" fillId="4" fontId="4" numFmtId="0" xfId="0" applyFont="1"/>
    <xf borderId="0" fillId="0" fontId="2" numFmtId="0" xfId="0" applyAlignment="1" applyFont="1">
      <alignment horizontal="left" readingOrder="0" shrinkToFit="0" vertical="center" wrapText="0"/>
    </xf>
    <xf borderId="0" fillId="0" fontId="5" numFmtId="0" xfId="0" applyAlignment="1" applyFont="1">
      <alignment horizontal="left" shrinkToFit="0" vertical="center" wrapText="0"/>
    </xf>
    <xf borderId="0" fillId="0" fontId="5" numFmtId="0" xfId="0" applyAlignment="1" applyFont="1">
      <alignment horizontal="left" readingOrder="0" shrinkToFit="0" vertical="center" wrapText="0"/>
    </xf>
    <xf borderId="0" fillId="5" fontId="1" numFmtId="0" xfId="0" applyAlignment="1" applyFill="1" applyFont="1">
      <alignment horizontal="left" readingOrder="0" shrinkToFit="0" vertical="center" wrapText="0"/>
    </xf>
    <xf borderId="0" fillId="5" fontId="1" numFmtId="0" xfId="0" applyAlignment="1" applyFont="1">
      <alignment horizontal="left" shrinkToFit="0" vertical="center" wrapText="0"/>
    </xf>
    <xf borderId="0" fillId="0" fontId="2" numFmtId="0" xfId="0" applyAlignment="1" applyFont="1">
      <alignment horizontal="left" shrinkToFit="0" vertical="center" wrapText="0"/>
    </xf>
    <xf borderId="0" fillId="0" fontId="2" numFmtId="0" xfId="0" applyAlignment="1" applyFont="1">
      <alignment horizontal="left" shrinkToFit="0" vertical="center" wrapText="0"/>
    </xf>
    <xf borderId="0" fillId="0" fontId="2" numFmtId="0" xfId="0" applyAlignment="1" applyFont="1">
      <alignment horizontal="left" readingOrder="0" shrinkToFit="0" vertical="center" wrapText="0"/>
    </xf>
    <xf borderId="0" fillId="2" fontId="6" numFmtId="0" xfId="0" applyAlignment="1" applyFont="1">
      <alignment readingOrder="0"/>
    </xf>
    <xf borderId="0" fillId="3" fontId="6" numFmtId="0" xfId="0" applyAlignment="1" applyFont="1">
      <alignment readingOrder="0"/>
    </xf>
    <xf borderId="0" fillId="4" fontId="5" numFmtId="0" xfId="0" applyAlignment="1" applyFont="1">
      <alignment horizontal="right" readingOrder="0"/>
    </xf>
    <xf borderId="0" fillId="4" fontId="5" numFmtId="0" xfId="0" applyAlignment="1" applyFont="1">
      <alignment readingOrder="0"/>
    </xf>
    <xf borderId="0" fillId="4" fontId="7" numFmtId="0" xfId="0" applyFont="1"/>
    <xf borderId="0" fillId="4" fontId="8" numFmtId="0" xfId="0" applyAlignment="1" applyFont="1">
      <alignment readingOrder="0"/>
    </xf>
    <xf borderId="0" fillId="4" fontId="5" numFmtId="0" xfId="0" applyAlignment="1" applyFont="1">
      <alignment horizontal="left" readingOrder="0"/>
    </xf>
    <xf borderId="0" fillId="0" fontId="4" numFmtId="0" xfId="0" applyAlignment="1" applyFont="1">
      <alignment readingOrder="0"/>
    </xf>
    <xf borderId="0" fillId="0" fontId="9" numFmtId="0" xfId="0" applyAlignment="1" applyFont="1">
      <alignment horizontal="left" readingOrder="0" shrinkToFit="0" vertical="center" wrapText="0"/>
    </xf>
    <xf borderId="0" fillId="0" fontId="9" numFmtId="0" xfId="0" applyAlignment="1" applyFont="1">
      <alignment horizontal="left" shrinkToFit="0" vertical="center" wrapText="0"/>
    </xf>
    <xf borderId="0" fillId="0" fontId="9" numFmtId="0" xfId="0" applyAlignment="1" applyFont="1">
      <alignment horizontal="left" readingOrder="0" vertical="center"/>
    </xf>
    <xf borderId="0" fillId="0" fontId="9" numFmtId="0" xfId="0" applyAlignment="1" applyFont="1">
      <alignment horizontal="left"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6.75"/>
    <col customWidth="1" min="3" max="3" width="16.13"/>
    <col customWidth="1" min="4" max="4" width="6.0"/>
    <col customWidth="1" min="5" max="5" width="7.38"/>
    <col customWidth="1" min="6" max="6" width="17.88"/>
    <col customWidth="1" min="7" max="7" width="30.88"/>
    <col customWidth="1" min="8" max="8" width="23.25"/>
    <col customWidth="1" min="9" max="9" width="19.0"/>
    <col customWidth="1" min="10" max="10" width="32.5"/>
    <col customWidth="1" min="11" max="11" width="66.75"/>
    <col customWidth="1" min="12" max="12" width="49.5"/>
  </cols>
  <sheetData>
    <row r="1" ht="18.75" customHeight="1">
      <c r="A1" s="1" t="s">
        <v>0</v>
      </c>
      <c r="B1" s="2" t="s">
        <v>1</v>
      </c>
      <c r="C1" s="1" t="s">
        <v>2</v>
      </c>
      <c r="D1" s="1" t="s">
        <v>3</v>
      </c>
      <c r="E1" s="3" t="s">
        <v>4</v>
      </c>
      <c r="F1" s="3" t="s">
        <v>5</v>
      </c>
      <c r="G1" s="1" t="s">
        <v>6</v>
      </c>
      <c r="H1" s="1" t="s">
        <v>7</v>
      </c>
      <c r="I1" s="1" t="s">
        <v>8</v>
      </c>
      <c r="J1" s="4" t="s">
        <v>9</v>
      </c>
      <c r="K1" s="4" t="s">
        <v>10</v>
      </c>
      <c r="L1" s="5" t="s">
        <v>11</v>
      </c>
      <c r="M1" s="6"/>
      <c r="N1" s="6"/>
      <c r="O1" s="6"/>
      <c r="P1" s="6"/>
      <c r="Q1" s="6"/>
      <c r="R1" s="6"/>
      <c r="S1" s="6"/>
      <c r="T1" s="6"/>
      <c r="U1" s="6"/>
      <c r="V1" s="6"/>
      <c r="W1" s="6"/>
      <c r="X1" s="6"/>
      <c r="Y1" s="6"/>
    </row>
    <row r="2" ht="18.75" customHeight="1">
      <c r="A2" s="7">
        <v>3.0</v>
      </c>
      <c r="B2" s="7">
        <v>5.0</v>
      </c>
      <c r="C2" s="8" t="s">
        <v>12</v>
      </c>
      <c r="D2" s="8" t="s">
        <v>13</v>
      </c>
      <c r="E2" s="7">
        <v>101.0</v>
      </c>
      <c r="F2" s="7" t="s">
        <v>14</v>
      </c>
      <c r="G2" s="7" t="s">
        <v>15</v>
      </c>
      <c r="H2" s="7" t="s">
        <v>16</v>
      </c>
      <c r="I2" s="7" t="s">
        <v>17</v>
      </c>
      <c r="J2" s="8" t="s">
        <v>18</v>
      </c>
      <c r="K2" s="7" t="s">
        <v>19</v>
      </c>
      <c r="L2" s="7" t="str">
        <f t="shared" ref="L2:L67" si="1">"Team: " &amp; F2 &amp; "  -  Project: " &amp; G2</f>
        <v>Team: TeamChester  -  Project: Case Conveyor Speed Optimization</v>
      </c>
      <c r="M2" s="6"/>
      <c r="N2" s="9"/>
      <c r="O2" s="6"/>
      <c r="P2" s="6"/>
      <c r="Q2" s="6"/>
      <c r="R2" s="6"/>
      <c r="S2" s="6"/>
      <c r="T2" s="6"/>
      <c r="U2" s="6"/>
      <c r="V2" s="6"/>
      <c r="W2" s="6"/>
      <c r="X2" s="6"/>
      <c r="Y2" s="6"/>
    </row>
    <row r="3" ht="18.75" customHeight="1">
      <c r="A3" s="7">
        <v>5.0</v>
      </c>
      <c r="B3" s="8">
        <v>5.0</v>
      </c>
      <c r="C3" s="8" t="s">
        <v>12</v>
      </c>
      <c r="D3" s="8" t="s">
        <v>13</v>
      </c>
      <c r="E3" s="7">
        <v>102.0</v>
      </c>
      <c r="F3" s="7" t="s">
        <v>20</v>
      </c>
      <c r="G3" s="7" t="s">
        <v>21</v>
      </c>
      <c r="H3" s="7" t="s">
        <v>22</v>
      </c>
      <c r="I3" s="7" t="s">
        <v>23</v>
      </c>
      <c r="J3" s="8" t="s">
        <v>24</v>
      </c>
      <c r="K3" s="7" t="s">
        <v>25</v>
      </c>
      <c r="L3" s="7" t="str">
        <f t="shared" si="1"/>
        <v>Team: The Bench Warmers  -  Project: Pressure treated wood disposal</v>
      </c>
      <c r="M3" s="6"/>
      <c r="N3" s="9"/>
      <c r="O3" s="6"/>
      <c r="P3" s="6"/>
      <c r="Q3" s="6"/>
      <c r="R3" s="6"/>
      <c r="S3" s="6"/>
      <c r="T3" s="6"/>
      <c r="U3" s="6"/>
      <c r="V3" s="6"/>
      <c r="W3" s="6"/>
      <c r="X3" s="6"/>
      <c r="Y3" s="6"/>
    </row>
    <row r="4" ht="18.75" customHeight="1">
      <c r="A4" s="7">
        <v>2.0</v>
      </c>
      <c r="B4" s="7">
        <v>2.0</v>
      </c>
      <c r="C4" s="8" t="s">
        <v>12</v>
      </c>
      <c r="D4" s="8" t="s">
        <v>13</v>
      </c>
      <c r="E4" s="7">
        <v>103.0</v>
      </c>
      <c r="F4" s="7" t="s">
        <v>26</v>
      </c>
      <c r="G4" s="7" t="s">
        <v>27</v>
      </c>
      <c r="H4" s="7" t="s">
        <v>28</v>
      </c>
      <c r="I4" s="7" t="s">
        <v>17</v>
      </c>
      <c r="J4" s="8" t="s">
        <v>29</v>
      </c>
      <c r="K4" s="7" t="s">
        <v>30</v>
      </c>
      <c r="L4" s="7" t="str">
        <f t="shared" si="1"/>
        <v>Team: Pallet Jacks  -  Project: Depalletizer Plastic Removal Ergonomic Improvements</v>
      </c>
      <c r="M4" s="6"/>
      <c r="N4" s="9"/>
      <c r="O4" s="6"/>
      <c r="P4" s="6"/>
      <c r="Q4" s="6"/>
      <c r="R4" s="6"/>
      <c r="S4" s="6"/>
      <c r="T4" s="6"/>
      <c r="U4" s="6"/>
      <c r="V4" s="6"/>
      <c r="W4" s="6"/>
      <c r="X4" s="6"/>
      <c r="Y4" s="6"/>
    </row>
    <row r="5" ht="18.75" customHeight="1">
      <c r="A5" s="7">
        <v>5.0</v>
      </c>
      <c r="B5" s="7">
        <v>6.0</v>
      </c>
      <c r="C5" s="8" t="s">
        <v>12</v>
      </c>
      <c r="D5" s="8" t="s">
        <v>13</v>
      </c>
      <c r="E5" s="7">
        <v>104.0</v>
      </c>
      <c r="F5" s="7" t="s">
        <v>31</v>
      </c>
      <c r="G5" s="7" t="s">
        <v>32</v>
      </c>
      <c r="H5" s="7" t="s">
        <v>28</v>
      </c>
      <c r="I5" s="7" t="s">
        <v>17</v>
      </c>
      <c r="J5" s="8" t="s">
        <v>33</v>
      </c>
      <c r="K5" s="7" t="s">
        <v>34</v>
      </c>
      <c r="L5" s="7" t="str">
        <f t="shared" si="1"/>
        <v>Team: Bottled Up Engineering  -  Project: 50ml Bottle Rapid Draining for Reclaim</v>
      </c>
      <c r="M5" s="6"/>
      <c r="N5" s="9"/>
      <c r="O5" s="6"/>
      <c r="P5" s="6"/>
      <c r="Q5" s="6"/>
      <c r="R5" s="6"/>
      <c r="S5" s="6"/>
      <c r="T5" s="6"/>
      <c r="U5" s="6"/>
      <c r="V5" s="6"/>
      <c r="W5" s="6"/>
      <c r="X5" s="6"/>
      <c r="Y5" s="6"/>
    </row>
    <row r="6" ht="18.75" customHeight="1">
      <c r="A6" s="7">
        <v>3.0</v>
      </c>
      <c r="B6" s="8">
        <v>3.0</v>
      </c>
      <c r="C6" s="8" t="s">
        <v>12</v>
      </c>
      <c r="D6" s="8" t="s">
        <v>13</v>
      </c>
      <c r="E6" s="7">
        <v>105.0</v>
      </c>
      <c r="F6" s="7" t="s">
        <v>35</v>
      </c>
      <c r="G6" s="8" t="s">
        <v>36</v>
      </c>
      <c r="H6" s="7" t="s">
        <v>37</v>
      </c>
      <c r="I6" s="7" t="s">
        <v>17</v>
      </c>
      <c r="J6" s="8" t="s">
        <v>38</v>
      </c>
      <c r="K6" s="7" t="s">
        <v>39</v>
      </c>
      <c r="L6" s="7" t="str">
        <f t="shared" si="1"/>
        <v>Team: Onion Slicers  -  Project: Improved Onion Slicing</v>
      </c>
      <c r="M6" s="6"/>
      <c r="N6" s="9"/>
      <c r="O6" s="6"/>
      <c r="P6" s="6"/>
      <c r="Q6" s="6"/>
      <c r="R6" s="6"/>
      <c r="S6" s="6"/>
      <c r="T6" s="6"/>
      <c r="U6" s="6"/>
      <c r="V6" s="6"/>
      <c r="W6" s="6"/>
      <c r="X6" s="6"/>
      <c r="Y6" s="6"/>
    </row>
    <row r="7" ht="18.75" customHeight="1">
      <c r="A7" s="7">
        <v>3.0</v>
      </c>
      <c r="B7" s="8">
        <v>4.0</v>
      </c>
      <c r="C7" s="8" t="s">
        <v>12</v>
      </c>
      <c r="D7" s="8" t="s">
        <v>13</v>
      </c>
      <c r="E7" s="7">
        <v>106.0</v>
      </c>
      <c r="F7" s="7" t="s">
        <v>40</v>
      </c>
      <c r="G7" s="8" t="s">
        <v>40</v>
      </c>
      <c r="H7" s="7" t="s">
        <v>37</v>
      </c>
      <c r="I7" s="7" t="s">
        <v>17</v>
      </c>
      <c r="J7" s="8" t="s">
        <v>41</v>
      </c>
      <c r="K7" s="7" t="s">
        <v>42</v>
      </c>
      <c r="L7" s="7" t="str">
        <f t="shared" si="1"/>
        <v>Team: Tote Dumping  -  Project: Tote Dumping</v>
      </c>
      <c r="M7" s="6"/>
      <c r="N7" s="9"/>
      <c r="O7" s="6"/>
      <c r="P7" s="6"/>
      <c r="Q7" s="6"/>
      <c r="R7" s="6"/>
      <c r="S7" s="6"/>
      <c r="T7" s="6"/>
      <c r="U7" s="6"/>
      <c r="V7" s="6"/>
      <c r="W7" s="6"/>
      <c r="X7" s="6"/>
      <c r="Y7" s="6"/>
    </row>
    <row r="8" ht="18.75" customHeight="1">
      <c r="A8" s="8">
        <v>4.0</v>
      </c>
      <c r="B8" s="7">
        <v>4.0</v>
      </c>
      <c r="C8" s="8" t="s">
        <v>12</v>
      </c>
      <c r="D8" s="8" t="s">
        <v>13</v>
      </c>
      <c r="E8" s="7">
        <v>107.0</v>
      </c>
      <c r="F8" s="7" t="s">
        <v>43</v>
      </c>
      <c r="G8" s="8" t="s">
        <v>44</v>
      </c>
      <c r="H8" s="7" t="s">
        <v>45</v>
      </c>
      <c r="I8" s="7" t="s">
        <v>46</v>
      </c>
      <c r="J8" s="8" t="s">
        <v>47</v>
      </c>
      <c r="K8" s="7" t="s">
        <v>48</v>
      </c>
      <c r="L8" s="7" t="str">
        <f t="shared" si="1"/>
        <v>Team: FATT  -  Project: Failure Analysis Toolkit</v>
      </c>
      <c r="M8" s="6"/>
      <c r="N8" s="9"/>
      <c r="O8" s="6"/>
      <c r="P8" s="6"/>
      <c r="Q8" s="6"/>
      <c r="R8" s="6"/>
      <c r="S8" s="6"/>
      <c r="T8" s="6"/>
      <c r="U8" s="6"/>
      <c r="V8" s="6"/>
      <c r="W8" s="6"/>
      <c r="X8" s="6"/>
      <c r="Y8" s="6"/>
    </row>
    <row r="9" ht="18.75" customHeight="1">
      <c r="A9" s="8">
        <v>4.0</v>
      </c>
      <c r="B9" s="7">
        <v>6.0</v>
      </c>
      <c r="C9" s="8" t="s">
        <v>12</v>
      </c>
      <c r="D9" s="8" t="s">
        <v>13</v>
      </c>
      <c r="E9" s="7">
        <v>108.0</v>
      </c>
      <c r="F9" s="7" t="s">
        <v>49</v>
      </c>
      <c r="G9" s="8" t="s">
        <v>50</v>
      </c>
      <c r="H9" s="7" t="s">
        <v>45</v>
      </c>
      <c r="I9" s="7" t="s">
        <v>46</v>
      </c>
      <c r="J9" s="8" t="s">
        <v>51</v>
      </c>
      <c r="K9" s="7" t="s">
        <v>52</v>
      </c>
      <c r="L9" s="7" t="str">
        <f t="shared" si="1"/>
        <v>Team: SCARA Calibration Team  -  Project: Fixed robot calibration method</v>
      </c>
      <c r="M9" s="6"/>
      <c r="N9" s="9"/>
      <c r="O9" s="6"/>
      <c r="P9" s="6"/>
      <c r="Q9" s="6"/>
      <c r="R9" s="6"/>
      <c r="S9" s="6"/>
      <c r="T9" s="6"/>
      <c r="U9" s="6"/>
      <c r="V9" s="6"/>
      <c r="W9" s="6"/>
      <c r="X9" s="6"/>
      <c r="Y9" s="6"/>
    </row>
    <row r="10" ht="18.75" customHeight="1">
      <c r="A10" s="8">
        <v>2.0</v>
      </c>
      <c r="B10" s="7">
        <v>1.0</v>
      </c>
      <c r="C10" s="8" t="s">
        <v>12</v>
      </c>
      <c r="D10" s="8" t="s">
        <v>13</v>
      </c>
      <c r="E10" s="7">
        <v>109.0</v>
      </c>
      <c r="F10" s="7" t="s">
        <v>53</v>
      </c>
      <c r="G10" s="8" t="s">
        <v>54</v>
      </c>
      <c r="H10" s="7" t="s">
        <v>28</v>
      </c>
      <c r="I10" s="7" t="s">
        <v>17</v>
      </c>
      <c r="J10" s="8" t="s">
        <v>55</v>
      </c>
      <c r="K10" s="7" t="s">
        <v>56</v>
      </c>
      <c r="L10" s="7" t="str">
        <f t="shared" si="1"/>
        <v>Team: Life is Grape  -  Project: Winery Hose Transportation</v>
      </c>
      <c r="M10" s="6"/>
      <c r="N10" s="9"/>
      <c r="O10" s="6"/>
      <c r="P10" s="6"/>
      <c r="Q10" s="6"/>
      <c r="R10" s="6"/>
      <c r="S10" s="6"/>
      <c r="T10" s="6"/>
      <c r="U10" s="6"/>
      <c r="V10" s="6"/>
      <c r="W10" s="6"/>
      <c r="X10" s="6"/>
      <c r="Y10" s="6"/>
    </row>
    <row r="11" ht="18.75" customHeight="1">
      <c r="A11" s="8">
        <v>4.0</v>
      </c>
      <c r="B11" s="7">
        <v>5.0</v>
      </c>
      <c r="C11" s="8" t="s">
        <v>12</v>
      </c>
      <c r="D11" s="8" t="s">
        <v>13</v>
      </c>
      <c r="E11" s="7">
        <v>110.0</v>
      </c>
      <c r="F11" s="7" t="s">
        <v>57</v>
      </c>
      <c r="G11" s="8" t="s">
        <v>58</v>
      </c>
      <c r="H11" s="7" t="s">
        <v>45</v>
      </c>
      <c r="I11" s="7" t="s">
        <v>46</v>
      </c>
      <c r="J11" s="8" t="s">
        <v>59</v>
      </c>
      <c r="K11" s="7" t="s">
        <v>60</v>
      </c>
      <c r="L11" s="7" t="str">
        <f t="shared" si="1"/>
        <v>Team: Weight Watchers  -  Project: AMR Load Detection</v>
      </c>
      <c r="M11" s="6"/>
      <c r="N11" s="9"/>
      <c r="O11" s="6"/>
      <c r="P11" s="6"/>
      <c r="Q11" s="6"/>
      <c r="R11" s="6"/>
      <c r="S11" s="6"/>
      <c r="T11" s="6"/>
      <c r="U11" s="6"/>
      <c r="V11" s="6"/>
      <c r="W11" s="6"/>
      <c r="X11" s="6"/>
      <c r="Y11" s="6"/>
    </row>
    <row r="12" ht="18.75" customHeight="1">
      <c r="A12" s="8">
        <v>4.0</v>
      </c>
      <c r="B12" s="8">
        <v>2.0</v>
      </c>
      <c r="C12" s="8" t="s">
        <v>12</v>
      </c>
      <c r="D12" s="8" t="s">
        <v>13</v>
      </c>
      <c r="E12" s="7">
        <v>111.0</v>
      </c>
      <c r="F12" s="7" t="s">
        <v>61</v>
      </c>
      <c r="G12" s="8" t="s">
        <v>62</v>
      </c>
      <c r="H12" s="7" t="s">
        <v>63</v>
      </c>
      <c r="I12" s="7" t="s">
        <v>64</v>
      </c>
      <c r="J12" s="8" t="s">
        <v>65</v>
      </c>
      <c r="K12" s="7" t="s">
        <v>66</v>
      </c>
      <c r="L12" s="7" t="str">
        <f t="shared" si="1"/>
        <v>Team: O2  -  Project: Oxygen Cage Sensors &amp; Air</v>
      </c>
      <c r="M12" s="6"/>
      <c r="N12" s="9"/>
      <c r="O12" s="6"/>
      <c r="P12" s="6"/>
      <c r="Q12" s="6"/>
      <c r="R12" s="6"/>
      <c r="S12" s="6"/>
      <c r="T12" s="6"/>
      <c r="U12" s="6"/>
      <c r="V12" s="6"/>
      <c r="W12" s="6"/>
      <c r="X12" s="6"/>
      <c r="Y12" s="6"/>
    </row>
    <row r="13" ht="18.75" customHeight="1">
      <c r="A13" s="8">
        <v>1.0</v>
      </c>
      <c r="B13" s="8">
        <v>3.0</v>
      </c>
      <c r="C13" s="8" t="s">
        <v>12</v>
      </c>
      <c r="D13" s="8" t="s">
        <v>13</v>
      </c>
      <c r="E13" s="7">
        <v>112.0</v>
      </c>
      <c r="F13" s="7" t="s">
        <v>67</v>
      </c>
      <c r="G13" s="8" t="s">
        <v>68</v>
      </c>
      <c r="H13" s="7" t="s">
        <v>69</v>
      </c>
      <c r="I13" s="7" t="s">
        <v>23</v>
      </c>
      <c r="J13" s="8" t="s">
        <v>70</v>
      </c>
      <c r="K13" s="7" t="s">
        <v>71</v>
      </c>
      <c r="L13" s="7" t="str">
        <f t="shared" si="1"/>
        <v>Team: Team burier  -  Project: Irrigation Line Burier</v>
      </c>
      <c r="M13" s="6"/>
      <c r="N13" s="9"/>
      <c r="O13" s="6"/>
      <c r="P13" s="6"/>
      <c r="Q13" s="6"/>
      <c r="R13" s="6"/>
      <c r="S13" s="6"/>
      <c r="T13" s="6"/>
      <c r="U13" s="6"/>
      <c r="V13" s="6"/>
      <c r="W13" s="6"/>
      <c r="X13" s="6"/>
      <c r="Y13" s="6"/>
    </row>
    <row r="14" ht="18.75" customHeight="1">
      <c r="A14" s="8">
        <v>5.0</v>
      </c>
      <c r="B14" s="7">
        <v>3.0</v>
      </c>
      <c r="C14" s="8" t="s">
        <v>12</v>
      </c>
      <c r="D14" s="8" t="s">
        <v>13</v>
      </c>
      <c r="E14" s="7">
        <v>113.0</v>
      </c>
      <c r="F14" s="7" t="s">
        <v>72</v>
      </c>
      <c r="G14" s="8" t="s">
        <v>73</v>
      </c>
      <c r="H14" s="7" t="s">
        <v>74</v>
      </c>
      <c r="I14" s="7" t="s">
        <v>17</v>
      </c>
      <c r="J14" s="8" t="s">
        <v>75</v>
      </c>
      <c r="K14" s="7" t="s">
        <v>76</v>
      </c>
      <c r="L14" s="7" t="str">
        <f t="shared" si="1"/>
        <v>Team: Wastewater Warriors  -  Project: Waste Water Treatment Equalization Tanks Optimization</v>
      </c>
      <c r="M14" s="6"/>
      <c r="N14" s="9"/>
      <c r="O14" s="6"/>
      <c r="P14" s="6"/>
      <c r="Q14" s="6"/>
      <c r="R14" s="6"/>
      <c r="S14" s="6"/>
      <c r="T14" s="6"/>
      <c r="U14" s="6"/>
      <c r="V14" s="6"/>
      <c r="W14" s="6"/>
      <c r="X14" s="6"/>
      <c r="Y14" s="6"/>
    </row>
    <row r="15" ht="18.75" customHeight="1">
      <c r="A15" s="8">
        <v>5.0</v>
      </c>
      <c r="B15" s="7">
        <v>2.0</v>
      </c>
      <c r="C15" s="8" t="s">
        <v>12</v>
      </c>
      <c r="D15" s="8" t="s">
        <v>13</v>
      </c>
      <c r="E15" s="7">
        <v>114.0</v>
      </c>
      <c r="F15" s="7" t="s">
        <v>77</v>
      </c>
      <c r="G15" s="8" t="s">
        <v>78</v>
      </c>
      <c r="H15" s="7" t="s">
        <v>74</v>
      </c>
      <c r="I15" s="7" t="s">
        <v>17</v>
      </c>
      <c r="J15" s="8" t="s">
        <v>79</v>
      </c>
      <c r="K15" s="7" t="s">
        <v>80</v>
      </c>
      <c r="L15" s="7" t="str">
        <f t="shared" si="1"/>
        <v>Team: Butter Recovery  -  Project: Butter recovery</v>
      </c>
      <c r="M15" s="6"/>
      <c r="N15" s="9"/>
      <c r="O15" s="6"/>
      <c r="P15" s="6"/>
      <c r="Q15" s="6"/>
      <c r="R15" s="6"/>
      <c r="S15" s="6"/>
      <c r="T15" s="6"/>
      <c r="U15" s="6"/>
      <c r="V15" s="6"/>
      <c r="W15" s="6"/>
      <c r="X15" s="6"/>
      <c r="Y15" s="6"/>
    </row>
    <row r="16" ht="18.75" customHeight="1">
      <c r="A16" s="8">
        <v>2.0</v>
      </c>
      <c r="B16" s="7">
        <v>6.0</v>
      </c>
      <c r="C16" s="8" t="s">
        <v>12</v>
      </c>
      <c r="D16" s="8" t="s">
        <v>13</v>
      </c>
      <c r="E16" s="7">
        <v>115.0</v>
      </c>
      <c r="F16" s="7" t="s">
        <v>81</v>
      </c>
      <c r="G16" s="7" t="s">
        <v>82</v>
      </c>
      <c r="H16" s="7" t="s">
        <v>83</v>
      </c>
      <c r="I16" s="7" t="s">
        <v>84</v>
      </c>
      <c r="J16" s="8" t="s">
        <v>85</v>
      </c>
      <c r="K16" s="7" t="s">
        <v>86</v>
      </c>
      <c r="L16" s="7" t="str">
        <f t="shared" si="1"/>
        <v>Team: Team Beta  -  Project: Adjustable Bike Seat Extension</v>
      </c>
      <c r="M16" s="6"/>
      <c r="N16" s="9"/>
      <c r="O16" s="6"/>
      <c r="P16" s="6"/>
      <c r="Q16" s="6"/>
      <c r="R16" s="6"/>
      <c r="S16" s="6"/>
      <c r="T16" s="6"/>
      <c r="U16" s="6"/>
      <c r="V16" s="6"/>
      <c r="W16" s="6"/>
      <c r="X16" s="6"/>
      <c r="Y16" s="6"/>
    </row>
    <row r="17" ht="18.75" customHeight="1">
      <c r="A17" s="8">
        <v>5.0</v>
      </c>
      <c r="B17" s="7">
        <v>4.0</v>
      </c>
      <c r="C17" s="8" t="s">
        <v>12</v>
      </c>
      <c r="D17" s="8" t="s">
        <v>13</v>
      </c>
      <c r="E17" s="7">
        <v>116.0</v>
      </c>
      <c r="F17" s="7" t="s">
        <v>87</v>
      </c>
      <c r="G17" s="8" t="s">
        <v>88</v>
      </c>
      <c r="H17" s="7" t="s">
        <v>89</v>
      </c>
      <c r="I17" s="7" t="s">
        <v>46</v>
      </c>
      <c r="J17" s="8" t="s">
        <v>90</v>
      </c>
      <c r="K17" s="7" t="s">
        <v>91</v>
      </c>
      <c r="L17" s="7" t="str">
        <f t="shared" si="1"/>
        <v>Team: Pigeon Mitigators  -  Project: Eco-Friendly Resolution for Stations and System Facilities: Pigeon Mitigation</v>
      </c>
      <c r="M17" s="6"/>
      <c r="N17" s="9"/>
      <c r="O17" s="6"/>
      <c r="P17" s="6"/>
      <c r="Q17" s="6"/>
      <c r="R17" s="6"/>
      <c r="S17" s="6"/>
      <c r="T17" s="6"/>
      <c r="U17" s="6"/>
      <c r="V17" s="6"/>
      <c r="W17" s="6"/>
      <c r="X17" s="6"/>
      <c r="Y17" s="6"/>
    </row>
    <row r="18" ht="18.75" customHeight="1">
      <c r="A18" s="8">
        <v>1.0</v>
      </c>
      <c r="B18" s="8">
        <v>6.0</v>
      </c>
      <c r="C18" s="8" t="s">
        <v>12</v>
      </c>
      <c r="D18" s="8" t="s">
        <v>13</v>
      </c>
      <c r="E18" s="7">
        <v>117.0</v>
      </c>
      <c r="F18" s="7" t="s">
        <v>92</v>
      </c>
      <c r="G18" s="8" t="s">
        <v>93</v>
      </c>
      <c r="H18" s="7" t="s">
        <v>94</v>
      </c>
      <c r="I18" s="7" t="s">
        <v>23</v>
      </c>
      <c r="J18" s="8" t="s">
        <v>95</v>
      </c>
      <c r="K18" s="7" t="s">
        <v>96</v>
      </c>
      <c r="L18" s="7" t="str">
        <f t="shared" si="1"/>
        <v>Team: Robotic Plants  -  Project: Empty Tray Palletizing System</v>
      </c>
      <c r="M18" s="6"/>
      <c r="N18" s="9"/>
      <c r="O18" s="6"/>
      <c r="P18" s="6"/>
      <c r="Q18" s="6"/>
      <c r="R18" s="6"/>
      <c r="S18" s="6"/>
      <c r="T18" s="6"/>
      <c r="U18" s="6"/>
      <c r="V18" s="6"/>
      <c r="W18" s="6"/>
      <c r="X18" s="6"/>
      <c r="Y18" s="6"/>
    </row>
    <row r="19" ht="18.75" customHeight="1">
      <c r="A19" s="8">
        <v>2.0</v>
      </c>
      <c r="B19" s="8">
        <v>3.0</v>
      </c>
      <c r="C19" s="8" t="s">
        <v>12</v>
      </c>
      <c r="D19" s="8" t="s">
        <v>13</v>
      </c>
      <c r="E19" s="7">
        <v>118.0</v>
      </c>
      <c r="F19" s="7" t="s">
        <v>97</v>
      </c>
      <c r="G19" s="8" t="s">
        <v>98</v>
      </c>
      <c r="H19" s="7" t="s">
        <v>99</v>
      </c>
      <c r="I19" s="7" t="s">
        <v>23</v>
      </c>
      <c r="J19" s="8" t="s">
        <v>100</v>
      </c>
      <c r="K19" s="7" t="s">
        <v>101</v>
      </c>
      <c r="L19" s="7" t="str">
        <f t="shared" si="1"/>
        <v>Team: Welding Defenders  -  Project: Improvements of Welding Efficiency and Safety</v>
      </c>
      <c r="M19" s="6"/>
      <c r="N19" s="9"/>
      <c r="O19" s="6"/>
      <c r="P19" s="6"/>
      <c r="Q19" s="6"/>
      <c r="R19" s="6"/>
      <c r="S19" s="6"/>
      <c r="T19" s="6"/>
      <c r="U19" s="6"/>
      <c r="V19" s="6"/>
      <c r="W19" s="6"/>
      <c r="X19" s="6"/>
      <c r="Y19" s="6"/>
    </row>
    <row r="20" ht="18.75" customHeight="1">
      <c r="A20" s="8">
        <v>2.0</v>
      </c>
      <c r="B20" s="7">
        <v>4.0</v>
      </c>
      <c r="C20" s="8" t="s">
        <v>12</v>
      </c>
      <c r="D20" s="8" t="s">
        <v>13</v>
      </c>
      <c r="E20" s="7">
        <v>119.0</v>
      </c>
      <c r="F20" s="7" t="s">
        <v>102</v>
      </c>
      <c r="G20" s="8" t="s">
        <v>103</v>
      </c>
      <c r="H20" s="7" t="s">
        <v>104</v>
      </c>
      <c r="I20" s="7" t="s">
        <v>17</v>
      </c>
      <c r="J20" s="8" t="s">
        <v>105</v>
      </c>
      <c r="K20" s="7" t="s">
        <v>106</v>
      </c>
      <c r="L20" s="7" t="str">
        <f t="shared" si="1"/>
        <v>Team: New Heights  -  Project: E-sort Line Ladder in Hand Sort Room</v>
      </c>
      <c r="M20" s="6"/>
      <c r="N20" s="9"/>
      <c r="O20" s="6"/>
      <c r="P20" s="6"/>
      <c r="Q20" s="6"/>
      <c r="R20" s="6"/>
      <c r="S20" s="6"/>
      <c r="T20" s="6"/>
      <c r="U20" s="6"/>
      <c r="V20" s="6"/>
      <c r="W20" s="6"/>
      <c r="X20" s="6"/>
      <c r="Y20" s="6"/>
    </row>
    <row r="21" ht="18.75" customHeight="1">
      <c r="A21" s="8">
        <v>3.0</v>
      </c>
      <c r="B21" s="7">
        <v>1.0</v>
      </c>
      <c r="C21" s="8" t="s">
        <v>12</v>
      </c>
      <c r="D21" s="8" t="s">
        <v>13</v>
      </c>
      <c r="E21" s="7">
        <v>120.0</v>
      </c>
      <c r="F21" s="7" t="s">
        <v>107</v>
      </c>
      <c r="G21" s="8" t="s">
        <v>108</v>
      </c>
      <c r="H21" s="7" t="s">
        <v>104</v>
      </c>
      <c r="I21" s="7" t="s">
        <v>17</v>
      </c>
      <c r="J21" s="8" t="s">
        <v>109</v>
      </c>
      <c r="K21" s="7" t="s">
        <v>110</v>
      </c>
      <c r="L21" s="7" t="str">
        <f t="shared" si="1"/>
        <v>Team: Team Nuts  -  Project: Roaster Floor Sweep</v>
      </c>
      <c r="M21" s="6"/>
      <c r="N21" s="9"/>
      <c r="O21" s="6"/>
      <c r="P21" s="6"/>
      <c r="Q21" s="6"/>
      <c r="R21" s="6"/>
      <c r="S21" s="6"/>
      <c r="T21" s="6"/>
      <c r="U21" s="6"/>
      <c r="V21" s="6"/>
      <c r="W21" s="6"/>
      <c r="X21" s="6"/>
      <c r="Y21" s="6"/>
    </row>
    <row r="22" ht="18.75" customHeight="1">
      <c r="A22" s="8">
        <v>2.0</v>
      </c>
      <c r="B22" s="7">
        <v>5.0</v>
      </c>
      <c r="C22" s="8" t="s">
        <v>12</v>
      </c>
      <c r="D22" s="8" t="s">
        <v>13</v>
      </c>
      <c r="E22" s="7">
        <v>121.0</v>
      </c>
      <c r="F22" s="7" t="s">
        <v>111</v>
      </c>
      <c r="G22" s="8" t="s">
        <v>112</v>
      </c>
      <c r="H22" s="7" t="s">
        <v>104</v>
      </c>
      <c r="I22" s="7" t="s">
        <v>17</v>
      </c>
      <c r="J22" s="8" t="s">
        <v>113</v>
      </c>
      <c r="K22" s="7" t="s">
        <v>114</v>
      </c>
      <c r="L22" s="7" t="str">
        <f t="shared" si="1"/>
        <v>Team: DICE  -  Project: Dice Line Ladder Use at the Metal Detector</v>
      </c>
      <c r="M22" s="6"/>
      <c r="N22" s="9"/>
      <c r="O22" s="6"/>
      <c r="P22" s="6"/>
      <c r="Q22" s="6"/>
      <c r="R22" s="6"/>
      <c r="S22" s="6"/>
      <c r="T22" s="6"/>
      <c r="U22" s="6"/>
      <c r="V22" s="6"/>
      <c r="W22" s="6"/>
      <c r="X22" s="6"/>
      <c r="Y22" s="6"/>
    </row>
    <row r="23" ht="18.75" customHeight="1">
      <c r="A23" s="8">
        <v>3.0</v>
      </c>
      <c r="B23" s="7">
        <v>2.0</v>
      </c>
      <c r="C23" s="8" t="s">
        <v>12</v>
      </c>
      <c r="D23" s="8" t="s">
        <v>13</v>
      </c>
      <c r="E23" s="7">
        <v>122.0</v>
      </c>
      <c r="F23" s="7" t="s">
        <v>115</v>
      </c>
      <c r="G23" s="8" t="s">
        <v>116</v>
      </c>
      <c r="H23" s="7" t="s">
        <v>117</v>
      </c>
      <c r="I23" s="7" t="s">
        <v>17</v>
      </c>
      <c r="J23" s="8" t="s">
        <v>118</v>
      </c>
      <c r="K23" s="7" t="s">
        <v>119</v>
      </c>
      <c r="L23" s="7" t="str">
        <f t="shared" si="1"/>
        <v>Team: Team IMProve  -  Project: Improved Moisture Measurement and Control in Pomace Drying Operations</v>
      </c>
      <c r="M23" s="6"/>
      <c r="N23" s="9"/>
      <c r="O23" s="6"/>
      <c r="P23" s="6"/>
      <c r="Q23" s="6"/>
      <c r="R23" s="6"/>
      <c r="S23" s="6"/>
      <c r="T23" s="6"/>
      <c r="U23" s="6"/>
      <c r="V23" s="6"/>
      <c r="W23" s="6"/>
      <c r="X23" s="6"/>
      <c r="Y23" s="6"/>
    </row>
    <row r="24" ht="18.75" customHeight="1">
      <c r="A24" s="8">
        <v>1.0</v>
      </c>
      <c r="B24" s="8">
        <v>1.0</v>
      </c>
      <c r="C24" s="8" t="s">
        <v>12</v>
      </c>
      <c r="D24" s="8" t="s">
        <v>13</v>
      </c>
      <c r="E24" s="7">
        <v>123.0</v>
      </c>
      <c r="F24" s="7" t="s">
        <v>120</v>
      </c>
      <c r="G24" s="8" t="s">
        <v>121</v>
      </c>
      <c r="H24" s="7" t="s">
        <v>117</v>
      </c>
      <c r="I24" s="7" t="s">
        <v>17</v>
      </c>
      <c r="J24" s="8" t="s">
        <v>122</v>
      </c>
      <c r="K24" s="7" t="s">
        <v>123</v>
      </c>
      <c r="L24" s="7" t="str">
        <f t="shared" si="1"/>
        <v>Team: Dehydrating Tomato Halves  -  Project: Dehydrating Tomato Halves Improvement</v>
      </c>
      <c r="M24" s="6"/>
      <c r="N24" s="9"/>
      <c r="O24" s="6"/>
      <c r="P24" s="6"/>
      <c r="Q24" s="6"/>
      <c r="R24" s="6"/>
      <c r="S24" s="6"/>
      <c r="T24" s="6"/>
      <c r="U24" s="6"/>
      <c r="V24" s="6"/>
      <c r="W24" s="6"/>
      <c r="X24" s="6"/>
      <c r="Y24" s="6"/>
    </row>
    <row r="25" ht="18.75" customHeight="1">
      <c r="A25" s="8">
        <v>4.0</v>
      </c>
      <c r="B25" s="8">
        <v>3.0</v>
      </c>
      <c r="C25" s="8" t="s">
        <v>12</v>
      </c>
      <c r="D25" s="8" t="s">
        <v>13</v>
      </c>
      <c r="E25" s="7">
        <v>124.0</v>
      </c>
      <c r="F25" s="7" t="s">
        <v>124</v>
      </c>
      <c r="G25" s="8" t="s">
        <v>125</v>
      </c>
      <c r="H25" s="7" t="s">
        <v>117</v>
      </c>
      <c r="I25" s="7" t="s">
        <v>17</v>
      </c>
      <c r="J25" s="8" t="s">
        <v>126</v>
      </c>
      <c r="K25" s="7" t="s">
        <v>127</v>
      </c>
      <c r="L25" s="7" t="str">
        <f t="shared" si="1"/>
        <v>Team: Steam Team  -  Project: Alternative to Steam Ejector to Create Vacuum in Evaporation Process</v>
      </c>
      <c r="M25" s="6"/>
      <c r="N25" s="9"/>
      <c r="O25" s="6"/>
      <c r="P25" s="6"/>
      <c r="Q25" s="6"/>
      <c r="R25" s="6"/>
      <c r="S25" s="6"/>
      <c r="T25" s="6"/>
      <c r="U25" s="6"/>
      <c r="V25" s="6"/>
      <c r="W25" s="6"/>
      <c r="X25" s="6"/>
      <c r="Y25" s="6"/>
    </row>
    <row r="26" ht="18.75" customHeight="1">
      <c r="A26" s="8">
        <v>1.0</v>
      </c>
      <c r="B26" s="7">
        <v>4.0</v>
      </c>
      <c r="C26" s="8" t="s">
        <v>12</v>
      </c>
      <c r="D26" s="8" t="s">
        <v>13</v>
      </c>
      <c r="E26" s="7">
        <v>125.0</v>
      </c>
      <c r="F26" s="7" t="s">
        <v>128</v>
      </c>
      <c r="G26" s="8" t="s">
        <v>129</v>
      </c>
      <c r="H26" s="7" t="s">
        <v>130</v>
      </c>
      <c r="I26" s="7" t="s">
        <v>23</v>
      </c>
      <c r="J26" s="8" t="s">
        <v>131</v>
      </c>
      <c r="K26" s="7" t="s">
        <v>132</v>
      </c>
      <c r="L26" s="7" t="str">
        <f t="shared" si="1"/>
        <v>Team: Aquatic Solutions  -  Project: Turbidity Measurement Tool for Nursery</v>
      </c>
      <c r="M26" s="6"/>
      <c r="N26" s="9"/>
      <c r="O26" s="6"/>
      <c r="P26" s="6"/>
      <c r="Q26" s="6"/>
      <c r="R26" s="6"/>
      <c r="S26" s="6"/>
      <c r="T26" s="6"/>
      <c r="U26" s="6"/>
      <c r="V26" s="6"/>
      <c r="W26" s="6"/>
      <c r="X26" s="6"/>
      <c r="Y26" s="6"/>
    </row>
    <row r="27" ht="18.75" customHeight="1">
      <c r="A27" s="8">
        <v>1.0</v>
      </c>
      <c r="B27" s="7">
        <v>5.0</v>
      </c>
      <c r="C27" s="8" t="s">
        <v>12</v>
      </c>
      <c r="D27" s="8" t="s">
        <v>13</v>
      </c>
      <c r="E27" s="7">
        <v>126.0</v>
      </c>
      <c r="F27" s="7" t="s">
        <v>133</v>
      </c>
      <c r="G27" s="8" t="s">
        <v>134</v>
      </c>
      <c r="H27" s="7" t="s">
        <v>130</v>
      </c>
      <c r="I27" s="7" t="s">
        <v>23</v>
      </c>
      <c r="J27" s="8" t="s">
        <v>135</v>
      </c>
      <c r="K27" s="7" t="s">
        <v>136</v>
      </c>
      <c r="L27" s="7" t="str">
        <f t="shared" si="1"/>
        <v>Team: HydraControl  -  Project: Irrigation by Plant Weight for Containerized Nursery</v>
      </c>
      <c r="M27" s="6"/>
      <c r="N27" s="9"/>
      <c r="O27" s="6"/>
      <c r="P27" s="6"/>
      <c r="Q27" s="6"/>
      <c r="R27" s="6"/>
      <c r="S27" s="6"/>
      <c r="T27" s="6"/>
      <c r="U27" s="6"/>
      <c r="V27" s="6"/>
      <c r="W27" s="6"/>
      <c r="X27" s="6"/>
      <c r="Y27" s="6"/>
    </row>
    <row r="28" ht="18.75" customHeight="1">
      <c r="A28" s="8">
        <v>3.0</v>
      </c>
      <c r="B28" s="7">
        <v>6.0</v>
      </c>
      <c r="C28" s="8" t="s">
        <v>12</v>
      </c>
      <c r="D28" s="8" t="s">
        <v>13</v>
      </c>
      <c r="E28" s="7">
        <v>127.0</v>
      </c>
      <c r="F28" s="7" t="s">
        <v>137</v>
      </c>
      <c r="G28" s="8" t="s">
        <v>138</v>
      </c>
      <c r="H28" s="7" t="s">
        <v>139</v>
      </c>
      <c r="I28" s="7" t="s">
        <v>17</v>
      </c>
      <c r="J28" s="8" t="s">
        <v>140</v>
      </c>
      <c r="K28" s="7" t="s">
        <v>141</v>
      </c>
      <c r="L28" s="7" t="str">
        <f t="shared" si="1"/>
        <v>Team: Tomato Diversion Control  -  Project: Tomato Bins Diversion Control</v>
      </c>
      <c r="M28" s="6"/>
      <c r="N28" s="9"/>
      <c r="O28" s="6"/>
      <c r="P28" s="6"/>
      <c r="Q28" s="6"/>
      <c r="R28" s="6"/>
      <c r="S28" s="6"/>
      <c r="T28" s="6"/>
      <c r="U28" s="6"/>
      <c r="V28" s="6"/>
      <c r="W28" s="6"/>
      <c r="X28" s="6"/>
      <c r="Y28" s="6"/>
    </row>
    <row r="29" ht="18.75" customHeight="1">
      <c r="A29" s="8">
        <v>4.0</v>
      </c>
      <c r="B29" s="7">
        <v>1.0</v>
      </c>
      <c r="C29" s="8" t="s">
        <v>12</v>
      </c>
      <c r="D29" s="8" t="s">
        <v>13</v>
      </c>
      <c r="E29" s="7">
        <v>128.0</v>
      </c>
      <c r="F29" s="7" t="s">
        <v>142</v>
      </c>
      <c r="G29" s="8" t="s">
        <v>143</v>
      </c>
      <c r="H29" s="7" t="s">
        <v>144</v>
      </c>
      <c r="I29" s="7" t="s">
        <v>17</v>
      </c>
      <c r="J29" s="8" t="s">
        <v>145</v>
      </c>
      <c r="K29" s="7" t="s">
        <v>146</v>
      </c>
      <c r="L29" s="7" t="str">
        <f t="shared" si="1"/>
        <v>Team: Can Detect  -  Project: Can damage detection and reject</v>
      </c>
      <c r="M29" s="6"/>
      <c r="N29" s="9"/>
      <c r="O29" s="6"/>
      <c r="P29" s="6"/>
      <c r="Q29" s="6"/>
      <c r="R29" s="6"/>
      <c r="S29" s="6"/>
      <c r="T29" s="6"/>
      <c r="U29" s="6"/>
      <c r="V29" s="6"/>
      <c r="W29" s="6"/>
      <c r="X29" s="6"/>
      <c r="Y29" s="6"/>
    </row>
    <row r="30" ht="18.75" customHeight="1">
      <c r="A30" s="8">
        <v>1.0</v>
      </c>
      <c r="B30" s="8">
        <v>2.0</v>
      </c>
      <c r="C30" s="8" t="s">
        <v>12</v>
      </c>
      <c r="D30" s="8" t="s">
        <v>13</v>
      </c>
      <c r="E30" s="7">
        <v>129.0</v>
      </c>
      <c r="F30" s="7" t="s">
        <v>147</v>
      </c>
      <c r="G30" s="8" t="s">
        <v>148</v>
      </c>
      <c r="H30" s="7" t="s">
        <v>149</v>
      </c>
      <c r="I30" s="7" t="s">
        <v>23</v>
      </c>
      <c r="J30" s="8" t="s">
        <v>150</v>
      </c>
      <c r="K30" s="7" t="s">
        <v>151</v>
      </c>
      <c r="L30" s="7" t="str">
        <f t="shared" si="1"/>
        <v>Team: Innovate to Growbot  -  Project: Design and Development of an End-Effector for Collecting Leaf Spectral Data</v>
      </c>
      <c r="M30" s="6"/>
      <c r="N30" s="9"/>
      <c r="O30" s="6"/>
      <c r="P30" s="6"/>
      <c r="Q30" s="6"/>
      <c r="R30" s="6"/>
      <c r="S30" s="6"/>
      <c r="T30" s="6"/>
      <c r="U30" s="6"/>
      <c r="V30" s="6"/>
      <c r="W30" s="6"/>
      <c r="X30" s="6"/>
      <c r="Y30" s="6"/>
    </row>
    <row r="31" ht="18.75" customHeight="1">
      <c r="A31" s="8">
        <v>5.0</v>
      </c>
      <c r="B31" s="8">
        <v>1.0</v>
      </c>
      <c r="C31" s="8" t="s">
        <v>12</v>
      </c>
      <c r="D31" s="8" t="s">
        <v>13</v>
      </c>
      <c r="E31" s="7">
        <v>130.0</v>
      </c>
      <c r="F31" s="7" t="s">
        <v>152</v>
      </c>
      <c r="G31" s="8" t="s">
        <v>153</v>
      </c>
      <c r="H31" s="7" t="s">
        <v>154</v>
      </c>
      <c r="I31" s="7" t="s">
        <v>155</v>
      </c>
      <c r="J31" s="8" t="s">
        <v>156</v>
      </c>
      <c r="K31" s="7" t="s">
        <v>157</v>
      </c>
      <c r="L31" s="7" t="str">
        <f t="shared" si="1"/>
        <v>Team: The Green Machine  -  Project: Biochar Stabilization</v>
      </c>
      <c r="M31" s="6"/>
      <c r="N31" s="9"/>
      <c r="O31" s="6"/>
      <c r="P31" s="6"/>
      <c r="Q31" s="6"/>
      <c r="R31" s="6"/>
      <c r="S31" s="6"/>
      <c r="T31" s="6"/>
      <c r="U31" s="6"/>
      <c r="V31" s="6"/>
      <c r="W31" s="6"/>
      <c r="X31" s="6"/>
      <c r="Y31" s="6"/>
    </row>
    <row r="32" ht="18.75" customHeight="1">
      <c r="A32" s="7">
        <v>8.0</v>
      </c>
      <c r="B32" s="8">
        <v>4.0</v>
      </c>
      <c r="C32" s="8" t="s">
        <v>158</v>
      </c>
      <c r="D32" s="8" t="s">
        <v>159</v>
      </c>
      <c r="E32" s="10">
        <v>301.0</v>
      </c>
      <c r="F32" s="7" t="s">
        <v>160</v>
      </c>
      <c r="G32" s="11" t="s">
        <v>161</v>
      </c>
      <c r="H32" s="7" t="s">
        <v>162</v>
      </c>
      <c r="I32" s="7" t="s">
        <v>163</v>
      </c>
      <c r="J32" s="8" t="s">
        <v>164</v>
      </c>
      <c r="K32" s="7" t="s">
        <v>165</v>
      </c>
      <c r="L32" s="7" t="str">
        <f t="shared" si="1"/>
        <v>Team: Team Sunshine  -  Project: Solar Industrial Process Heating - Cloud Access and Remote Control</v>
      </c>
      <c r="M32" s="6"/>
      <c r="N32" s="12"/>
      <c r="O32" s="13"/>
      <c r="P32" s="14"/>
      <c r="Q32" s="6"/>
      <c r="R32" s="6"/>
      <c r="S32" s="6"/>
      <c r="T32" s="6"/>
      <c r="U32" s="6"/>
      <c r="V32" s="6"/>
      <c r="W32" s="6"/>
      <c r="X32" s="6"/>
      <c r="Y32" s="6"/>
    </row>
    <row r="33" ht="18.75" customHeight="1">
      <c r="A33" s="7">
        <v>9.0</v>
      </c>
      <c r="B33" s="8">
        <v>1.0</v>
      </c>
      <c r="C33" s="8" t="s">
        <v>158</v>
      </c>
      <c r="D33" s="8" t="s">
        <v>159</v>
      </c>
      <c r="E33" s="10">
        <v>302.0</v>
      </c>
      <c r="F33" s="7" t="s">
        <v>166</v>
      </c>
      <c r="G33" s="11" t="s">
        <v>161</v>
      </c>
      <c r="H33" s="7" t="s">
        <v>162</v>
      </c>
      <c r="I33" s="7" t="s">
        <v>163</v>
      </c>
      <c r="J33" s="8" t="s">
        <v>167</v>
      </c>
      <c r="K33" s="7" t="s">
        <v>168</v>
      </c>
      <c r="L33" s="7" t="str">
        <f t="shared" si="1"/>
        <v>Team: Team Optics  -  Project: Solar Industrial Process Heating - Cloud Access and Remote Control</v>
      </c>
      <c r="M33" s="6"/>
      <c r="N33" s="12"/>
      <c r="O33" s="15"/>
      <c r="P33" s="14"/>
      <c r="Q33" s="6"/>
      <c r="R33" s="6"/>
      <c r="S33" s="6"/>
      <c r="T33" s="6"/>
      <c r="U33" s="6"/>
      <c r="V33" s="6"/>
      <c r="W33" s="6"/>
      <c r="X33" s="6"/>
      <c r="Y33" s="6"/>
    </row>
    <row r="34" ht="18.75" customHeight="1">
      <c r="A34" s="7">
        <v>11.0</v>
      </c>
      <c r="B34" s="7">
        <v>5.0</v>
      </c>
      <c r="C34" s="8" t="s">
        <v>158</v>
      </c>
      <c r="D34" s="8" t="s">
        <v>159</v>
      </c>
      <c r="E34" s="10">
        <v>303.0</v>
      </c>
      <c r="F34" s="7" t="s">
        <v>169</v>
      </c>
      <c r="G34" s="16" t="s">
        <v>170</v>
      </c>
      <c r="H34" s="7" t="s">
        <v>171</v>
      </c>
      <c r="I34" s="7" t="s">
        <v>163</v>
      </c>
      <c r="J34" s="8" t="s">
        <v>172</v>
      </c>
      <c r="K34" s="7" t="s">
        <v>173</v>
      </c>
      <c r="L34" s="7" t="str">
        <f t="shared" si="1"/>
        <v>Team: Blue Resonance  -  Project: Optimal Production Scheduler</v>
      </c>
      <c r="M34" s="6"/>
      <c r="N34" s="12"/>
      <c r="O34" s="13"/>
      <c r="P34" s="14"/>
      <c r="Q34" s="6"/>
      <c r="R34" s="6"/>
      <c r="S34" s="6"/>
      <c r="T34" s="6"/>
      <c r="U34" s="6"/>
      <c r="V34" s="6"/>
      <c r="W34" s="6"/>
      <c r="X34" s="6"/>
      <c r="Y34" s="6"/>
    </row>
    <row r="35" ht="18.75" customHeight="1">
      <c r="A35" s="7">
        <v>9.0</v>
      </c>
      <c r="B35" s="7">
        <v>7.0</v>
      </c>
      <c r="C35" s="8" t="s">
        <v>158</v>
      </c>
      <c r="D35" s="8" t="s">
        <v>159</v>
      </c>
      <c r="E35" s="10">
        <v>304.0</v>
      </c>
      <c r="F35" s="7" t="s">
        <v>174</v>
      </c>
      <c r="G35" s="16" t="s">
        <v>170</v>
      </c>
      <c r="H35" s="7" t="s">
        <v>171</v>
      </c>
      <c r="I35" s="7" t="s">
        <v>163</v>
      </c>
      <c r="J35" s="8" t="s">
        <v>175</v>
      </c>
      <c r="K35" s="7" t="s">
        <v>176</v>
      </c>
      <c r="L35" s="7" t="str">
        <f t="shared" si="1"/>
        <v>Team: Big Precision  -  Project: Optimal Production Scheduler</v>
      </c>
      <c r="M35" s="6"/>
      <c r="N35" s="12"/>
      <c r="O35" s="13"/>
      <c r="P35" s="14"/>
      <c r="Q35" s="6"/>
      <c r="R35" s="6"/>
      <c r="S35" s="6"/>
      <c r="T35" s="6"/>
      <c r="U35" s="6"/>
      <c r="V35" s="6"/>
      <c r="W35" s="6"/>
      <c r="X35" s="6"/>
      <c r="Y35" s="6"/>
    </row>
    <row r="36" ht="18.75" customHeight="1">
      <c r="A36" s="7">
        <v>10.0</v>
      </c>
      <c r="B36" s="7">
        <v>6.0</v>
      </c>
      <c r="C36" s="8" t="s">
        <v>158</v>
      </c>
      <c r="D36" s="8" t="s">
        <v>159</v>
      </c>
      <c r="E36" s="10">
        <v>305.0</v>
      </c>
      <c r="F36" s="7" t="s">
        <v>177</v>
      </c>
      <c r="G36" s="11" t="s">
        <v>178</v>
      </c>
      <c r="H36" s="7" t="s">
        <v>171</v>
      </c>
      <c r="I36" s="7" t="s">
        <v>163</v>
      </c>
      <c r="J36" s="8" t="s">
        <v>179</v>
      </c>
      <c r="K36" s="7" t="s">
        <v>180</v>
      </c>
      <c r="L36" s="7" t="str">
        <f t="shared" si="1"/>
        <v>Team: The Three Musketeers  -  Project: Inventory Management Engine</v>
      </c>
      <c r="M36" s="6"/>
      <c r="N36" s="12"/>
      <c r="O36" s="13"/>
      <c r="P36" s="14"/>
      <c r="Q36" s="6"/>
      <c r="R36" s="6"/>
      <c r="S36" s="6"/>
      <c r="T36" s="6"/>
      <c r="U36" s="6"/>
      <c r="V36" s="6"/>
      <c r="W36" s="6"/>
      <c r="X36" s="6"/>
      <c r="Y36" s="6"/>
    </row>
    <row r="37" ht="18.75" customHeight="1">
      <c r="A37" s="7">
        <v>8.0</v>
      </c>
      <c r="B37" s="7">
        <v>8.0</v>
      </c>
      <c r="C37" s="8" t="s">
        <v>158</v>
      </c>
      <c r="D37" s="8" t="s">
        <v>159</v>
      </c>
      <c r="E37" s="10">
        <v>306.0</v>
      </c>
      <c r="F37" s="7" t="s">
        <v>181</v>
      </c>
      <c r="G37" s="11" t="s">
        <v>178</v>
      </c>
      <c r="H37" s="7" t="s">
        <v>171</v>
      </c>
      <c r="I37" s="7" t="s">
        <v>163</v>
      </c>
      <c r="J37" s="8" t="s">
        <v>182</v>
      </c>
      <c r="K37" s="7" t="s">
        <v>183</v>
      </c>
      <c r="L37" s="7" t="str">
        <f t="shared" si="1"/>
        <v>Team: House Cleaning  -  Project: Inventory Management Engine</v>
      </c>
      <c r="M37" s="6"/>
      <c r="N37" s="12"/>
      <c r="O37" s="15"/>
      <c r="P37" s="14"/>
      <c r="Q37" s="6"/>
      <c r="R37" s="6"/>
      <c r="S37" s="6"/>
      <c r="T37" s="6"/>
      <c r="U37" s="6"/>
      <c r="V37" s="6"/>
      <c r="W37" s="6"/>
      <c r="X37" s="6"/>
      <c r="Y37" s="6"/>
    </row>
    <row r="38" ht="18.75" customHeight="1">
      <c r="A38" s="7">
        <v>10.0</v>
      </c>
      <c r="B38" s="7">
        <v>2.0</v>
      </c>
      <c r="C38" s="8" t="s">
        <v>158</v>
      </c>
      <c r="D38" s="8" t="s">
        <v>159</v>
      </c>
      <c r="E38" s="10">
        <v>307.0</v>
      </c>
      <c r="F38" s="7" t="s">
        <v>184</v>
      </c>
      <c r="G38" s="11" t="s">
        <v>185</v>
      </c>
      <c r="H38" s="7" t="s">
        <v>186</v>
      </c>
      <c r="I38" s="7" t="s">
        <v>23</v>
      </c>
      <c r="J38" s="8" t="s">
        <v>187</v>
      </c>
      <c r="K38" s="7" t="s">
        <v>188</v>
      </c>
      <c r="L38" s="7" t="str">
        <f t="shared" si="1"/>
        <v>Team: Tree2Tree  -  Project: Automated Inventory System of Planted Trees in a Farm</v>
      </c>
      <c r="M38" s="6"/>
      <c r="N38" s="12"/>
      <c r="O38" s="15"/>
      <c r="P38" s="14"/>
      <c r="Q38" s="6"/>
      <c r="R38" s="6"/>
      <c r="S38" s="6"/>
      <c r="T38" s="6"/>
      <c r="U38" s="6"/>
      <c r="V38" s="6"/>
      <c r="W38" s="6"/>
      <c r="X38" s="6"/>
      <c r="Y38" s="6"/>
    </row>
    <row r="39" ht="18.75" customHeight="1">
      <c r="A39" s="7">
        <v>11.0</v>
      </c>
      <c r="B39" s="8">
        <v>6.0</v>
      </c>
      <c r="C39" s="8" t="s">
        <v>158</v>
      </c>
      <c r="D39" s="8" t="s">
        <v>159</v>
      </c>
      <c r="E39" s="10">
        <v>308.0</v>
      </c>
      <c r="F39" s="7" t="s">
        <v>189</v>
      </c>
      <c r="G39" s="16" t="s">
        <v>185</v>
      </c>
      <c r="H39" s="7" t="s">
        <v>186</v>
      </c>
      <c r="I39" s="7" t="s">
        <v>23</v>
      </c>
      <c r="J39" s="8" t="s">
        <v>190</v>
      </c>
      <c r="K39" s="7" t="s">
        <v>191</v>
      </c>
      <c r="L39" s="7" t="str">
        <f t="shared" si="1"/>
        <v>Team: Tree 08  -  Project: Automated Inventory System of Planted Trees in a Farm</v>
      </c>
      <c r="M39" s="6"/>
      <c r="N39" s="12"/>
      <c r="O39" s="13"/>
      <c r="P39" s="14"/>
      <c r="Q39" s="6"/>
      <c r="R39" s="6"/>
      <c r="S39" s="6"/>
      <c r="T39" s="6"/>
      <c r="U39" s="6"/>
      <c r="V39" s="6"/>
      <c r="W39" s="6"/>
      <c r="X39" s="6"/>
      <c r="Y39" s="6"/>
    </row>
    <row r="40" ht="18.75" customHeight="1">
      <c r="A40" s="7">
        <v>8.0</v>
      </c>
      <c r="B40" s="8">
        <v>1.0</v>
      </c>
      <c r="C40" s="8" t="s">
        <v>158</v>
      </c>
      <c r="D40" s="8" t="s">
        <v>159</v>
      </c>
      <c r="E40" s="10">
        <v>309.0</v>
      </c>
      <c r="F40" s="7" t="s">
        <v>192</v>
      </c>
      <c r="G40" s="16" t="s">
        <v>193</v>
      </c>
      <c r="H40" s="7" t="s">
        <v>45</v>
      </c>
      <c r="I40" s="7" t="s">
        <v>46</v>
      </c>
      <c r="J40" s="8" t="s">
        <v>194</v>
      </c>
      <c r="K40" s="7" t="s">
        <v>195</v>
      </c>
      <c r="L40" s="7" t="str">
        <f t="shared" si="1"/>
        <v>Team: Swole Autobots  -  Project: Automation of Visual Inspection</v>
      </c>
      <c r="M40" s="6"/>
      <c r="N40" s="12"/>
      <c r="O40" s="13"/>
      <c r="P40" s="14"/>
      <c r="Q40" s="6"/>
      <c r="R40" s="6"/>
      <c r="S40" s="6"/>
      <c r="T40" s="6"/>
      <c r="U40" s="6"/>
      <c r="V40" s="6"/>
      <c r="W40" s="6"/>
      <c r="X40" s="6"/>
      <c r="Y40" s="6"/>
    </row>
    <row r="41" ht="18.75" customHeight="1">
      <c r="A41" s="7">
        <v>9.0</v>
      </c>
      <c r="B41" s="8">
        <v>2.0</v>
      </c>
      <c r="C41" s="8" t="s">
        <v>158</v>
      </c>
      <c r="D41" s="8" t="s">
        <v>159</v>
      </c>
      <c r="E41" s="10">
        <v>310.0</v>
      </c>
      <c r="F41" s="7" t="s">
        <v>196</v>
      </c>
      <c r="G41" s="11" t="s">
        <v>193</v>
      </c>
      <c r="H41" s="7" t="s">
        <v>45</v>
      </c>
      <c r="I41" s="7" t="s">
        <v>46</v>
      </c>
      <c r="J41" s="8" t="s">
        <v>197</v>
      </c>
      <c r="K41" s="7" t="s">
        <v>198</v>
      </c>
      <c r="L41" s="7" t="str">
        <f t="shared" si="1"/>
        <v>Team: SZL  -  Project: Automation of Visual Inspection</v>
      </c>
      <c r="M41" s="6"/>
      <c r="N41" s="12"/>
      <c r="O41" s="13"/>
      <c r="P41" s="14"/>
      <c r="Q41" s="6"/>
      <c r="R41" s="6"/>
      <c r="S41" s="6"/>
      <c r="T41" s="6"/>
      <c r="U41" s="6"/>
      <c r="V41" s="6"/>
      <c r="W41" s="6"/>
      <c r="X41" s="6"/>
      <c r="Y41" s="6"/>
    </row>
    <row r="42" ht="18.75" customHeight="1">
      <c r="A42" s="7">
        <v>10.0</v>
      </c>
      <c r="B42" s="7">
        <v>3.0</v>
      </c>
      <c r="C42" s="8" t="s">
        <v>158</v>
      </c>
      <c r="D42" s="8" t="s">
        <v>159</v>
      </c>
      <c r="E42" s="10">
        <v>311.0</v>
      </c>
      <c r="F42" s="7" t="s">
        <v>199</v>
      </c>
      <c r="G42" s="11" t="s">
        <v>200</v>
      </c>
      <c r="H42" s="7" t="s">
        <v>45</v>
      </c>
      <c r="I42" s="7" t="s">
        <v>46</v>
      </c>
      <c r="J42" s="8" t="s">
        <v>201</v>
      </c>
      <c r="K42" s="7" t="s">
        <v>202</v>
      </c>
      <c r="L42" s="7" t="str">
        <f t="shared" si="1"/>
        <v>Team: Chester's Angels  -  Project: Predictive maintenance dashboard for fixed robots</v>
      </c>
      <c r="M42" s="6"/>
      <c r="N42" s="12"/>
      <c r="O42" s="13"/>
      <c r="P42" s="14"/>
      <c r="Q42" s="6"/>
      <c r="R42" s="6"/>
      <c r="S42" s="6"/>
      <c r="T42" s="6"/>
      <c r="U42" s="6"/>
      <c r="V42" s="6"/>
      <c r="W42" s="6"/>
      <c r="X42" s="6"/>
      <c r="Y42" s="6"/>
    </row>
    <row r="43" ht="18.75" customHeight="1">
      <c r="A43" s="7">
        <v>11.0</v>
      </c>
      <c r="B43" s="7">
        <v>4.0</v>
      </c>
      <c r="C43" s="8" t="s">
        <v>158</v>
      </c>
      <c r="D43" s="8" t="s">
        <v>159</v>
      </c>
      <c r="E43" s="10">
        <v>312.0</v>
      </c>
      <c r="F43" s="7" t="s">
        <v>203</v>
      </c>
      <c r="G43" s="16" t="s">
        <v>200</v>
      </c>
      <c r="H43" s="7" t="s">
        <v>45</v>
      </c>
      <c r="I43" s="7" t="s">
        <v>46</v>
      </c>
      <c r="J43" s="8" t="s">
        <v>204</v>
      </c>
      <c r="K43" s="7" t="s">
        <v>205</v>
      </c>
      <c r="L43" s="7" t="str">
        <f t="shared" si="1"/>
        <v>Team: Hummingbird  Robotics  -  Project: Predictive maintenance dashboard for fixed robots</v>
      </c>
      <c r="M43" s="6"/>
      <c r="N43" s="12"/>
      <c r="O43" s="13"/>
      <c r="P43" s="14"/>
      <c r="Q43" s="6"/>
      <c r="R43" s="6"/>
      <c r="S43" s="6"/>
      <c r="T43" s="6"/>
      <c r="U43" s="6"/>
      <c r="V43" s="6"/>
      <c r="W43" s="6"/>
      <c r="X43" s="6"/>
      <c r="Y43" s="6"/>
    </row>
    <row r="44" ht="18.75" customHeight="1">
      <c r="A44" s="7">
        <v>8.0</v>
      </c>
      <c r="B44" s="7">
        <v>5.0</v>
      </c>
      <c r="C44" s="8" t="s">
        <v>158</v>
      </c>
      <c r="D44" s="8" t="s">
        <v>159</v>
      </c>
      <c r="E44" s="10">
        <v>313.0</v>
      </c>
      <c r="F44" s="7" t="s">
        <v>206</v>
      </c>
      <c r="G44" s="16" t="s">
        <v>207</v>
      </c>
      <c r="H44" s="7" t="s">
        <v>208</v>
      </c>
      <c r="I44" s="7" t="s">
        <v>46</v>
      </c>
      <c r="J44" s="8" t="s">
        <v>209</v>
      </c>
      <c r="K44" s="7" t="s">
        <v>210</v>
      </c>
      <c r="L44" s="7" t="str">
        <f t="shared" si="1"/>
        <v>Team: The Coolers  -  Project: To Pull or Not to Pull</v>
      </c>
      <c r="M44" s="6"/>
      <c r="N44" s="12"/>
      <c r="O44" s="17"/>
      <c r="P44" s="14"/>
      <c r="Q44" s="6"/>
      <c r="R44" s="6"/>
      <c r="S44" s="6"/>
      <c r="T44" s="6"/>
      <c r="U44" s="6"/>
      <c r="V44" s="6"/>
      <c r="W44" s="6"/>
      <c r="X44" s="6"/>
      <c r="Y44" s="6"/>
    </row>
    <row r="45" ht="18.75" customHeight="1">
      <c r="A45" s="7">
        <v>9.0</v>
      </c>
      <c r="B45" s="7">
        <v>3.0</v>
      </c>
      <c r="C45" s="8" t="s">
        <v>158</v>
      </c>
      <c r="D45" s="8" t="s">
        <v>159</v>
      </c>
      <c r="E45" s="10">
        <v>314.0</v>
      </c>
      <c r="F45" s="7" t="s">
        <v>211</v>
      </c>
      <c r="G45" s="11" t="s">
        <v>207</v>
      </c>
      <c r="H45" s="7" t="s">
        <v>208</v>
      </c>
      <c r="I45" s="7" t="s">
        <v>46</v>
      </c>
      <c r="J45" s="8" t="s">
        <v>209</v>
      </c>
      <c r="K45" s="7" t="s">
        <v>212</v>
      </c>
      <c r="L45" s="7" t="str">
        <f t="shared" si="1"/>
        <v>Team: T-squared (T^2)  -  Project: To Pull or Not to Pull</v>
      </c>
      <c r="M45" s="6"/>
      <c r="N45" s="12"/>
      <c r="O45" s="17"/>
      <c r="P45" s="14"/>
      <c r="Q45" s="6"/>
      <c r="R45" s="6"/>
      <c r="S45" s="6"/>
      <c r="T45" s="6"/>
      <c r="U45" s="6"/>
      <c r="V45" s="6"/>
      <c r="W45" s="6"/>
      <c r="X45" s="6"/>
      <c r="Y45" s="6"/>
    </row>
    <row r="46" ht="18.75" customHeight="1">
      <c r="A46" s="7">
        <v>10.0</v>
      </c>
      <c r="B46" s="7">
        <v>5.0</v>
      </c>
      <c r="C46" s="8" t="s">
        <v>158</v>
      </c>
      <c r="D46" s="8" t="s">
        <v>159</v>
      </c>
      <c r="E46" s="10">
        <v>315.0</v>
      </c>
      <c r="F46" s="7" t="s">
        <v>213</v>
      </c>
      <c r="G46" s="16" t="s">
        <v>214</v>
      </c>
      <c r="H46" s="18" t="s">
        <v>215</v>
      </c>
      <c r="I46" s="7" t="s">
        <v>216</v>
      </c>
      <c r="J46" s="8" t="s">
        <v>217</v>
      </c>
      <c r="K46" s="7" t="s">
        <v>218</v>
      </c>
      <c r="L46" s="7" t="str">
        <f t="shared" si="1"/>
        <v>Team: Drop Table  -  Project: Constructing Composite Time Ranges for a Search</v>
      </c>
      <c r="M46" s="6"/>
      <c r="N46" s="12"/>
      <c r="O46" s="13"/>
      <c r="P46" s="14"/>
      <c r="Q46" s="6"/>
      <c r="R46" s="6"/>
      <c r="S46" s="6"/>
      <c r="T46" s="6"/>
      <c r="U46" s="6"/>
      <c r="V46" s="6"/>
      <c r="W46" s="6"/>
      <c r="X46" s="6"/>
      <c r="Y46" s="6"/>
    </row>
    <row r="47" ht="18.75" customHeight="1">
      <c r="A47" s="7">
        <v>11.0</v>
      </c>
      <c r="B47" s="8">
        <v>2.0</v>
      </c>
      <c r="C47" s="8" t="s">
        <v>158</v>
      </c>
      <c r="D47" s="8" t="s">
        <v>159</v>
      </c>
      <c r="E47" s="10">
        <v>316.0</v>
      </c>
      <c r="F47" s="7" t="s">
        <v>219</v>
      </c>
      <c r="G47" s="11" t="s">
        <v>214</v>
      </c>
      <c r="H47" s="7" t="s">
        <v>215</v>
      </c>
      <c r="I47" s="7" t="s">
        <v>216</v>
      </c>
      <c r="J47" s="8" t="s">
        <v>220</v>
      </c>
      <c r="K47" s="7" t="s">
        <v>221</v>
      </c>
      <c r="L47" s="7" t="str">
        <f t="shared" si="1"/>
        <v>Team: Time Wizards  -  Project: Constructing Composite Time Ranges for a Search</v>
      </c>
      <c r="M47" s="6"/>
      <c r="N47" s="12"/>
      <c r="O47" s="13"/>
      <c r="P47" s="14"/>
      <c r="Q47" s="6"/>
      <c r="R47" s="6"/>
      <c r="S47" s="6"/>
      <c r="T47" s="6"/>
      <c r="U47" s="6"/>
      <c r="V47" s="6"/>
      <c r="W47" s="6"/>
      <c r="X47" s="6"/>
      <c r="Y47" s="6"/>
    </row>
    <row r="48" ht="18.75" customHeight="1">
      <c r="A48" s="7">
        <v>8.0</v>
      </c>
      <c r="B48" s="8">
        <v>7.0</v>
      </c>
      <c r="C48" s="8" t="s">
        <v>158</v>
      </c>
      <c r="D48" s="8" t="s">
        <v>159</v>
      </c>
      <c r="E48" s="10">
        <v>317.0</v>
      </c>
      <c r="F48" s="7" t="s">
        <v>222</v>
      </c>
      <c r="G48" s="11" t="s">
        <v>223</v>
      </c>
      <c r="H48" s="7" t="s">
        <v>215</v>
      </c>
      <c r="I48" s="7" t="s">
        <v>216</v>
      </c>
      <c r="J48" s="8" t="s">
        <v>224</v>
      </c>
      <c r="K48" s="7" t="s">
        <v>225</v>
      </c>
      <c r="L48" s="7" t="str">
        <f t="shared" si="1"/>
        <v>Team: Veracoders  -  Project: Constructing Composite Geographical Areas for a Search</v>
      </c>
      <c r="M48" s="6"/>
      <c r="N48" s="12"/>
      <c r="O48" s="13"/>
      <c r="P48" s="14"/>
      <c r="Q48" s="6"/>
      <c r="R48" s="6"/>
      <c r="S48" s="6"/>
      <c r="T48" s="6"/>
      <c r="U48" s="6"/>
      <c r="V48" s="6"/>
      <c r="W48" s="6"/>
      <c r="X48" s="6"/>
      <c r="Y48" s="6"/>
    </row>
    <row r="49" ht="18.75" customHeight="1">
      <c r="A49" s="7">
        <v>8.0</v>
      </c>
      <c r="B49" s="8">
        <v>2.0</v>
      </c>
      <c r="C49" s="8" t="s">
        <v>158</v>
      </c>
      <c r="D49" s="8" t="s">
        <v>159</v>
      </c>
      <c r="E49" s="10">
        <v>318.0</v>
      </c>
      <c r="F49" s="7" t="s">
        <v>226</v>
      </c>
      <c r="G49" s="11" t="s">
        <v>227</v>
      </c>
      <c r="H49" s="7" t="s">
        <v>228</v>
      </c>
      <c r="I49" s="7" t="s">
        <v>229</v>
      </c>
      <c r="J49" s="8" t="s">
        <v>230</v>
      </c>
      <c r="K49" s="7" t="s">
        <v>231</v>
      </c>
      <c r="L49" s="7" t="str">
        <f t="shared" si="1"/>
        <v>Team: Bobcat Mailer  -  Project: Managing Registrants and Valid Emails</v>
      </c>
      <c r="M49" s="6"/>
      <c r="N49" s="12"/>
      <c r="O49" s="13"/>
      <c r="P49" s="14"/>
      <c r="Q49" s="6"/>
      <c r="R49" s="6"/>
      <c r="S49" s="6"/>
      <c r="T49" s="6"/>
      <c r="U49" s="6"/>
      <c r="V49" s="6"/>
      <c r="W49" s="6"/>
      <c r="X49" s="6"/>
      <c r="Y49" s="6"/>
    </row>
    <row r="50" ht="18.75" customHeight="1">
      <c r="A50" s="7">
        <v>9.0</v>
      </c>
      <c r="B50" s="7">
        <v>6.0</v>
      </c>
      <c r="C50" s="8" t="s">
        <v>158</v>
      </c>
      <c r="D50" s="8" t="s">
        <v>159</v>
      </c>
      <c r="E50" s="10">
        <v>319.0</v>
      </c>
      <c r="F50" s="7" t="s">
        <v>232</v>
      </c>
      <c r="G50" s="11" t="s">
        <v>227</v>
      </c>
      <c r="H50" s="7" t="s">
        <v>228</v>
      </c>
      <c r="I50" s="7" t="s">
        <v>229</v>
      </c>
      <c r="J50" s="8" t="s">
        <v>233</v>
      </c>
      <c r="K50" s="7" t="s">
        <v>234</v>
      </c>
      <c r="L50" s="7" t="str">
        <f t="shared" si="1"/>
        <v>Team: MAVNN  -  Project: Managing Registrants and Valid Emails</v>
      </c>
      <c r="M50" s="6"/>
      <c r="N50" s="12"/>
      <c r="O50" s="13"/>
      <c r="P50" s="14"/>
      <c r="Q50" s="6"/>
      <c r="R50" s="6"/>
      <c r="S50" s="6"/>
      <c r="T50" s="6"/>
      <c r="U50" s="6"/>
      <c r="V50" s="6"/>
      <c r="W50" s="6"/>
      <c r="X50" s="6"/>
      <c r="Y50" s="6"/>
    </row>
    <row r="51" ht="18.75" customHeight="1">
      <c r="A51" s="7">
        <v>10.0</v>
      </c>
      <c r="B51" s="7">
        <v>4.0</v>
      </c>
      <c r="C51" s="8" t="s">
        <v>158</v>
      </c>
      <c r="D51" s="8" t="s">
        <v>159</v>
      </c>
      <c r="E51" s="10">
        <v>320.0</v>
      </c>
      <c r="F51" s="7" t="s">
        <v>235</v>
      </c>
      <c r="G51" s="11" t="s">
        <v>236</v>
      </c>
      <c r="H51" s="18" t="s">
        <v>237</v>
      </c>
      <c r="I51" s="7" t="s">
        <v>238</v>
      </c>
      <c r="J51" s="8" t="s">
        <v>239</v>
      </c>
      <c r="K51" s="7" t="s">
        <v>240</v>
      </c>
      <c r="L51" s="7" t="str">
        <f t="shared" si="1"/>
        <v>Team: The Key-(In)Sight  -  Project: Jira Business Intelligent Project - KeySight</v>
      </c>
      <c r="M51" s="6"/>
      <c r="N51" s="12"/>
      <c r="O51" s="13"/>
      <c r="P51" s="14"/>
      <c r="Q51" s="6"/>
      <c r="R51" s="6"/>
      <c r="S51" s="6"/>
      <c r="T51" s="6"/>
      <c r="U51" s="6"/>
      <c r="V51" s="6"/>
      <c r="W51" s="6"/>
      <c r="X51" s="6"/>
      <c r="Y51" s="6"/>
    </row>
    <row r="52" ht="18.75" customHeight="1">
      <c r="A52" s="7">
        <v>11.0</v>
      </c>
      <c r="B52" s="7">
        <v>1.0</v>
      </c>
      <c r="C52" s="8" t="s">
        <v>158</v>
      </c>
      <c r="D52" s="8" t="s">
        <v>159</v>
      </c>
      <c r="E52" s="10">
        <v>321.0</v>
      </c>
      <c r="F52" s="7" t="s">
        <v>241</v>
      </c>
      <c r="G52" s="11" t="s">
        <v>236</v>
      </c>
      <c r="H52" s="18" t="s">
        <v>237</v>
      </c>
      <c r="I52" s="7" t="s">
        <v>238</v>
      </c>
      <c r="J52" s="8" t="s">
        <v>242</v>
      </c>
      <c r="K52" s="7" t="s">
        <v>243</v>
      </c>
      <c r="L52" s="7" t="str">
        <f t="shared" si="1"/>
        <v>Team: The J&amp;A Team  -  Project: Jira Business Intelligent Project - KeySight</v>
      </c>
      <c r="M52" s="6"/>
      <c r="N52" s="12"/>
      <c r="O52" s="13"/>
      <c r="P52" s="14"/>
      <c r="Q52" s="6"/>
      <c r="R52" s="6"/>
      <c r="S52" s="6"/>
      <c r="T52" s="6"/>
      <c r="U52" s="6"/>
      <c r="V52" s="6"/>
      <c r="W52" s="6"/>
      <c r="X52" s="6"/>
      <c r="Y52" s="6"/>
    </row>
    <row r="53" ht="18.75" customHeight="1">
      <c r="A53" s="7">
        <v>8.0</v>
      </c>
      <c r="B53" s="7">
        <v>6.0</v>
      </c>
      <c r="C53" s="8" t="s">
        <v>158</v>
      </c>
      <c r="D53" s="8" t="s">
        <v>159</v>
      </c>
      <c r="E53" s="10">
        <v>322.0</v>
      </c>
      <c r="F53" s="7" t="s">
        <v>244</v>
      </c>
      <c r="G53" s="16" t="s">
        <v>245</v>
      </c>
      <c r="H53" s="7" t="s">
        <v>117</v>
      </c>
      <c r="I53" s="7" t="s">
        <v>17</v>
      </c>
      <c r="J53" s="8" t="s">
        <v>246</v>
      </c>
      <c r="K53" s="7" t="s">
        <v>247</v>
      </c>
      <c r="L53" s="7" t="str">
        <f t="shared" si="1"/>
        <v>Team: TomatoVision  -  Project: Vision System to Identify Planting Quality</v>
      </c>
      <c r="M53" s="6"/>
      <c r="N53" s="12"/>
      <c r="O53" s="13"/>
      <c r="P53" s="12"/>
      <c r="Q53" s="6"/>
      <c r="R53" s="6"/>
      <c r="S53" s="6"/>
      <c r="T53" s="6"/>
      <c r="U53" s="6"/>
      <c r="V53" s="6"/>
      <c r="W53" s="6"/>
      <c r="X53" s="6"/>
      <c r="Y53" s="6"/>
    </row>
    <row r="54" ht="18.75" customHeight="1">
      <c r="A54" s="7">
        <v>9.0</v>
      </c>
      <c r="B54" s="7">
        <v>8.0</v>
      </c>
      <c r="C54" s="8" t="s">
        <v>158</v>
      </c>
      <c r="D54" s="8" t="s">
        <v>159</v>
      </c>
      <c r="E54" s="10">
        <v>323.0</v>
      </c>
      <c r="F54" s="7" t="s">
        <v>248</v>
      </c>
      <c r="G54" s="11" t="s">
        <v>245</v>
      </c>
      <c r="H54" s="7" t="s">
        <v>117</v>
      </c>
      <c r="I54" s="7" t="s">
        <v>17</v>
      </c>
      <c r="J54" s="8" t="s">
        <v>249</v>
      </c>
      <c r="K54" s="7" t="s">
        <v>250</v>
      </c>
      <c r="L54" s="7" t="str">
        <f t="shared" si="1"/>
        <v>Team: The Visionaries  -  Project: Vision System to Identify Planting Quality</v>
      </c>
      <c r="M54" s="6"/>
      <c r="N54" s="12"/>
      <c r="O54" s="13"/>
      <c r="P54" s="12"/>
      <c r="Q54" s="6"/>
      <c r="R54" s="6"/>
      <c r="S54" s="6"/>
      <c r="T54" s="6"/>
      <c r="U54" s="6"/>
      <c r="V54" s="6"/>
      <c r="W54" s="6"/>
      <c r="X54" s="6"/>
      <c r="Y54" s="6"/>
    </row>
    <row r="55" ht="18.75" customHeight="1">
      <c r="A55" s="7">
        <v>10.0</v>
      </c>
      <c r="B55" s="8">
        <v>7.0</v>
      </c>
      <c r="C55" s="8" t="s">
        <v>158</v>
      </c>
      <c r="D55" s="8" t="s">
        <v>159</v>
      </c>
      <c r="E55" s="10">
        <v>324.0</v>
      </c>
      <c r="F55" s="7" t="s">
        <v>251</v>
      </c>
      <c r="G55" s="11" t="s">
        <v>252</v>
      </c>
      <c r="H55" s="7" t="s">
        <v>253</v>
      </c>
      <c r="I55" s="7" t="s">
        <v>46</v>
      </c>
      <c r="J55" s="8" t="s">
        <v>254</v>
      </c>
      <c r="K55" s="7" t="s">
        <v>255</v>
      </c>
      <c r="L55" s="7" t="str">
        <f t="shared" si="1"/>
        <v>Team: U Betts  -  Project: Non-Conforming Logo Detection</v>
      </c>
      <c r="M55" s="6"/>
      <c r="N55" s="12"/>
      <c r="O55" s="15"/>
      <c r="P55" s="12"/>
      <c r="Q55" s="6"/>
      <c r="R55" s="6"/>
      <c r="S55" s="6"/>
      <c r="T55" s="6"/>
      <c r="U55" s="6"/>
      <c r="V55" s="6"/>
      <c r="W55" s="6"/>
      <c r="X55" s="6"/>
      <c r="Y55" s="6"/>
    </row>
    <row r="56" ht="18.75" customHeight="1">
      <c r="A56" s="8">
        <v>11.0</v>
      </c>
      <c r="B56" s="8">
        <v>3.0</v>
      </c>
      <c r="C56" s="8" t="s">
        <v>158</v>
      </c>
      <c r="D56" s="8" t="s">
        <v>159</v>
      </c>
      <c r="E56" s="10">
        <v>325.0</v>
      </c>
      <c r="F56" s="7" t="s">
        <v>256</v>
      </c>
      <c r="G56" s="16" t="s">
        <v>252</v>
      </c>
      <c r="H56" s="7" t="s">
        <v>253</v>
      </c>
      <c r="I56" s="7" t="s">
        <v>46</v>
      </c>
      <c r="J56" s="8" t="s">
        <v>257</v>
      </c>
      <c r="K56" s="7" t="s">
        <v>258</v>
      </c>
      <c r="L56" s="7" t="str">
        <f t="shared" si="1"/>
        <v>Team: Optical Solutions  -  Project: Non-Conforming Logo Detection</v>
      </c>
      <c r="M56" s="6"/>
      <c r="N56" s="12"/>
      <c r="O56" s="15"/>
      <c r="P56" s="12"/>
      <c r="Q56" s="6"/>
      <c r="R56" s="6"/>
      <c r="S56" s="6"/>
      <c r="T56" s="6"/>
      <c r="U56" s="6"/>
      <c r="V56" s="6"/>
      <c r="W56" s="6"/>
      <c r="X56" s="6"/>
      <c r="Y56" s="6"/>
    </row>
    <row r="57" ht="18.75" customHeight="1">
      <c r="A57" s="8">
        <v>9.0</v>
      </c>
      <c r="B57" s="8">
        <v>4.0</v>
      </c>
      <c r="C57" s="8" t="s">
        <v>158</v>
      </c>
      <c r="D57" s="8" t="s">
        <v>159</v>
      </c>
      <c r="E57" s="10">
        <v>326.0</v>
      </c>
      <c r="F57" s="7" t="s">
        <v>259</v>
      </c>
      <c r="G57" s="16" t="s">
        <v>260</v>
      </c>
      <c r="H57" s="7" t="s">
        <v>261</v>
      </c>
      <c r="I57" s="7" t="s">
        <v>17</v>
      </c>
      <c r="J57" s="8" t="s">
        <v>262</v>
      </c>
      <c r="K57" s="7" t="s">
        <v>263</v>
      </c>
      <c r="L57" s="7" t="str">
        <f t="shared" si="1"/>
        <v>Team: Team Pacific  -  Project: Water Treatment Monitoring - Phase 2</v>
      </c>
      <c r="M57" s="6"/>
      <c r="N57" s="12"/>
      <c r="O57" s="15"/>
      <c r="P57" s="12"/>
      <c r="Q57" s="6"/>
      <c r="R57" s="6"/>
      <c r="S57" s="6"/>
      <c r="T57" s="6"/>
      <c r="U57" s="6"/>
      <c r="V57" s="6"/>
      <c r="W57" s="6"/>
      <c r="X57" s="6"/>
      <c r="Y57" s="6"/>
    </row>
    <row r="58" ht="18.75" customHeight="1">
      <c r="A58" s="8">
        <v>8.0</v>
      </c>
      <c r="B58" s="7">
        <v>3.0</v>
      </c>
      <c r="C58" s="8" t="s">
        <v>158</v>
      </c>
      <c r="D58" s="8" t="s">
        <v>159</v>
      </c>
      <c r="E58" s="10">
        <v>327.0</v>
      </c>
      <c r="F58" s="7" t="s">
        <v>264</v>
      </c>
      <c r="G58" s="16" t="s">
        <v>265</v>
      </c>
      <c r="H58" s="7" t="s">
        <v>266</v>
      </c>
      <c r="I58" s="7" t="s">
        <v>163</v>
      </c>
      <c r="J58" s="8" t="s">
        <v>267</v>
      </c>
      <c r="K58" s="7" t="s">
        <v>268</v>
      </c>
      <c r="L58" s="7" t="str">
        <f t="shared" si="1"/>
        <v>Team: The Cable Company  -  Project: Smart UI for cable database management</v>
      </c>
      <c r="M58" s="6"/>
      <c r="N58" s="12"/>
      <c r="O58" s="15"/>
      <c r="P58" s="12"/>
      <c r="Q58" s="6"/>
      <c r="R58" s="6"/>
      <c r="S58" s="6"/>
      <c r="T58" s="6"/>
      <c r="U58" s="6"/>
      <c r="V58" s="6"/>
      <c r="W58" s="6"/>
      <c r="X58" s="6"/>
      <c r="Y58" s="6"/>
    </row>
    <row r="59" ht="18.75" customHeight="1">
      <c r="A59" s="8">
        <v>9.0</v>
      </c>
      <c r="B59" s="7">
        <v>5.0</v>
      </c>
      <c r="C59" s="8" t="s">
        <v>158</v>
      </c>
      <c r="D59" s="8" t="s">
        <v>159</v>
      </c>
      <c r="E59" s="10">
        <v>328.0</v>
      </c>
      <c r="F59" s="7" t="s">
        <v>269</v>
      </c>
      <c r="G59" s="16" t="s">
        <v>265</v>
      </c>
      <c r="H59" s="7" t="s">
        <v>266</v>
      </c>
      <c r="I59" s="7" t="s">
        <v>163</v>
      </c>
      <c r="J59" s="8" t="s">
        <v>270</v>
      </c>
      <c r="K59" s="7" t="s">
        <v>271</v>
      </c>
      <c r="L59" s="7" t="str">
        <f t="shared" si="1"/>
        <v>Team: SLACers  -  Project: Smart UI for cable database management</v>
      </c>
      <c r="M59" s="6"/>
      <c r="N59" s="12"/>
      <c r="O59" s="15"/>
      <c r="P59" s="12"/>
      <c r="Q59" s="6"/>
      <c r="R59" s="6"/>
      <c r="S59" s="6"/>
      <c r="T59" s="6"/>
      <c r="U59" s="6"/>
      <c r="V59" s="6"/>
      <c r="W59" s="6"/>
      <c r="X59" s="6"/>
      <c r="Y59" s="6"/>
    </row>
    <row r="60" ht="18.75" customHeight="1">
      <c r="A60" s="8">
        <v>11.0</v>
      </c>
      <c r="B60" s="7">
        <v>7.0</v>
      </c>
      <c r="C60" s="8" t="s">
        <v>158</v>
      </c>
      <c r="D60" s="8" t="s">
        <v>159</v>
      </c>
      <c r="E60" s="10">
        <v>329.0</v>
      </c>
      <c r="F60" s="7" t="s">
        <v>272</v>
      </c>
      <c r="G60" s="16" t="s">
        <v>273</v>
      </c>
      <c r="H60" s="7" t="s">
        <v>274</v>
      </c>
      <c r="I60" s="7" t="s">
        <v>64</v>
      </c>
      <c r="J60" s="8" t="s">
        <v>275</v>
      </c>
      <c r="K60" s="7" t="s">
        <v>276</v>
      </c>
      <c r="L60" s="7" t="str">
        <f t="shared" si="1"/>
        <v>Team: 404 Not Found  -  Project: Web-based, Multi-Platform, Open-Source Speech-Recording App for Brain Health</v>
      </c>
      <c r="M60" s="6"/>
      <c r="N60" s="12"/>
      <c r="O60" s="15"/>
      <c r="P60" s="12"/>
      <c r="Q60" s="6"/>
      <c r="R60" s="6"/>
      <c r="S60" s="6"/>
      <c r="T60" s="6"/>
      <c r="U60" s="6"/>
      <c r="V60" s="6"/>
      <c r="W60" s="6"/>
      <c r="X60" s="6"/>
      <c r="Y60" s="6"/>
    </row>
    <row r="61" ht="18.75" customHeight="1">
      <c r="A61" s="8">
        <v>10.0</v>
      </c>
      <c r="B61" s="7">
        <v>1.0</v>
      </c>
      <c r="C61" s="8" t="s">
        <v>158</v>
      </c>
      <c r="D61" s="8" t="s">
        <v>159</v>
      </c>
      <c r="E61" s="10">
        <v>330.0</v>
      </c>
      <c r="F61" s="7" t="s">
        <v>277</v>
      </c>
      <c r="G61" s="16" t="s">
        <v>273</v>
      </c>
      <c r="H61" s="7" t="s">
        <v>274</v>
      </c>
      <c r="I61" s="7" t="s">
        <v>64</v>
      </c>
      <c r="J61" s="8" t="s">
        <v>278</v>
      </c>
      <c r="K61" s="7" t="s">
        <v>279</v>
      </c>
      <c r="L61" s="7" t="str">
        <f t="shared" si="1"/>
        <v>Team: Language Experts  -  Project: Web-based, Multi-Platform, Open-Source Speech-Recording App for Brain Health</v>
      </c>
      <c r="M61" s="6"/>
      <c r="N61" s="12"/>
      <c r="O61" s="15"/>
      <c r="P61" s="12"/>
      <c r="Q61" s="6"/>
      <c r="R61" s="6"/>
      <c r="S61" s="6"/>
      <c r="T61" s="6"/>
      <c r="U61" s="6"/>
      <c r="V61" s="6"/>
      <c r="W61" s="6"/>
      <c r="X61" s="6"/>
      <c r="Y61" s="6"/>
    </row>
    <row r="62" ht="18.75" customHeight="1">
      <c r="A62" s="8">
        <v>6.0</v>
      </c>
      <c r="B62" s="8">
        <v>1.0</v>
      </c>
      <c r="C62" s="8" t="s">
        <v>280</v>
      </c>
      <c r="D62" s="8" t="s">
        <v>281</v>
      </c>
      <c r="E62" s="7">
        <v>401.0</v>
      </c>
      <c r="F62" s="19" t="s">
        <v>282</v>
      </c>
      <c r="G62" s="19" t="s">
        <v>283</v>
      </c>
      <c r="H62" s="19" t="s">
        <v>284</v>
      </c>
      <c r="I62" s="20" t="s">
        <v>285</v>
      </c>
      <c r="J62" s="8" t="s">
        <v>286</v>
      </c>
      <c r="K62" s="8" t="s">
        <v>287</v>
      </c>
      <c r="L62" s="7" t="str">
        <f t="shared" si="1"/>
        <v>Team: Eco-lutions  -  Project: Grayson Riverbend Restoration</v>
      </c>
      <c r="M62" s="6"/>
      <c r="N62" s="9"/>
      <c r="O62" s="6"/>
      <c r="P62" s="6"/>
      <c r="Q62" s="6"/>
      <c r="R62" s="6"/>
      <c r="S62" s="6"/>
      <c r="T62" s="6"/>
      <c r="U62" s="6"/>
      <c r="V62" s="6"/>
      <c r="W62" s="6"/>
      <c r="X62" s="6"/>
      <c r="Y62" s="6"/>
    </row>
    <row r="63" ht="18.75" customHeight="1">
      <c r="A63" s="8">
        <v>6.0</v>
      </c>
      <c r="B63" s="8">
        <v>2.0</v>
      </c>
      <c r="C63" s="8" t="s">
        <v>280</v>
      </c>
      <c r="D63" s="8" t="s">
        <v>281</v>
      </c>
      <c r="E63" s="7">
        <v>402.0</v>
      </c>
      <c r="F63" s="16" t="s">
        <v>288</v>
      </c>
      <c r="G63" s="11" t="s">
        <v>289</v>
      </c>
      <c r="H63" s="11" t="s">
        <v>290</v>
      </c>
      <c r="I63" s="20" t="s">
        <v>285</v>
      </c>
      <c r="J63" s="8" t="s">
        <v>291</v>
      </c>
      <c r="K63" s="8" t="s">
        <v>292</v>
      </c>
      <c r="L63" s="7" t="str">
        <f t="shared" si="1"/>
        <v>Team: Rainwater Irrigation Planning  -  Project: Rainwater Harvesting for Landscape Irrigation</v>
      </c>
      <c r="M63" s="6"/>
      <c r="N63" s="9"/>
      <c r="O63" s="6"/>
      <c r="P63" s="6"/>
      <c r="Q63" s="6"/>
      <c r="R63" s="6"/>
      <c r="S63" s="6"/>
      <c r="T63" s="6"/>
      <c r="U63" s="6"/>
      <c r="V63" s="6"/>
      <c r="W63" s="6"/>
      <c r="X63" s="6"/>
      <c r="Y63" s="6"/>
    </row>
    <row r="64" ht="18.75" customHeight="1">
      <c r="A64" s="8">
        <v>6.0</v>
      </c>
      <c r="B64" s="8">
        <v>3.0</v>
      </c>
      <c r="C64" s="8" t="s">
        <v>280</v>
      </c>
      <c r="D64" s="8" t="s">
        <v>281</v>
      </c>
      <c r="E64" s="7">
        <v>403.0</v>
      </c>
      <c r="F64" s="7" t="s">
        <v>293</v>
      </c>
      <c r="G64" s="11" t="s">
        <v>294</v>
      </c>
      <c r="H64" s="11" t="s">
        <v>295</v>
      </c>
      <c r="I64" s="20" t="s">
        <v>285</v>
      </c>
      <c r="J64" s="8" t="s">
        <v>296</v>
      </c>
      <c r="K64" s="8" t="s">
        <v>297</v>
      </c>
      <c r="L64" s="7" t="str">
        <f t="shared" si="1"/>
        <v>Team: Think Green  -  Project: Estimating Greenhouse Gas Emissions and Designing Mitigation Strategies in Merced, CA</v>
      </c>
      <c r="M64" s="6"/>
      <c r="N64" s="9"/>
      <c r="O64" s="6"/>
      <c r="P64" s="6"/>
      <c r="Q64" s="6"/>
      <c r="R64" s="6"/>
      <c r="S64" s="6"/>
      <c r="T64" s="6"/>
      <c r="U64" s="6"/>
      <c r="V64" s="6"/>
      <c r="W64" s="6"/>
      <c r="X64" s="6"/>
      <c r="Y64" s="6"/>
    </row>
    <row r="65" ht="18.75" customHeight="1">
      <c r="A65" s="8">
        <v>7.0</v>
      </c>
      <c r="B65" s="8">
        <v>1.0</v>
      </c>
      <c r="C65" s="8" t="s">
        <v>298</v>
      </c>
      <c r="D65" s="8" t="s">
        <v>299</v>
      </c>
      <c r="E65" s="7">
        <v>501.0</v>
      </c>
      <c r="F65" s="7" t="s">
        <v>300</v>
      </c>
      <c r="G65" s="8" t="s">
        <v>301</v>
      </c>
      <c r="H65" s="8" t="s">
        <v>302</v>
      </c>
      <c r="I65" s="7" t="s">
        <v>229</v>
      </c>
      <c r="J65" s="8" t="s">
        <v>303</v>
      </c>
      <c r="K65" s="8" t="s">
        <v>304</v>
      </c>
      <c r="L65" s="7" t="str">
        <f t="shared" si="1"/>
        <v>Team: Team 1  -  Project: Ball Wall</v>
      </c>
      <c r="M65" s="6"/>
      <c r="N65" s="9"/>
      <c r="O65" s="6"/>
      <c r="P65" s="6"/>
      <c r="Q65" s="6"/>
      <c r="R65" s="6"/>
      <c r="S65" s="6"/>
      <c r="T65" s="6"/>
      <c r="U65" s="6"/>
      <c r="V65" s="6"/>
      <c r="W65" s="6"/>
      <c r="X65" s="6"/>
      <c r="Y65" s="6"/>
    </row>
    <row r="66" ht="18.75" customHeight="1">
      <c r="A66" s="8">
        <v>7.0</v>
      </c>
      <c r="B66" s="8">
        <v>2.0</v>
      </c>
      <c r="C66" s="8" t="s">
        <v>298</v>
      </c>
      <c r="D66" s="8" t="s">
        <v>299</v>
      </c>
      <c r="E66" s="7">
        <v>502.0</v>
      </c>
      <c r="F66" s="7" t="s">
        <v>305</v>
      </c>
      <c r="G66" s="8" t="s">
        <v>301</v>
      </c>
      <c r="H66" s="8" t="s">
        <v>302</v>
      </c>
      <c r="I66" s="7" t="s">
        <v>229</v>
      </c>
      <c r="J66" s="8" t="s">
        <v>303</v>
      </c>
      <c r="K66" s="8" t="s">
        <v>306</v>
      </c>
      <c r="L66" s="7" t="str">
        <f t="shared" si="1"/>
        <v>Team: Team 2  -  Project: Ball Wall</v>
      </c>
      <c r="M66" s="6"/>
      <c r="N66" s="9"/>
      <c r="O66" s="6"/>
      <c r="P66" s="6"/>
      <c r="Q66" s="6"/>
      <c r="R66" s="6"/>
      <c r="S66" s="6"/>
      <c r="T66" s="6"/>
      <c r="U66" s="6"/>
      <c r="V66" s="6"/>
      <c r="W66" s="6"/>
      <c r="X66" s="6"/>
      <c r="Y66" s="6"/>
    </row>
    <row r="67" ht="18.75" customHeight="1">
      <c r="A67" s="8">
        <v>7.0</v>
      </c>
      <c r="B67" s="8">
        <v>3.0</v>
      </c>
      <c r="C67" s="8" t="s">
        <v>298</v>
      </c>
      <c r="D67" s="8" t="s">
        <v>299</v>
      </c>
      <c r="E67" s="7">
        <v>503.0</v>
      </c>
      <c r="F67" s="7" t="s">
        <v>307</v>
      </c>
      <c r="G67" s="8" t="s">
        <v>301</v>
      </c>
      <c r="H67" s="8" t="s">
        <v>302</v>
      </c>
      <c r="I67" s="7" t="s">
        <v>229</v>
      </c>
      <c r="J67" s="8" t="s">
        <v>303</v>
      </c>
      <c r="K67" s="8" t="s">
        <v>308</v>
      </c>
      <c r="L67" s="7" t="str">
        <f t="shared" si="1"/>
        <v>Team: Team 3  -  Project: Ball Wall</v>
      </c>
      <c r="M67" s="6"/>
      <c r="N67" s="9"/>
      <c r="O67" s="6"/>
      <c r="P67" s="6"/>
      <c r="Q67" s="6"/>
      <c r="R67" s="6"/>
      <c r="S67" s="6"/>
      <c r="T67" s="6"/>
      <c r="U67" s="6"/>
      <c r="V67" s="6"/>
      <c r="W67" s="6"/>
      <c r="X67" s="6"/>
      <c r="Y67"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5"/>
    <col customWidth="1" min="2" max="2" width="15.88"/>
    <col customWidth="1" min="3" max="3" width="14.38"/>
    <col customWidth="1" min="4" max="4" width="22.25"/>
    <col customWidth="1" min="5" max="5" width="6.75"/>
    <col customWidth="1" min="6" max="6" width="31.88"/>
    <col customWidth="1" min="7" max="7" width="43.5"/>
    <col customWidth="1" min="8" max="11" width="23.75"/>
    <col customWidth="1" min="12" max="12" width="37.38"/>
    <col customWidth="1" min="13" max="23" width="23.75"/>
  </cols>
  <sheetData>
    <row r="1" ht="14.25" customHeight="1">
      <c r="A1" s="21" t="s">
        <v>309</v>
      </c>
      <c r="B1" s="21" t="s">
        <v>6</v>
      </c>
      <c r="C1" s="22" t="s">
        <v>310</v>
      </c>
      <c r="D1" s="21" t="s">
        <v>311</v>
      </c>
      <c r="E1" s="21" t="s">
        <v>312</v>
      </c>
      <c r="F1" s="21" t="s">
        <v>7</v>
      </c>
      <c r="G1" s="21" t="s">
        <v>8</v>
      </c>
      <c r="H1" s="21" t="s">
        <v>5</v>
      </c>
      <c r="I1" s="21" t="s">
        <v>6</v>
      </c>
      <c r="J1" s="21" t="s">
        <v>6</v>
      </c>
      <c r="K1" s="21" t="s">
        <v>313</v>
      </c>
      <c r="L1" s="21" t="s">
        <v>314</v>
      </c>
      <c r="M1" s="21"/>
      <c r="N1" s="21"/>
      <c r="O1" s="21"/>
      <c r="P1" s="21"/>
      <c r="Q1" s="21"/>
      <c r="R1" s="21"/>
      <c r="S1" s="21"/>
      <c r="T1" s="21"/>
      <c r="U1" s="21"/>
      <c r="V1" s="21"/>
      <c r="W1" s="21"/>
    </row>
    <row r="2" ht="14.25" customHeight="1">
      <c r="A2" s="20">
        <v>1.0</v>
      </c>
      <c r="B2" s="20" t="s">
        <v>315</v>
      </c>
      <c r="C2" s="20" t="s">
        <v>316</v>
      </c>
      <c r="D2" s="23" t="s">
        <v>317</v>
      </c>
      <c r="E2" s="20">
        <v>401.0</v>
      </c>
      <c r="F2" s="20" t="s">
        <v>284</v>
      </c>
      <c r="G2" s="20" t="s">
        <v>285</v>
      </c>
      <c r="H2" s="20" t="s">
        <v>282</v>
      </c>
      <c r="I2" s="20" t="s">
        <v>283</v>
      </c>
      <c r="J2" s="20"/>
      <c r="K2" s="20" t="str">
        <f t="shared" ref="K2:K13" si="1">B2&amp;" "&amp;C2</f>
        <v>David Baez</v>
      </c>
      <c r="M2" s="20"/>
      <c r="N2" s="20"/>
      <c r="O2" s="20"/>
      <c r="P2" s="20"/>
      <c r="Q2" s="20"/>
      <c r="R2" s="20"/>
      <c r="S2" s="20"/>
      <c r="T2" s="20"/>
      <c r="U2" s="20"/>
      <c r="V2" s="20"/>
      <c r="W2" s="20"/>
    </row>
    <row r="3" ht="14.25" customHeight="1">
      <c r="A3" s="20">
        <v>2.0</v>
      </c>
      <c r="B3" s="20" t="s">
        <v>318</v>
      </c>
      <c r="C3" s="20" t="s">
        <v>319</v>
      </c>
      <c r="D3" s="24" t="s">
        <v>320</v>
      </c>
      <c r="E3" s="20">
        <v>401.0</v>
      </c>
      <c r="F3" s="20" t="s">
        <v>284</v>
      </c>
      <c r="G3" s="20" t="s">
        <v>285</v>
      </c>
      <c r="H3" s="20" t="s">
        <v>282</v>
      </c>
      <c r="I3" s="20" t="s">
        <v>283</v>
      </c>
      <c r="J3" s="20"/>
      <c r="K3" s="20" t="str">
        <f t="shared" si="1"/>
        <v>Christy Duong</v>
      </c>
      <c r="M3" s="20"/>
      <c r="N3" s="20"/>
      <c r="O3" s="20"/>
      <c r="P3" s="20"/>
      <c r="Q3" s="20"/>
      <c r="R3" s="20"/>
      <c r="S3" s="20"/>
      <c r="T3" s="20"/>
      <c r="U3" s="20"/>
      <c r="V3" s="20"/>
      <c r="W3" s="20"/>
    </row>
    <row r="4" ht="14.25" customHeight="1">
      <c r="A4" s="20">
        <v>3.0</v>
      </c>
      <c r="B4" s="20" t="s">
        <v>321</v>
      </c>
      <c r="C4" s="20" t="s">
        <v>322</v>
      </c>
      <c r="D4" s="24" t="s">
        <v>323</v>
      </c>
      <c r="E4" s="20">
        <v>401.0</v>
      </c>
      <c r="F4" s="20" t="s">
        <v>284</v>
      </c>
      <c r="G4" s="20" t="s">
        <v>285</v>
      </c>
      <c r="H4" s="20" t="s">
        <v>282</v>
      </c>
      <c r="I4" s="20" t="s">
        <v>283</v>
      </c>
      <c r="J4" s="20"/>
      <c r="K4" s="20" t="str">
        <f t="shared" si="1"/>
        <v>Marianna Estrada</v>
      </c>
      <c r="M4" s="20"/>
      <c r="N4" s="20"/>
      <c r="O4" s="20"/>
      <c r="P4" s="20"/>
      <c r="Q4" s="20"/>
      <c r="R4" s="20"/>
      <c r="S4" s="20"/>
      <c r="T4" s="20"/>
      <c r="U4" s="20"/>
      <c r="V4" s="20"/>
      <c r="W4" s="20"/>
    </row>
    <row r="5" ht="14.25" customHeight="1">
      <c r="A5" s="20">
        <v>4.0</v>
      </c>
      <c r="B5" s="20" t="s">
        <v>324</v>
      </c>
      <c r="C5" s="20" t="s">
        <v>325</v>
      </c>
      <c r="D5" s="24" t="s">
        <v>326</v>
      </c>
      <c r="E5" s="20">
        <v>401.0</v>
      </c>
      <c r="F5" s="20" t="s">
        <v>284</v>
      </c>
      <c r="G5" s="20" t="s">
        <v>285</v>
      </c>
      <c r="H5" s="20" t="s">
        <v>282</v>
      </c>
      <c r="I5" s="20" t="s">
        <v>283</v>
      </c>
      <c r="J5" s="20"/>
      <c r="K5" s="20" t="str">
        <f t="shared" si="1"/>
        <v>Joy Sajimon</v>
      </c>
      <c r="M5" s="20"/>
      <c r="N5" s="20"/>
      <c r="O5" s="20"/>
      <c r="P5" s="20"/>
      <c r="Q5" s="20"/>
      <c r="R5" s="20"/>
      <c r="S5" s="20"/>
      <c r="T5" s="20"/>
      <c r="U5" s="20"/>
      <c r="V5" s="20"/>
      <c r="W5" s="20"/>
    </row>
    <row r="6" ht="14.25" customHeight="1">
      <c r="A6" s="20">
        <v>5.0</v>
      </c>
      <c r="B6" s="20" t="s">
        <v>327</v>
      </c>
      <c r="C6" s="20" t="s">
        <v>328</v>
      </c>
      <c r="D6" s="24" t="s">
        <v>329</v>
      </c>
      <c r="E6" s="20">
        <v>402.0</v>
      </c>
      <c r="F6" s="20" t="s">
        <v>290</v>
      </c>
      <c r="G6" s="20" t="s">
        <v>285</v>
      </c>
      <c r="H6" s="20" t="s">
        <v>288</v>
      </c>
      <c r="I6" s="20" t="s">
        <v>289</v>
      </c>
      <c r="J6" s="20"/>
      <c r="K6" s="20" t="str">
        <f t="shared" si="1"/>
        <v>Kainoa Ferguson</v>
      </c>
      <c r="M6" s="20"/>
      <c r="N6" s="20"/>
      <c r="O6" s="20"/>
      <c r="P6" s="20"/>
      <c r="Q6" s="20"/>
      <c r="R6" s="20"/>
      <c r="S6" s="20"/>
      <c r="T6" s="20"/>
      <c r="U6" s="20"/>
      <c r="V6" s="20"/>
      <c r="W6" s="20"/>
    </row>
    <row r="7" ht="14.25" customHeight="1">
      <c r="A7" s="20">
        <v>6.0</v>
      </c>
      <c r="B7" s="20" t="s">
        <v>330</v>
      </c>
      <c r="C7" s="20" t="s">
        <v>331</v>
      </c>
      <c r="D7" s="24" t="s">
        <v>332</v>
      </c>
      <c r="E7" s="20">
        <v>402.0</v>
      </c>
      <c r="F7" s="20" t="s">
        <v>290</v>
      </c>
      <c r="G7" s="20" t="s">
        <v>285</v>
      </c>
      <c r="H7" s="20" t="s">
        <v>288</v>
      </c>
      <c r="I7" s="20" t="s">
        <v>289</v>
      </c>
      <c r="J7" s="20"/>
      <c r="K7" s="20" t="str">
        <f t="shared" si="1"/>
        <v>Steven Nguyen</v>
      </c>
      <c r="M7" s="20"/>
      <c r="N7" s="20"/>
      <c r="O7" s="20"/>
      <c r="P7" s="20"/>
      <c r="Q7" s="20"/>
      <c r="R7" s="20"/>
      <c r="S7" s="20"/>
      <c r="T7" s="20"/>
      <c r="U7" s="20"/>
      <c r="V7" s="20"/>
      <c r="W7" s="20"/>
    </row>
    <row r="8" ht="14.25" customHeight="1">
      <c r="A8" s="20">
        <v>7.0</v>
      </c>
      <c r="B8" s="20" t="s">
        <v>333</v>
      </c>
      <c r="C8" s="20" t="s">
        <v>334</v>
      </c>
      <c r="D8" s="24" t="s">
        <v>335</v>
      </c>
      <c r="E8" s="20">
        <v>402.0</v>
      </c>
      <c r="F8" s="20" t="s">
        <v>290</v>
      </c>
      <c r="G8" s="20" t="s">
        <v>285</v>
      </c>
      <c r="H8" s="20" t="s">
        <v>288</v>
      </c>
      <c r="I8" s="20" t="s">
        <v>289</v>
      </c>
      <c r="J8" s="20"/>
      <c r="K8" s="20" t="str">
        <f t="shared" si="1"/>
        <v>Rosa Ruiz</v>
      </c>
      <c r="M8" s="20"/>
      <c r="N8" s="20"/>
      <c r="O8" s="20"/>
      <c r="P8" s="20"/>
      <c r="Q8" s="20"/>
      <c r="R8" s="20"/>
      <c r="S8" s="20"/>
      <c r="T8" s="20"/>
      <c r="U8" s="20"/>
      <c r="V8" s="20"/>
      <c r="W8" s="20"/>
    </row>
    <row r="9" ht="14.25" customHeight="1">
      <c r="A9" s="20">
        <v>8.0</v>
      </c>
      <c r="B9" s="20" t="s">
        <v>336</v>
      </c>
      <c r="C9" s="20" t="s">
        <v>337</v>
      </c>
      <c r="D9" s="24" t="s">
        <v>338</v>
      </c>
      <c r="E9" s="20">
        <v>402.0</v>
      </c>
      <c r="F9" s="20" t="s">
        <v>290</v>
      </c>
      <c r="G9" s="20" t="s">
        <v>285</v>
      </c>
      <c r="H9" s="20" t="s">
        <v>288</v>
      </c>
      <c r="I9" s="20" t="s">
        <v>289</v>
      </c>
      <c r="J9" s="20"/>
      <c r="K9" s="20" t="str">
        <f t="shared" si="1"/>
        <v>Robylene Seapno</v>
      </c>
      <c r="M9" s="20"/>
      <c r="N9" s="20"/>
      <c r="O9" s="20"/>
      <c r="P9" s="20"/>
      <c r="Q9" s="20"/>
      <c r="R9" s="20"/>
      <c r="S9" s="20"/>
      <c r="T9" s="20"/>
      <c r="U9" s="20"/>
      <c r="V9" s="20"/>
      <c r="W9" s="20"/>
    </row>
    <row r="10" ht="14.25" customHeight="1">
      <c r="A10" s="20">
        <v>9.0</v>
      </c>
      <c r="B10" s="20" t="s">
        <v>339</v>
      </c>
      <c r="C10" s="20" t="s">
        <v>340</v>
      </c>
      <c r="D10" s="24" t="s">
        <v>341</v>
      </c>
      <c r="E10" s="20">
        <v>403.0</v>
      </c>
      <c r="F10" s="20" t="s">
        <v>295</v>
      </c>
      <c r="G10" s="20" t="s">
        <v>285</v>
      </c>
      <c r="H10" s="20" t="s">
        <v>342</v>
      </c>
      <c r="I10" s="20" t="s">
        <v>294</v>
      </c>
      <c r="J10" s="20"/>
      <c r="K10" s="20" t="str">
        <f t="shared" si="1"/>
        <v>Vishaal Kumar</v>
      </c>
      <c r="M10" s="20"/>
      <c r="N10" s="20"/>
      <c r="O10" s="20"/>
      <c r="P10" s="20"/>
      <c r="Q10" s="20"/>
      <c r="R10" s="20"/>
      <c r="S10" s="20"/>
      <c r="T10" s="20"/>
      <c r="U10" s="20"/>
      <c r="V10" s="20"/>
      <c r="W10" s="20"/>
    </row>
    <row r="11" ht="14.25" customHeight="1">
      <c r="A11" s="20">
        <v>10.0</v>
      </c>
      <c r="B11" s="20" t="s">
        <v>343</v>
      </c>
      <c r="C11" s="20" t="s">
        <v>344</v>
      </c>
      <c r="D11" s="24" t="s">
        <v>345</v>
      </c>
      <c r="E11" s="20">
        <v>403.0</v>
      </c>
      <c r="F11" s="20" t="s">
        <v>295</v>
      </c>
      <c r="G11" s="20" t="s">
        <v>285</v>
      </c>
      <c r="H11" s="20" t="s">
        <v>342</v>
      </c>
      <c r="I11" s="20" t="s">
        <v>294</v>
      </c>
      <c r="J11" s="20"/>
      <c r="K11" s="20" t="str">
        <f t="shared" si="1"/>
        <v>Jose Lopez Vela</v>
      </c>
      <c r="M11" s="20"/>
      <c r="N11" s="20"/>
      <c r="O11" s="20"/>
      <c r="P11" s="20"/>
      <c r="Q11" s="20"/>
      <c r="R11" s="20"/>
      <c r="S11" s="20"/>
      <c r="T11" s="20"/>
      <c r="U11" s="20"/>
      <c r="V11" s="20"/>
      <c r="W11" s="20"/>
    </row>
    <row r="12" ht="14.25" customHeight="1">
      <c r="A12" s="20">
        <v>11.0</v>
      </c>
      <c r="B12" s="20" t="s">
        <v>346</v>
      </c>
      <c r="C12" s="20" t="s">
        <v>347</v>
      </c>
      <c r="D12" s="24" t="s">
        <v>348</v>
      </c>
      <c r="E12" s="20">
        <v>403.0</v>
      </c>
      <c r="F12" s="20" t="s">
        <v>295</v>
      </c>
      <c r="G12" s="20" t="s">
        <v>285</v>
      </c>
      <c r="H12" s="20" t="s">
        <v>342</v>
      </c>
      <c r="I12" s="20" t="s">
        <v>294</v>
      </c>
      <c r="J12" s="20"/>
      <c r="K12" s="20" t="str">
        <f t="shared" si="1"/>
        <v>Sonia Perez</v>
      </c>
      <c r="M12" s="20"/>
      <c r="N12" s="20"/>
      <c r="O12" s="20"/>
      <c r="P12" s="20"/>
      <c r="Q12" s="20"/>
      <c r="R12" s="20"/>
      <c r="S12" s="20"/>
      <c r="T12" s="20"/>
      <c r="U12" s="20"/>
      <c r="V12" s="20"/>
      <c r="W12" s="20"/>
    </row>
    <row r="13" ht="14.25" customHeight="1">
      <c r="A13" s="20">
        <v>12.0</v>
      </c>
      <c r="B13" s="20" t="s">
        <v>349</v>
      </c>
      <c r="C13" s="20" t="s">
        <v>350</v>
      </c>
      <c r="D13" s="23" t="s">
        <v>351</v>
      </c>
      <c r="E13" s="20">
        <v>403.0</v>
      </c>
      <c r="F13" s="20" t="s">
        <v>295</v>
      </c>
      <c r="G13" s="20" t="s">
        <v>285</v>
      </c>
      <c r="H13" s="20" t="s">
        <v>342</v>
      </c>
      <c r="I13" s="20" t="s">
        <v>294</v>
      </c>
      <c r="J13" s="20"/>
      <c r="K13" s="20" t="str">
        <f t="shared" si="1"/>
        <v>Alexis Smith</v>
      </c>
      <c r="M13" s="20"/>
      <c r="N13" s="20"/>
      <c r="O13" s="20"/>
      <c r="P13" s="20"/>
      <c r="Q13" s="20"/>
      <c r="R13" s="20"/>
      <c r="S13" s="20"/>
      <c r="T13" s="20"/>
      <c r="U13" s="20"/>
      <c r="V13" s="20"/>
      <c r="W13" s="20"/>
    </row>
    <row r="14" ht="14.25" customHeight="1">
      <c r="A14" s="7"/>
      <c r="B14" s="7"/>
      <c r="C14" s="7"/>
      <c r="D14" s="25"/>
      <c r="E14" s="7"/>
      <c r="F14" s="6"/>
      <c r="G14" s="6"/>
      <c r="H14" s="25"/>
      <c r="I14" s="25"/>
      <c r="J14" s="25"/>
      <c r="K14" s="25"/>
      <c r="L14" s="25"/>
      <c r="M14" s="25"/>
      <c r="N14" s="25"/>
      <c r="O14" s="25"/>
      <c r="P14" s="25"/>
      <c r="Q14" s="25"/>
      <c r="R14" s="25"/>
      <c r="S14" s="25"/>
      <c r="T14" s="25"/>
      <c r="U14" s="25"/>
      <c r="V14" s="25"/>
      <c r="W14" s="25"/>
    </row>
    <row r="15" ht="14.25" customHeight="1">
      <c r="A15" s="7"/>
      <c r="B15" s="7"/>
      <c r="C15" s="7"/>
      <c r="D15" s="25"/>
      <c r="E15" s="7"/>
      <c r="F15" s="6"/>
      <c r="G15" s="6"/>
      <c r="H15" s="25"/>
      <c r="I15" s="25"/>
      <c r="J15" s="25"/>
      <c r="K15" s="25"/>
      <c r="L15" s="25"/>
      <c r="M15" s="25"/>
      <c r="N15" s="25"/>
      <c r="O15" s="25"/>
      <c r="P15" s="25"/>
      <c r="Q15" s="25"/>
      <c r="R15" s="25"/>
      <c r="S15" s="25"/>
      <c r="T15" s="25"/>
      <c r="U15" s="25"/>
      <c r="V15" s="25"/>
      <c r="W15" s="25"/>
    </row>
    <row r="16" ht="14.25" customHeight="1">
      <c r="A16" s="7"/>
      <c r="B16" s="7"/>
      <c r="C16" s="7"/>
      <c r="D16" s="7"/>
      <c r="E16" s="20"/>
      <c r="F16" s="6"/>
      <c r="G16" s="6"/>
      <c r="H16" s="25"/>
      <c r="I16" s="25"/>
      <c r="J16" s="25"/>
      <c r="K16" s="25"/>
      <c r="L16" s="25"/>
      <c r="M16" s="25"/>
      <c r="N16" s="25"/>
      <c r="O16" s="25"/>
      <c r="P16" s="25"/>
      <c r="Q16" s="25"/>
      <c r="R16" s="25"/>
      <c r="S16" s="25"/>
      <c r="T16" s="25"/>
      <c r="U16" s="25"/>
      <c r="V16" s="25"/>
      <c r="W16" s="25"/>
    </row>
    <row r="17" ht="14.25" customHeight="1">
      <c r="A17" s="7"/>
      <c r="B17" s="7" t="s">
        <v>352</v>
      </c>
      <c r="C17" s="7" t="str">
        <f t="array" ref="C17:F17">transpose(B17:B20)</f>
        <v>David Baez</v>
      </c>
      <c r="D17" s="25" t="s">
        <v>353</v>
      </c>
      <c r="E17" s="20" t="s">
        <v>354</v>
      </c>
      <c r="F17" s="6" t="s">
        <v>355</v>
      </c>
      <c r="G17" s="25"/>
      <c r="H17" s="25" t="s">
        <v>352</v>
      </c>
      <c r="I17" s="25" t="s">
        <v>353</v>
      </c>
      <c r="J17" s="25" t="s">
        <v>354</v>
      </c>
      <c r="K17" s="6" t="s">
        <v>355</v>
      </c>
      <c r="L17" s="25" t="str">
        <f t="shared" ref="L17:L19" si="2">H17 &amp; ", " &amp;I17 &amp; ", "&amp;J17&amp;", "&amp;K17</f>
        <v>David Baez, Christy Duong, Marianna Estrada, Joy Sajimon</v>
      </c>
      <c r="M17" s="25"/>
      <c r="N17" s="25"/>
      <c r="O17" s="25"/>
      <c r="P17" s="25"/>
      <c r="Q17" s="25"/>
      <c r="R17" s="25"/>
      <c r="S17" s="25"/>
      <c r="T17" s="25"/>
      <c r="U17" s="25"/>
      <c r="V17" s="25"/>
      <c r="W17" s="25"/>
    </row>
    <row r="18" ht="14.25" customHeight="1">
      <c r="A18" s="7"/>
      <c r="B18" s="7" t="s">
        <v>353</v>
      </c>
      <c r="C18" s="7"/>
      <c r="D18" s="25"/>
      <c r="E18" s="20"/>
      <c r="F18" s="6"/>
      <c r="G18" s="6"/>
      <c r="H18" s="25" t="s">
        <v>356</v>
      </c>
      <c r="I18" s="25" t="s">
        <v>357</v>
      </c>
      <c r="J18" s="25" t="s">
        <v>358</v>
      </c>
      <c r="K18" s="6" t="s">
        <v>359</v>
      </c>
      <c r="L18" s="25" t="str">
        <f t="shared" si="2"/>
        <v>Kainoa Ferguson, Steven Nguyen, Rosa Ruiz, Robylene Seapno</v>
      </c>
      <c r="M18" s="25"/>
      <c r="N18" s="25"/>
      <c r="O18" s="25"/>
      <c r="P18" s="25"/>
      <c r="Q18" s="25"/>
      <c r="R18" s="25"/>
      <c r="S18" s="25"/>
      <c r="T18" s="25"/>
      <c r="U18" s="25"/>
      <c r="V18" s="25"/>
      <c r="W18" s="25"/>
    </row>
    <row r="19" ht="14.25" customHeight="1">
      <c r="A19" s="7"/>
      <c r="B19" s="7" t="s">
        <v>354</v>
      </c>
      <c r="C19" s="7"/>
      <c r="D19" s="25"/>
      <c r="E19" s="20"/>
      <c r="F19" s="6"/>
      <c r="G19" s="6"/>
      <c r="H19" s="25" t="s">
        <v>360</v>
      </c>
      <c r="I19" s="25" t="s">
        <v>361</v>
      </c>
      <c r="J19" s="25" t="s">
        <v>362</v>
      </c>
      <c r="K19" s="6" t="s">
        <v>363</v>
      </c>
      <c r="L19" s="25" t="str">
        <f t="shared" si="2"/>
        <v>Vishaal Kumar, Jose Lopez Vela, Sonia Perez, Alexis Smith</v>
      </c>
      <c r="M19" s="25"/>
      <c r="N19" s="25"/>
      <c r="O19" s="25"/>
      <c r="P19" s="25"/>
      <c r="Q19" s="25"/>
      <c r="R19" s="25"/>
      <c r="S19" s="25"/>
      <c r="T19" s="25"/>
      <c r="U19" s="25"/>
      <c r="V19" s="25"/>
      <c r="W19" s="25"/>
    </row>
    <row r="20" ht="14.25" customHeight="1">
      <c r="A20" s="7"/>
      <c r="B20" s="7" t="s">
        <v>355</v>
      </c>
      <c r="C20" s="7"/>
      <c r="D20" s="25"/>
      <c r="E20" s="7"/>
      <c r="F20" s="6"/>
      <c r="G20" s="6"/>
      <c r="H20" s="25"/>
      <c r="I20" s="25"/>
      <c r="J20" s="25"/>
      <c r="K20" s="6"/>
      <c r="L20" s="25"/>
      <c r="M20" s="25"/>
      <c r="N20" s="25"/>
      <c r="O20" s="25"/>
      <c r="P20" s="25"/>
      <c r="Q20" s="25"/>
      <c r="R20" s="25"/>
      <c r="S20" s="25"/>
      <c r="T20" s="25"/>
      <c r="U20" s="25"/>
      <c r="V20" s="25"/>
      <c r="W20" s="25"/>
    </row>
    <row r="21" ht="14.25" customHeight="1">
      <c r="A21" s="7"/>
      <c r="B21" s="7" t="s">
        <v>356</v>
      </c>
      <c r="C21" s="7" t="str">
        <f t="array" ref="C21:F21">transpose(B21:B24)</f>
        <v>Kainoa Ferguson</v>
      </c>
      <c r="D21" s="25" t="s">
        <v>357</v>
      </c>
      <c r="E21" s="7" t="s">
        <v>358</v>
      </c>
      <c r="F21" s="6" t="s">
        <v>359</v>
      </c>
      <c r="G21" s="6"/>
      <c r="H21" s="25"/>
      <c r="I21" s="25"/>
      <c r="J21" s="25"/>
      <c r="K21" s="6"/>
      <c r="L21" s="25"/>
      <c r="M21" s="25"/>
      <c r="N21" s="25"/>
      <c r="O21" s="25"/>
      <c r="P21" s="25"/>
      <c r="Q21" s="25"/>
      <c r="R21" s="25"/>
      <c r="S21" s="25"/>
      <c r="T21" s="25"/>
      <c r="U21" s="25"/>
      <c r="V21" s="25"/>
      <c r="W21" s="25"/>
    </row>
    <row r="22" ht="14.25" customHeight="1">
      <c r="A22" s="7"/>
      <c r="B22" s="7" t="s">
        <v>357</v>
      </c>
      <c r="C22" s="7"/>
      <c r="D22" s="25"/>
      <c r="E22" s="7"/>
      <c r="F22" s="6"/>
      <c r="G22" s="6"/>
      <c r="H22" s="25"/>
      <c r="I22" s="25"/>
      <c r="J22" s="25"/>
      <c r="K22" s="6"/>
      <c r="L22" s="25"/>
      <c r="M22" s="25"/>
      <c r="N22" s="25"/>
      <c r="O22" s="25"/>
      <c r="P22" s="25"/>
      <c r="Q22" s="25"/>
      <c r="R22" s="25"/>
      <c r="S22" s="25"/>
      <c r="T22" s="25"/>
      <c r="U22" s="25"/>
      <c r="V22" s="25"/>
      <c r="W22" s="25"/>
    </row>
    <row r="23" ht="14.25" customHeight="1">
      <c r="A23" s="7"/>
      <c r="B23" s="7" t="s">
        <v>358</v>
      </c>
      <c r="C23" s="7"/>
      <c r="D23" s="25"/>
      <c r="E23" s="7"/>
      <c r="F23" s="6"/>
      <c r="G23" s="6"/>
      <c r="H23" s="25"/>
      <c r="I23" s="25"/>
      <c r="J23" s="25"/>
      <c r="K23" s="6"/>
      <c r="L23" s="25"/>
      <c r="M23" s="25"/>
      <c r="N23" s="25"/>
      <c r="O23" s="25"/>
      <c r="P23" s="25"/>
      <c r="Q23" s="25"/>
      <c r="R23" s="25"/>
      <c r="S23" s="25"/>
      <c r="T23" s="25"/>
      <c r="U23" s="25"/>
      <c r="V23" s="25"/>
      <c r="W23" s="25"/>
    </row>
    <row r="24" ht="14.25" customHeight="1">
      <c r="A24" s="7"/>
      <c r="B24" s="7" t="s">
        <v>359</v>
      </c>
      <c r="C24" s="7"/>
      <c r="D24" s="25"/>
      <c r="E24" s="7"/>
      <c r="F24" s="6"/>
      <c r="G24" s="6"/>
      <c r="H24" s="25"/>
      <c r="I24" s="25"/>
      <c r="J24" s="25"/>
      <c r="K24" s="6"/>
      <c r="L24" s="25"/>
      <c r="M24" s="25"/>
      <c r="N24" s="25"/>
      <c r="O24" s="25"/>
      <c r="P24" s="25"/>
      <c r="Q24" s="25"/>
      <c r="R24" s="25"/>
      <c r="S24" s="25"/>
      <c r="T24" s="25"/>
      <c r="U24" s="25"/>
      <c r="V24" s="25"/>
      <c r="W24" s="25"/>
    </row>
    <row r="25" ht="14.25" customHeight="1">
      <c r="A25" s="7"/>
      <c r="B25" s="7" t="s">
        <v>360</v>
      </c>
      <c r="C25" s="7" t="str">
        <f t="array" ref="C25:F25">transpose(B25:B28)</f>
        <v>Vishaal Kumar</v>
      </c>
      <c r="D25" s="25" t="s">
        <v>361</v>
      </c>
      <c r="E25" s="7" t="s">
        <v>362</v>
      </c>
      <c r="F25" s="6" t="s">
        <v>363</v>
      </c>
      <c r="G25" s="6"/>
      <c r="L25" s="25"/>
      <c r="M25" s="25"/>
      <c r="N25" s="25"/>
      <c r="O25" s="25"/>
      <c r="P25" s="25"/>
      <c r="Q25" s="25"/>
      <c r="R25" s="25"/>
      <c r="S25" s="25"/>
      <c r="T25" s="25"/>
      <c r="U25" s="25"/>
      <c r="V25" s="25"/>
      <c r="W25" s="25"/>
    </row>
    <row r="26" ht="14.25" customHeight="1">
      <c r="A26" s="7"/>
      <c r="B26" s="7" t="s">
        <v>361</v>
      </c>
      <c r="C26" s="7"/>
      <c r="D26" s="25"/>
      <c r="E26" s="7"/>
      <c r="F26" s="6"/>
      <c r="G26" s="6"/>
      <c r="H26" s="25"/>
      <c r="I26" s="25"/>
      <c r="J26" s="25"/>
      <c r="K26" s="25"/>
      <c r="L26" s="25"/>
      <c r="M26" s="25"/>
      <c r="N26" s="25"/>
      <c r="O26" s="25"/>
      <c r="P26" s="25"/>
      <c r="Q26" s="25"/>
      <c r="R26" s="25"/>
      <c r="S26" s="25"/>
      <c r="T26" s="25"/>
      <c r="U26" s="25"/>
      <c r="V26" s="25"/>
      <c r="W26" s="25"/>
    </row>
    <row r="27" ht="14.25" customHeight="1">
      <c r="A27" s="7"/>
      <c r="B27" s="7" t="s">
        <v>362</v>
      </c>
      <c r="C27" s="7"/>
      <c r="D27" s="25"/>
      <c r="E27" s="7"/>
      <c r="F27" s="6"/>
      <c r="G27" s="6"/>
      <c r="H27" s="25"/>
      <c r="I27" s="25"/>
      <c r="J27" s="25"/>
      <c r="K27" s="25"/>
      <c r="L27" s="25"/>
      <c r="M27" s="25"/>
      <c r="N27" s="25"/>
      <c r="O27" s="25"/>
      <c r="P27" s="25"/>
      <c r="Q27" s="25"/>
      <c r="R27" s="25"/>
      <c r="S27" s="25"/>
      <c r="T27" s="25"/>
      <c r="U27" s="25"/>
      <c r="V27" s="25"/>
      <c r="W27" s="25"/>
    </row>
    <row r="28" ht="14.25" customHeight="1">
      <c r="A28" s="7"/>
      <c r="B28" s="7" t="s">
        <v>363</v>
      </c>
      <c r="C28" s="7"/>
      <c r="D28" s="25"/>
      <c r="E28" s="7"/>
      <c r="F28" s="6"/>
      <c r="G28" s="6"/>
      <c r="H28" s="25"/>
      <c r="I28" s="25"/>
      <c r="J28" s="25"/>
      <c r="K28" s="25"/>
      <c r="L28" s="25"/>
      <c r="M28" s="25"/>
      <c r="N28" s="25"/>
      <c r="O28" s="25"/>
      <c r="P28" s="25"/>
      <c r="Q28" s="25"/>
      <c r="R28" s="25"/>
      <c r="S28" s="25"/>
      <c r="T28" s="25"/>
      <c r="U28" s="25"/>
      <c r="V28" s="25"/>
      <c r="W28" s="25"/>
    </row>
    <row r="29" ht="14.25" customHeight="1">
      <c r="A29" s="7"/>
      <c r="B29" s="7"/>
      <c r="C29" s="7"/>
      <c r="D29" s="25"/>
      <c r="E29" s="7"/>
      <c r="F29" s="6"/>
      <c r="G29" s="6"/>
      <c r="H29" s="25"/>
      <c r="I29" s="25"/>
      <c r="J29" s="25"/>
      <c r="K29" s="25"/>
      <c r="L29" s="25"/>
      <c r="M29" s="25"/>
      <c r="N29" s="25"/>
      <c r="O29" s="25"/>
      <c r="P29" s="25"/>
      <c r="Q29" s="25"/>
      <c r="R29" s="25"/>
      <c r="S29" s="25"/>
      <c r="T29" s="25"/>
      <c r="U29" s="25"/>
      <c r="V29" s="25"/>
      <c r="W29" s="25"/>
    </row>
    <row r="30" ht="14.25" customHeight="1">
      <c r="A30" s="7"/>
      <c r="B30" s="7"/>
      <c r="C30" s="7"/>
      <c r="D30" s="25"/>
      <c r="E30" s="7"/>
      <c r="F30" s="6"/>
      <c r="G30" s="6"/>
      <c r="H30" s="25"/>
      <c r="I30" s="25"/>
      <c r="J30" s="25"/>
      <c r="K30" s="25"/>
      <c r="L30" s="25"/>
      <c r="M30" s="25"/>
      <c r="N30" s="25"/>
      <c r="O30" s="25"/>
      <c r="P30" s="25"/>
      <c r="Q30" s="25"/>
      <c r="R30" s="25"/>
      <c r="S30" s="25"/>
      <c r="T30" s="25"/>
      <c r="U30" s="25"/>
      <c r="V30" s="25"/>
      <c r="W30" s="25"/>
    </row>
    <row r="31" ht="14.25" customHeight="1">
      <c r="A31" s="7"/>
      <c r="B31" s="7"/>
      <c r="C31" s="7"/>
      <c r="D31" s="25"/>
      <c r="E31" s="7"/>
      <c r="F31" s="6"/>
      <c r="G31" s="6"/>
      <c r="H31" s="25"/>
      <c r="I31" s="25"/>
      <c r="J31" s="25"/>
      <c r="K31" s="25"/>
      <c r="L31" s="25"/>
      <c r="M31" s="25"/>
      <c r="N31" s="25"/>
      <c r="O31" s="25"/>
      <c r="P31" s="25"/>
      <c r="Q31" s="25"/>
      <c r="R31" s="25"/>
      <c r="S31" s="25"/>
      <c r="T31" s="25"/>
      <c r="U31" s="25"/>
      <c r="V31" s="25"/>
      <c r="W31" s="25"/>
    </row>
    <row r="32" ht="14.25" customHeight="1">
      <c r="A32" s="7"/>
      <c r="B32" s="7"/>
      <c r="C32" s="7"/>
      <c r="D32" s="25"/>
      <c r="E32" s="7"/>
      <c r="F32" s="6"/>
      <c r="G32" s="6"/>
      <c r="H32" s="25"/>
      <c r="I32" s="25"/>
      <c r="J32" s="25"/>
      <c r="K32" s="25"/>
      <c r="L32" s="25"/>
      <c r="M32" s="25"/>
      <c r="N32" s="25"/>
      <c r="O32" s="25"/>
      <c r="P32" s="25"/>
      <c r="Q32" s="25"/>
      <c r="R32" s="25"/>
      <c r="S32" s="25"/>
      <c r="T32" s="25"/>
      <c r="U32" s="25"/>
      <c r="V32" s="25"/>
      <c r="W32" s="25"/>
    </row>
    <row r="33" ht="14.25" customHeight="1">
      <c r="A33" s="7"/>
      <c r="B33" s="7"/>
      <c r="C33" s="7"/>
      <c r="D33" s="25"/>
      <c r="E33" s="7"/>
      <c r="F33" s="6"/>
      <c r="G33" s="6"/>
      <c r="H33" s="25"/>
      <c r="I33" s="25"/>
      <c r="J33" s="25"/>
      <c r="K33" s="25"/>
      <c r="L33" s="25"/>
      <c r="M33" s="25"/>
      <c r="N33" s="25"/>
      <c r="O33" s="25"/>
      <c r="P33" s="25"/>
      <c r="Q33" s="25"/>
      <c r="R33" s="25"/>
      <c r="S33" s="25"/>
      <c r="T33" s="25"/>
      <c r="U33" s="25"/>
      <c r="V33" s="25"/>
      <c r="W33" s="25"/>
    </row>
    <row r="34" ht="14.25" customHeight="1">
      <c r="A34" s="7"/>
      <c r="B34" s="7"/>
      <c r="C34" s="7"/>
      <c r="D34" s="25"/>
      <c r="E34" s="7"/>
      <c r="F34" s="6"/>
      <c r="G34" s="6"/>
      <c r="H34" s="25"/>
      <c r="I34" s="25"/>
      <c r="J34" s="25"/>
      <c r="K34" s="25"/>
      <c r="L34" s="25"/>
      <c r="M34" s="25"/>
      <c r="N34" s="25"/>
      <c r="O34" s="25"/>
      <c r="P34" s="25"/>
      <c r="Q34" s="25"/>
      <c r="R34" s="25"/>
      <c r="S34" s="25"/>
      <c r="T34" s="25"/>
      <c r="U34" s="25"/>
      <c r="V34" s="25"/>
      <c r="W34" s="25"/>
    </row>
    <row r="35" ht="14.25" customHeight="1">
      <c r="A35" s="7"/>
      <c r="B35" s="7"/>
      <c r="C35" s="7"/>
      <c r="D35" s="25"/>
      <c r="E35" s="7"/>
      <c r="F35" s="6"/>
      <c r="G35" s="6"/>
      <c r="H35" s="25"/>
      <c r="I35" s="25"/>
      <c r="J35" s="25"/>
      <c r="K35" s="25"/>
      <c r="L35" s="25"/>
      <c r="M35" s="25"/>
      <c r="N35" s="25"/>
      <c r="O35" s="25"/>
      <c r="P35" s="25"/>
      <c r="Q35" s="25"/>
      <c r="R35" s="25"/>
      <c r="S35" s="25"/>
      <c r="T35" s="25"/>
      <c r="U35" s="25"/>
      <c r="V35" s="25"/>
      <c r="W35" s="25"/>
    </row>
    <row r="36" ht="14.25" customHeight="1">
      <c r="A36" s="7"/>
      <c r="B36" s="7"/>
      <c r="C36" s="7"/>
      <c r="D36" s="25"/>
      <c r="E36" s="7"/>
      <c r="F36" s="6"/>
      <c r="G36" s="6"/>
      <c r="H36" s="25"/>
      <c r="I36" s="25"/>
      <c r="J36" s="25"/>
      <c r="K36" s="25"/>
      <c r="L36" s="25"/>
      <c r="M36" s="25"/>
      <c r="N36" s="25"/>
      <c r="O36" s="25"/>
      <c r="P36" s="25"/>
      <c r="Q36" s="25"/>
      <c r="R36" s="25"/>
      <c r="S36" s="25"/>
      <c r="T36" s="25"/>
      <c r="U36" s="25"/>
      <c r="V36" s="25"/>
      <c r="W36" s="25"/>
    </row>
    <row r="37" ht="14.25" customHeight="1">
      <c r="A37" s="7"/>
      <c r="B37" s="7"/>
      <c r="C37" s="7"/>
      <c r="D37" s="25"/>
      <c r="E37" s="7"/>
      <c r="F37" s="6"/>
      <c r="G37" s="6"/>
      <c r="H37" s="25"/>
      <c r="I37" s="25"/>
      <c r="J37" s="25"/>
      <c r="K37" s="25"/>
      <c r="L37" s="25"/>
      <c r="M37" s="25"/>
      <c r="N37" s="25"/>
      <c r="O37" s="25"/>
      <c r="P37" s="25"/>
      <c r="Q37" s="25"/>
      <c r="R37" s="25"/>
      <c r="S37" s="25"/>
      <c r="T37" s="25"/>
      <c r="U37" s="25"/>
      <c r="V37" s="25"/>
      <c r="W37" s="25"/>
    </row>
    <row r="38" ht="14.25" customHeight="1">
      <c r="A38" s="7"/>
      <c r="B38" s="7"/>
      <c r="C38" s="7"/>
      <c r="D38" s="25"/>
      <c r="E38" s="7"/>
      <c r="F38" s="6"/>
      <c r="G38" s="6"/>
      <c r="H38" s="25"/>
      <c r="I38" s="25"/>
      <c r="J38" s="25"/>
      <c r="K38" s="25"/>
      <c r="L38" s="25"/>
      <c r="M38" s="25"/>
      <c r="N38" s="25"/>
      <c r="O38" s="25"/>
      <c r="P38" s="25"/>
      <c r="Q38" s="25"/>
      <c r="R38" s="25"/>
      <c r="S38" s="25"/>
      <c r="T38" s="25"/>
      <c r="U38" s="25"/>
      <c r="V38" s="25"/>
      <c r="W38" s="25"/>
    </row>
    <row r="39" ht="14.25" customHeight="1">
      <c r="A39" s="7"/>
      <c r="B39" s="7"/>
      <c r="C39" s="7"/>
      <c r="D39" s="25"/>
      <c r="E39" s="7"/>
      <c r="F39" s="6"/>
      <c r="G39" s="6"/>
      <c r="H39" s="25"/>
      <c r="I39" s="25"/>
      <c r="J39" s="25"/>
      <c r="K39" s="25"/>
      <c r="L39" s="25"/>
      <c r="M39" s="25"/>
      <c r="N39" s="25"/>
      <c r="O39" s="25"/>
      <c r="P39" s="25"/>
      <c r="Q39" s="25"/>
      <c r="R39" s="25"/>
      <c r="S39" s="25"/>
      <c r="T39" s="25"/>
      <c r="U39" s="25"/>
      <c r="V39" s="25"/>
      <c r="W39" s="25"/>
    </row>
    <row r="40" ht="14.25" customHeight="1">
      <c r="A40" s="7"/>
      <c r="B40" s="7"/>
      <c r="C40" s="7"/>
      <c r="D40" s="25"/>
      <c r="E40" s="7"/>
      <c r="F40" s="6"/>
      <c r="G40" s="6"/>
      <c r="H40" s="25"/>
      <c r="I40" s="25"/>
      <c r="J40" s="25"/>
      <c r="K40" s="25"/>
      <c r="L40" s="25"/>
      <c r="M40" s="25"/>
      <c r="N40" s="25"/>
      <c r="O40" s="25"/>
      <c r="P40" s="25"/>
      <c r="Q40" s="25"/>
      <c r="R40" s="25"/>
      <c r="S40" s="25"/>
      <c r="T40" s="25"/>
      <c r="U40" s="25"/>
      <c r="V40" s="25"/>
      <c r="W40" s="25"/>
    </row>
    <row r="41" ht="14.25" customHeight="1">
      <c r="A41" s="7"/>
      <c r="B41" s="7"/>
      <c r="C41" s="7"/>
      <c r="D41" s="25"/>
      <c r="E41" s="7"/>
      <c r="F41" s="6"/>
      <c r="G41" s="6"/>
      <c r="H41" s="25"/>
      <c r="I41" s="25"/>
      <c r="J41" s="25"/>
      <c r="K41" s="25"/>
      <c r="L41" s="25"/>
      <c r="M41" s="25"/>
      <c r="N41" s="25"/>
      <c r="O41" s="25"/>
      <c r="P41" s="25"/>
      <c r="Q41" s="25"/>
      <c r="R41" s="25"/>
      <c r="S41" s="25"/>
      <c r="T41" s="25"/>
      <c r="U41" s="25"/>
      <c r="V41" s="25"/>
      <c r="W41" s="25"/>
    </row>
    <row r="42" ht="14.25" customHeight="1">
      <c r="A42" s="7"/>
      <c r="B42" s="7"/>
      <c r="C42" s="7"/>
      <c r="D42" s="25"/>
      <c r="E42" s="7"/>
      <c r="F42" s="6"/>
      <c r="G42" s="6"/>
      <c r="H42" s="25"/>
      <c r="I42" s="25"/>
      <c r="J42" s="25"/>
      <c r="K42" s="25"/>
      <c r="L42" s="25"/>
      <c r="M42" s="25"/>
      <c r="N42" s="25"/>
      <c r="O42" s="25"/>
      <c r="P42" s="25"/>
      <c r="Q42" s="25"/>
      <c r="R42" s="25"/>
      <c r="S42" s="25"/>
      <c r="T42" s="25"/>
      <c r="U42" s="25"/>
      <c r="V42" s="25"/>
      <c r="W42" s="25"/>
    </row>
    <row r="43" ht="14.25" customHeight="1">
      <c r="A43" s="7"/>
      <c r="B43" s="7"/>
      <c r="C43" s="7"/>
      <c r="D43" s="25"/>
      <c r="E43" s="7"/>
      <c r="F43" s="6"/>
      <c r="G43" s="6"/>
      <c r="H43" s="25"/>
      <c r="I43" s="25"/>
      <c r="J43" s="25"/>
      <c r="K43" s="25"/>
      <c r="L43" s="25"/>
      <c r="M43" s="25"/>
      <c r="N43" s="25"/>
      <c r="O43" s="25"/>
      <c r="P43" s="25"/>
      <c r="Q43" s="25"/>
      <c r="R43" s="25"/>
      <c r="S43" s="25"/>
      <c r="T43" s="25"/>
      <c r="U43" s="25"/>
      <c r="V43" s="25"/>
      <c r="W43" s="25"/>
    </row>
    <row r="44" ht="14.25" customHeight="1">
      <c r="A44" s="7"/>
      <c r="B44" s="7"/>
      <c r="C44" s="7"/>
      <c r="D44" s="25"/>
      <c r="E44" s="7"/>
      <c r="F44" s="6"/>
      <c r="G44" s="6"/>
      <c r="H44" s="25"/>
      <c r="I44" s="25"/>
      <c r="J44" s="25"/>
      <c r="K44" s="25"/>
      <c r="L44" s="25"/>
      <c r="M44" s="25"/>
      <c r="N44" s="25"/>
      <c r="O44" s="25"/>
      <c r="P44" s="25"/>
      <c r="Q44" s="25"/>
      <c r="R44" s="25"/>
      <c r="S44" s="25"/>
      <c r="T44" s="25"/>
      <c r="U44" s="25"/>
      <c r="V44" s="25"/>
      <c r="W44" s="25"/>
    </row>
    <row r="45" ht="14.25" customHeight="1">
      <c r="A45" s="7"/>
      <c r="B45" s="7"/>
      <c r="C45" s="7"/>
      <c r="D45" s="25"/>
      <c r="E45" s="7"/>
      <c r="F45" s="6"/>
      <c r="G45" s="6"/>
      <c r="H45" s="25"/>
      <c r="I45" s="25"/>
      <c r="J45" s="25"/>
      <c r="K45" s="25"/>
      <c r="L45" s="25"/>
      <c r="M45" s="25"/>
      <c r="N45" s="25"/>
      <c r="O45" s="25"/>
      <c r="P45" s="25"/>
      <c r="Q45" s="25"/>
      <c r="R45" s="25"/>
      <c r="S45" s="25"/>
      <c r="T45" s="25"/>
      <c r="U45" s="25"/>
      <c r="V45" s="25"/>
      <c r="W45" s="25"/>
    </row>
    <row r="46" ht="14.25" customHeight="1">
      <c r="A46" s="7"/>
      <c r="B46" s="7"/>
      <c r="C46" s="7"/>
      <c r="D46" s="25"/>
      <c r="E46" s="7"/>
      <c r="F46" s="6"/>
      <c r="G46" s="6"/>
      <c r="H46" s="25"/>
      <c r="I46" s="25"/>
      <c r="J46" s="25"/>
      <c r="K46" s="25"/>
      <c r="L46" s="25"/>
      <c r="M46" s="25"/>
      <c r="N46" s="25"/>
      <c r="O46" s="25"/>
      <c r="P46" s="25"/>
      <c r="Q46" s="25"/>
      <c r="R46" s="25"/>
      <c r="S46" s="25"/>
      <c r="T46" s="25"/>
      <c r="U46" s="25"/>
      <c r="V46" s="25"/>
      <c r="W46" s="25"/>
    </row>
    <row r="47" ht="14.25" customHeight="1">
      <c r="A47" s="7"/>
      <c r="B47" s="7"/>
      <c r="C47" s="7"/>
      <c r="D47" s="25"/>
      <c r="E47" s="7"/>
      <c r="F47" s="6"/>
      <c r="G47" s="6"/>
      <c r="H47" s="25"/>
      <c r="I47" s="25"/>
      <c r="J47" s="25"/>
      <c r="K47" s="25"/>
      <c r="L47" s="25"/>
      <c r="M47" s="25"/>
      <c r="N47" s="25"/>
      <c r="O47" s="25"/>
      <c r="P47" s="25"/>
      <c r="Q47" s="25"/>
      <c r="R47" s="25"/>
      <c r="S47" s="25"/>
      <c r="T47" s="25"/>
      <c r="U47" s="25"/>
      <c r="V47" s="25"/>
      <c r="W47" s="25"/>
    </row>
    <row r="48" ht="14.25" customHeight="1">
      <c r="A48" s="7"/>
      <c r="B48" s="7"/>
      <c r="C48" s="7"/>
      <c r="D48" s="25"/>
      <c r="E48" s="7"/>
      <c r="F48" s="6"/>
      <c r="G48" s="6"/>
      <c r="H48" s="25"/>
      <c r="I48" s="25"/>
      <c r="J48" s="25"/>
      <c r="K48" s="25"/>
      <c r="L48" s="25"/>
      <c r="M48" s="25"/>
      <c r="N48" s="25"/>
      <c r="O48" s="25"/>
      <c r="P48" s="25"/>
      <c r="Q48" s="25"/>
      <c r="R48" s="25"/>
      <c r="S48" s="25"/>
      <c r="T48" s="25"/>
      <c r="U48" s="25"/>
      <c r="V48" s="25"/>
      <c r="W48" s="25"/>
    </row>
    <row r="49" ht="14.25" customHeight="1">
      <c r="A49" s="7"/>
      <c r="B49" s="7"/>
      <c r="C49" s="7"/>
      <c r="D49" s="25"/>
      <c r="E49" s="7"/>
      <c r="F49" s="6"/>
      <c r="G49" s="6"/>
      <c r="H49" s="25"/>
      <c r="I49" s="25"/>
      <c r="J49" s="25"/>
      <c r="K49" s="25"/>
      <c r="L49" s="25"/>
      <c r="M49" s="25"/>
      <c r="N49" s="25"/>
      <c r="O49" s="25"/>
      <c r="P49" s="25"/>
      <c r="Q49" s="25"/>
      <c r="R49" s="25"/>
      <c r="S49" s="25"/>
      <c r="T49" s="25"/>
      <c r="U49" s="25"/>
      <c r="V49" s="25"/>
      <c r="W49" s="25"/>
    </row>
    <row r="50" ht="14.25" customHeight="1">
      <c r="A50" s="26" t="s">
        <v>0</v>
      </c>
      <c r="B50" s="26" t="s">
        <v>1</v>
      </c>
      <c r="C50" s="26" t="s">
        <v>2</v>
      </c>
      <c r="D50" s="26" t="s">
        <v>3</v>
      </c>
      <c r="E50" s="26" t="s">
        <v>4</v>
      </c>
      <c r="F50" s="26" t="s">
        <v>5</v>
      </c>
      <c r="G50" s="26" t="s">
        <v>6</v>
      </c>
      <c r="H50" s="26" t="s">
        <v>7</v>
      </c>
      <c r="I50" s="26" t="s">
        <v>8</v>
      </c>
      <c r="J50" s="27" t="s">
        <v>9</v>
      </c>
      <c r="K50" s="27" t="s">
        <v>10</v>
      </c>
      <c r="L50" s="25"/>
      <c r="M50" s="25"/>
      <c r="N50" s="25"/>
      <c r="O50" s="25"/>
      <c r="P50" s="25"/>
      <c r="Q50" s="25"/>
      <c r="R50" s="25"/>
      <c r="S50" s="25"/>
      <c r="T50" s="25"/>
      <c r="U50" s="25"/>
      <c r="V50" s="25"/>
      <c r="W50" s="25"/>
    </row>
    <row r="51" ht="14.25" customHeight="1">
      <c r="A51" s="28">
        <v>1.0</v>
      </c>
      <c r="B51" s="28">
        <v>2.0</v>
      </c>
      <c r="C51" s="29" t="s">
        <v>12</v>
      </c>
      <c r="D51" s="29" t="s">
        <v>13</v>
      </c>
      <c r="E51" s="29" t="s">
        <v>364</v>
      </c>
      <c r="F51" s="29" t="s">
        <v>365</v>
      </c>
      <c r="G51" s="29" t="s">
        <v>148</v>
      </c>
      <c r="H51" s="29" t="s">
        <v>149</v>
      </c>
      <c r="I51" s="30"/>
      <c r="J51" s="29" t="s">
        <v>365</v>
      </c>
      <c r="K51" s="29" t="s">
        <v>151</v>
      </c>
      <c r="L51" s="25"/>
      <c r="M51" s="25"/>
      <c r="N51" s="25"/>
      <c r="O51" s="25"/>
      <c r="P51" s="25"/>
      <c r="Q51" s="25"/>
      <c r="R51" s="25"/>
      <c r="S51" s="25"/>
      <c r="T51" s="25"/>
      <c r="U51" s="25"/>
      <c r="V51" s="25"/>
      <c r="W51" s="25"/>
    </row>
    <row r="52" ht="14.25" customHeight="1">
      <c r="A52" s="28">
        <v>5.0</v>
      </c>
      <c r="B52" s="28">
        <v>1.0</v>
      </c>
      <c r="C52" s="29" t="s">
        <v>12</v>
      </c>
      <c r="D52" s="29" t="s">
        <v>13</v>
      </c>
      <c r="E52" s="29" t="s">
        <v>366</v>
      </c>
      <c r="F52" s="29" t="s">
        <v>365</v>
      </c>
      <c r="G52" s="29" t="s">
        <v>367</v>
      </c>
      <c r="H52" s="29" t="s">
        <v>154</v>
      </c>
      <c r="I52" s="30"/>
      <c r="J52" s="29" t="s">
        <v>365</v>
      </c>
      <c r="K52" s="29" t="s">
        <v>157</v>
      </c>
      <c r="L52" s="25"/>
      <c r="M52" s="25"/>
      <c r="N52" s="25"/>
      <c r="O52" s="25"/>
      <c r="P52" s="25"/>
      <c r="Q52" s="25"/>
      <c r="R52" s="25"/>
      <c r="S52" s="25"/>
      <c r="T52" s="25"/>
      <c r="U52" s="25"/>
      <c r="V52" s="25"/>
      <c r="W52" s="25"/>
    </row>
    <row r="53" ht="14.25" customHeight="1">
      <c r="A53" s="28">
        <v>6.0</v>
      </c>
      <c r="B53" s="28">
        <v>1.0</v>
      </c>
      <c r="C53" s="29" t="s">
        <v>280</v>
      </c>
      <c r="D53" s="29" t="s">
        <v>281</v>
      </c>
      <c r="E53" s="29" t="s">
        <v>368</v>
      </c>
      <c r="F53" s="29" t="s">
        <v>365</v>
      </c>
      <c r="G53" s="29" t="s">
        <v>365</v>
      </c>
      <c r="H53" s="29" t="s">
        <v>365</v>
      </c>
      <c r="I53" s="30"/>
      <c r="J53" s="29" t="s">
        <v>365</v>
      </c>
      <c r="K53" s="29" t="s">
        <v>365</v>
      </c>
      <c r="L53" s="25"/>
      <c r="M53" s="25"/>
      <c r="N53" s="25"/>
      <c r="O53" s="25"/>
      <c r="P53" s="25"/>
      <c r="Q53" s="25"/>
      <c r="R53" s="25"/>
      <c r="S53" s="25"/>
      <c r="T53" s="25"/>
      <c r="U53" s="25"/>
      <c r="V53" s="25"/>
      <c r="W53" s="25"/>
    </row>
    <row r="54" ht="14.25" customHeight="1">
      <c r="A54" s="28">
        <v>6.0</v>
      </c>
      <c r="B54" s="28">
        <v>2.0</v>
      </c>
      <c r="C54" s="29" t="s">
        <v>280</v>
      </c>
      <c r="D54" s="29" t="s">
        <v>281</v>
      </c>
      <c r="E54" s="29" t="s">
        <v>369</v>
      </c>
      <c r="F54" s="29" t="s">
        <v>365</v>
      </c>
      <c r="G54" s="29" t="s">
        <v>365</v>
      </c>
      <c r="H54" s="29" t="s">
        <v>365</v>
      </c>
      <c r="I54" s="30"/>
      <c r="J54" s="29" t="s">
        <v>365</v>
      </c>
      <c r="K54" s="29" t="s">
        <v>365</v>
      </c>
      <c r="L54" s="25"/>
      <c r="M54" s="25"/>
      <c r="N54" s="25"/>
      <c r="O54" s="25"/>
      <c r="P54" s="25"/>
      <c r="Q54" s="25"/>
      <c r="R54" s="25"/>
      <c r="S54" s="25"/>
      <c r="T54" s="25"/>
      <c r="U54" s="25"/>
      <c r="V54" s="25"/>
      <c r="W54" s="25"/>
    </row>
    <row r="55" ht="14.25" customHeight="1">
      <c r="A55" s="28">
        <v>6.0</v>
      </c>
      <c r="B55" s="28">
        <v>3.0</v>
      </c>
      <c r="C55" s="29" t="s">
        <v>280</v>
      </c>
      <c r="D55" s="29" t="s">
        <v>281</v>
      </c>
      <c r="E55" s="29" t="s">
        <v>370</v>
      </c>
      <c r="F55" s="29" t="s">
        <v>365</v>
      </c>
      <c r="G55" s="29" t="s">
        <v>365</v>
      </c>
      <c r="H55" s="29" t="s">
        <v>365</v>
      </c>
      <c r="I55" s="30"/>
      <c r="J55" s="29" t="s">
        <v>365</v>
      </c>
      <c r="K55" s="29" t="s">
        <v>365</v>
      </c>
      <c r="L55" s="25"/>
      <c r="M55" s="25"/>
      <c r="N55" s="25"/>
      <c r="O55" s="25"/>
      <c r="P55" s="25"/>
      <c r="Q55" s="25"/>
      <c r="R55" s="25"/>
      <c r="S55" s="25"/>
      <c r="T55" s="25"/>
      <c r="U55" s="25"/>
      <c r="V55" s="25"/>
      <c r="W55" s="25"/>
    </row>
    <row r="56" ht="14.25" customHeight="1">
      <c r="A56" s="28">
        <v>7.0</v>
      </c>
      <c r="B56" s="28">
        <v>1.0</v>
      </c>
      <c r="C56" s="29" t="s">
        <v>298</v>
      </c>
      <c r="D56" s="29" t="s">
        <v>299</v>
      </c>
      <c r="E56" s="29" t="s">
        <v>371</v>
      </c>
      <c r="F56" s="29" t="s">
        <v>300</v>
      </c>
      <c r="G56" s="29" t="s">
        <v>301</v>
      </c>
      <c r="H56" s="29" t="s">
        <v>302</v>
      </c>
      <c r="I56" s="31" t="s">
        <v>229</v>
      </c>
      <c r="J56" s="29" t="s">
        <v>303</v>
      </c>
      <c r="K56" s="29" t="s">
        <v>304</v>
      </c>
      <c r="L56" s="25"/>
      <c r="M56" s="25"/>
      <c r="N56" s="25"/>
      <c r="O56" s="25"/>
      <c r="P56" s="25"/>
      <c r="Q56" s="25"/>
      <c r="R56" s="25"/>
      <c r="S56" s="25"/>
      <c r="T56" s="25"/>
      <c r="U56" s="25"/>
      <c r="V56" s="25"/>
      <c r="W56" s="25"/>
    </row>
    <row r="57" ht="14.25" customHeight="1">
      <c r="A57" s="28">
        <v>7.0</v>
      </c>
      <c r="B57" s="28">
        <v>2.0</v>
      </c>
      <c r="C57" s="29" t="s">
        <v>298</v>
      </c>
      <c r="D57" s="29" t="s">
        <v>299</v>
      </c>
      <c r="E57" s="29" t="s">
        <v>372</v>
      </c>
      <c r="F57" s="29" t="s">
        <v>305</v>
      </c>
      <c r="G57" s="29" t="s">
        <v>301</v>
      </c>
      <c r="H57" s="29" t="s">
        <v>302</v>
      </c>
      <c r="I57" s="31" t="s">
        <v>229</v>
      </c>
      <c r="J57" s="29" t="s">
        <v>303</v>
      </c>
      <c r="K57" s="29" t="s">
        <v>306</v>
      </c>
      <c r="L57" s="25"/>
      <c r="M57" s="25"/>
      <c r="N57" s="25"/>
      <c r="O57" s="25"/>
      <c r="P57" s="25"/>
      <c r="Q57" s="25"/>
      <c r="R57" s="25"/>
      <c r="S57" s="25"/>
      <c r="T57" s="25"/>
      <c r="U57" s="25"/>
      <c r="V57" s="25"/>
      <c r="W57" s="25"/>
    </row>
    <row r="58" ht="14.25" customHeight="1">
      <c r="A58" s="28">
        <v>7.0</v>
      </c>
      <c r="B58" s="28">
        <v>3.0</v>
      </c>
      <c r="C58" s="29" t="s">
        <v>298</v>
      </c>
      <c r="D58" s="29" t="s">
        <v>299</v>
      </c>
      <c r="E58" s="29" t="s">
        <v>373</v>
      </c>
      <c r="F58" s="29" t="s">
        <v>307</v>
      </c>
      <c r="G58" s="29" t="s">
        <v>301</v>
      </c>
      <c r="H58" s="29" t="s">
        <v>302</v>
      </c>
      <c r="I58" s="31" t="s">
        <v>229</v>
      </c>
      <c r="J58" s="29" t="s">
        <v>303</v>
      </c>
      <c r="K58" s="29" t="s">
        <v>308</v>
      </c>
      <c r="L58" s="25"/>
      <c r="M58" s="25"/>
      <c r="N58" s="25"/>
      <c r="O58" s="25"/>
      <c r="P58" s="25"/>
      <c r="Q58" s="25"/>
      <c r="R58" s="25"/>
      <c r="S58" s="25"/>
      <c r="T58" s="25"/>
      <c r="U58" s="25"/>
      <c r="V58" s="25"/>
      <c r="W58" s="25"/>
    </row>
    <row r="59" ht="14.25" customHeight="1">
      <c r="A59" s="7"/>
      <c r="B59" s="7"/>
      <c r="C59" s="7"/>
      <c r="D59" s="25"/>
      <c r="E59" s="7"/>
      <c r="F59" s="6"/>
      <c r="G59" s="6"/>
      <c r="H59" s="25"/>
      <c r="I59" s="25"/>
      <c r="J59" s="25"/>
      <c r="K59" s="25"/>
      <c r="L59" s="25"/>
      <c r="M59" s="25"/>
      <c r="N59" s="25"/>
      <c r="O59" s="25"/>
      <c r="P59" s="25"/>
      <c r="Q59" s="25"/>
      <c r="R59" s="25"/>
      <c r="S59" s="25"/>
      <c r="T59" s="25"/>
      <c r="U59" s="25"/>
      <c r="V59" s="25"/>
      <c r="W59" s="25"/>
    </row>
    <row r="60" ht="14.25" customHeight="1">
      <c r="A60" s="7"/>
      <c r="B60" s="7"/>
      <c r="C60" s="7"/>
      <c r="D60" s="25"/>
      <c r="E60" s="7"/>
      <c r="F60" s="6"/>
      <c r="G60" s="6"/>
      <c r="H60" s="25"/>
      <c r="I60" s="25"/>
      <c r="J60" s="25"/>
      <c r="K60" s="25"/>
      <c r="L60" s="25"/>
      <c r="M60" s="25"/>
      <c r="N60" s="25"/>
      <c r="O60" s="25"/>
      <c r="P60" s="25"/>
      <c r="Q60" s="25"/>
      <c r="R60" s="25"/>
      <c r="S60" s="25"/>
      <c r="T60" s="25"/>
      <c r="U60" s="25"/>
      <c r="V60" s="25"/>
      <c r="W60" s="25"/>
    </row>
    <row r="61" ht="14.25" customHeight="1">
      <c r="A61" s="7"/>
      <c r="B61" s="7"/>
      <c r="C61" s="7"/>
      <c r="D61" s="25"/>
      <c r="E61" s="7"/>
      <c r="F61" s="6"/>
      <c r="G61" s="6"/>
      <c r="H61" s="25"/>
      <c r="I61" s="25"/>
      <c r="J61" s="25"/>
      <c r="K61" s="25"/>
      <c r="L61" s="25"/>
      <c r="M61" s="25"/>
      <c r="N61" s="25"/>
      <c r="O61" s="25"/>
      <c r="P61" s="25"/>
      <c r="Q61" s="25"/>
      <c r="R61" s="25"/>
      <c r="S61" s="25"/>
      <c r="T61" s="25"/>
      <c r="U61" s="25"/>
      <c r="V61" s="25"/>
      <c r="W61" s="25"/>
    </row>
    <row r="62" ht="14.25" customHeight="1">
      <c r="A62" s="7"/>
      <c r="B62" s="7"/>
      <c r="C62" s="7"/>
      <c r="D62" s="25"/>
      <c r="E62" s="7"/>
      <c r="F62" s="6"/>
      <c r="G62" s="6"/>
      <c r="H62" s="25"/>
      <c r="I62" s="25"/>
      <c r="J62" s="25"/>
      <c r="K62" s="25"/>
      <c r="L62" s="25"/>
      <c r="M62" s="25"/>
      <c r="N62" s="25"/>
      <c r="O62" s="25"/>
      <c r="P62" s="25"/>
      <c r="Q62" s="25"/>
      <c r="R62" s="25"/>
      <c r="S62" s="25"/>
      <c r="T62" s="25"/>
      <c r="U62" s="25"/>
      <c r="V62" s="25"/>
      <c r="W62" s="25"/>
    </row>
    <row r="63" ht="14.25" customHeight="1">
      <c r="A63" s="7"/>
      <c r="B63" s="7"/>
      <c r="C63" s="7"/>
      <c r="D63" s="7"/>
      <c r="E63" s="7"/>
      <c r="F63" s="20"/>
      <c r="G63" s="20"/>
      <c r="H63" s="25"/>
      <c r="I63" s="25"/>
      <c r="J63" s="25"/>
      <c r="K63" s="25"/>
      <c r="L63" s="25"/>
      <c r="M63" s="25"/>
      <c r="N63" s="25"/>
      <c r="O63" s="25"/>
      <c r="P63" s="25"/>
      <c r="Q63" s="25"/>
      <c r="R63" s="25"/>
      <c r="S63" s="25"/>
      <c r="T63" s="25"/>
      <c r="U63" s="25"/>
      <c r="V63" s="25"/>
      <c r="W63" s="25"/>
    </row>
    <row r="64" ht="14.25" customHeight="1">
      <c r="A64" s="7"/>
      <c r="B64" s="7"/>
      <c r="C64" s="7"/>
      <c r="D64" s="7"/>
      <c r="E64" s="7"/>
      <c r="F64" s="20"/>
      <c r="G64" s="20"/>
      <c r="H64" s="25"/>
      <c r="I64" s="25"/>
      <c r="J64" s="25"/>
      <c r="K64" s="25"/>
      <c r="L64" s="25"/>
      <c r="M64" s="25"/>
      <c r="N64" s="25"/>
      <c r="O64" s="25"/>
      <c r="P64" s="25"/>
      <c r="Q64" s="25"/>
      <c r="R64" s="25"/>
      <c r="S64" s="25"/>
      <c r="T64" s="25"/>
      <c r="U64" s="25"/>
      <c r="V64" s="25"/>
      <c r="W64" s="25"/>
    </row>
    <row r="65" ht="14.25" customHeight="1">
      <c r="A65" s="7"/>
      <c r="B65" s="7"/>
      <c r="C65" s="7"/>
      <c r="D65" s="7"/>
      <c r="E65" s="7"/>
      <c r="F65" s="20"/>
      <c r="G65" s="20"/>
      <c r="H65" s="25"/>
      <c r="I65" s="25"/>
      <c r="J65" s="25"/>
      <c r="K65" s="25"/>
      <c r="L65" s="25"/>
      <c r="M65" s="25"/>
      <c r="N65" s="25"/>
      <c r="O65" s="25"/>
      <c r="P65" s="25"/>
      <c r="Q65" s="25"/>
      <c r="R65" s="25"/>
      <c r="S65" s="25"/>
      <c r="T65" s="25"/>
      <c r="U65" s="25"/>
      <c r="V65" s="25"/>
      <c r="W65" s="25"/>
    </row>
    <row r="66" ht="14.25" customHeight="1">
      <c r="A66" s="7"/>
      <c r="B66" s="7"/>
      <c r="C66" s="7"/>
      <c r="D66" s="7"/>
      <c r="E66" s="7"/>
      <c r="F66" s="20"/>
      <c r="G66" s="20"/>
      <c r="H66" s="25"/>
      <c r="I66" s="25"/>
      <c r="J66" s="25"/>
      <c r="K66" s="25"/>
      <c r="L66" s="25"/>
      <c r="M66" s="25"/>
      <c r="N66" s="25"/>
      <c r="O66" s="25"/>
      <c r="P66" s="25"/>
      <c r="Q66" s="25"/>
      <c r="R66" s="25"/>
      <c r="S66" s="25"/>
      <c r="T66" s="25"/>
      <c r="U66" s="25"/>
      <c r="V66" s="25"/>
      <c r="W66" s="25"/>
    </row>
    <row r="67" ht="14.25" customHeight="1">
      <c r="A67" s="7"/>
      <c r="B67" s="7"/>
      <c r="C67" s="7"/>
      <c r="D67" s="7"/>
      <c r="E67" s="7"/>
      <c r="F67" s="20"/>
      <c r="G67" s="20"/>
      <c r="H67" s="25"/>
      <c r="I67" s="25"/>
      <c r="J67" s="25"/>
      <c r="K67" s="25"/>
      <c r="L67" s="25"/>
      <c r="M67" s="25"/>
      <c r="N67" s="25"/>
      <c r="O67" s="25"/>
      <c r="P67" s="25"/>
      <c r="Q67" s="25"/>
      <c r="R67" s="25"/>
      <c r="S67" s="25"/>
      <c r="T67" s="25"/>
      <c r="U67" s="25"/>
      <c r="V67" s="25"/>
      <c r="W67" s="25"/>
    </row>
    <row r="68" ht="14.25" customHeight="1">
      <c r="A68" s="7"/>
      <c r="B68" s="7"/>
      <c r="C68" s="7"/>
      <c r="D68" s="7"/>
      <c r="E68" s="7"/>
      <c r="F68" s="20"/>
      <c r="G68" s="20"/>
      <c r="H68" s="25"/>
      <c r="I68" s="25"/>
      <c r="J68" s="25"/>
      <c r="K68" s="25"/>
      <c r="L68" s="25"/>
      <c r="M68" s="25"/>
      <c r="N68" s="25"/>
      <c r="O68" s="25"/>
      <c r="P68" s="25"/>
      <c r="Q68" s="25"/>
      <c r="R68" s="25"/>
      <c r="S68" s="25"/>
      <c r="T68" s="25"/>
      <c r="U68" s="25"/>
      <c r="V68" s="25"/>
      <c r="W68" s="25"/>
    </row>
    <row r="69" ht="14.25" customHeight="1">
      <c r="A69" s="7"/>
      <c r="B69" s="7"/>
      <c r="C69" s="7"/>
      <c r="D69" s="7"/>
      <c r="E69" s="7"/>
      <c r="F69" s="20"/>
      <c r="G69" s="20"/>
      <c r="H69" s="25"/>
      <c r="I69" s="25"/>
      <c r="J69" s="25"/>
      <c r="K69" s="25"/>
      <c r="L69" s="25"/>
      <c r="M69" s="25"/>
      <c r="N69" s="25"/>
      <c r="O69" s="25"/>
      <c r="P69" s="25"/>
      <c r="Q69" s="25"/>
      <c r="R69" s="25"/>
      <c r="S69" s="25"/>
      <c r="T69" s="25"/>
      <c r="U69" s="25"/>
      <c r="V69" s="25"/>
      <c r="W69" s="25"/>
    </row>
    <row r="70" ht="14.25" customHeight="1">
      <c r="A70" s="7"/>
      <c r="B70" s="7"/>
      <c r="C70" s="7"/>
      <c r="D70" s="7"/>
      <c r="E70" s="7"/>
      <c r="F70" s="20"/>
      <c r="G70" s="20"/>
      <c r="H70" s="25"/>
      <c r="I70" s="25"/>
      <c r="J70" s="25"/>
      <c r="K70" s="25"/>
      <c r="L70" s="25"/>
      <c r="M70" s="25"/>
      <c r="N70" s="25"/>
      <c r="O70" s="25"/>
      <c r="P70" s="25"/>
      <c r="Q70" s="25"/>
      <c r="R70" s="25"/>
      <c r="S70" s="25"/>
      <c r="T70" s="25"/>
      <c r="U70" s="25"/>
      <c r="V70" s="25"/>
      <c r="W70" s="25"/>
    </row>
    <row r="71" ht="14.25" customHeight="1">
      <c r="A71" s="7"/>
      <c r="B71" s="7"/>
      <c r="C71" s="7"/>
      <c r="D71" s="7"/>
      <c r="E71" s="7"/>
      <c r="F71" s="20"/>
      <c r="G71" s="20"/>
      <c r="H71" s="25"/>
      <c r="I71" s="25"/>
      <c r="J71" s="25"/>
      <c r="K71" s="25"/>
      <c r="L71" s="25"/>
      <c r="M71" s="25"/>
      <c r="N71" s="25"/>
      <c r="O71" s="25"/>
      <c r="P71" s="25"/>
      <c r="Q71" s="25"/>
      <c r="R71" s="25"/>
      <c r="S71" s="25"/>
      <c r="T71" s="25"/>
      <c r="U71" s="25"/>
      <c r="V71" s="25"/>
      <c r="W71" s="25"/>
    </row>
    <row r="72" ht="14.25" customHeight="1">
      <c r="A72" s="7"/>
      <c r="B72" s="7"/>
      <c r="C72" s="7"/>
      <c r="D72" s="7"/>
      <c r="E72" s="7"/>
      <c r="F72" s="20"/>
      <c r="G72" s="20"/>
      <c r="H72" s="25"/>
      <c r="I72" s="25"/>
      <c r="J72" s="25"/>
      <c r="K72" s="25"/>
      <c r="L72" s="25"/>
      <c r="M72" s="25"/>
      <c r="N72" s="25"/>
      <c r="O72" s="25"/>
      <c r="P72" s="25"/>
      <c r="Q72" s="25"/>
      <c r="R72" s="25"/>
      <c r="S72" s="25"/>
      <c r="T72" s="25"/>
      <c r="U72" s="25"/>
      <c r="V72" s="25"/>
      <c r="W72" s="25"/>
    </row>
    <row r="73" ht="14.25" customHeight="1">
      <c r="A73" s="7"/>
      <c r="B73" s="7"/>
      <c r="C73" s="7"/>
      <c r="D73" s="7"/>
      <c r="E73" s="7"/>
      <c r="F73" s="20"/>
      <c r="G73" s="20"/>
      <c r="H73" s="25"/>
      <c r="I73" s="25"/>
      <c r="J73" s="25"/>
      <c r="K73" s="25"/>
      <c r="L73" s="25"/>
      <c r="M73" s="25"/>
      <c r="N73" s="25"/>
      <c r="O73" s="25"/>
      <c r="P73" s="25"/>
      <c r="Q73" s="25"/>
      <c r="R73" s="25"/>
      <c r="S73" s="25"/>
      <c r="T73" s="25"/>
      <c r="U73" s="25"/>
      <c r="V73" s="25"/>
      <c r="W73" s="25"/>
    </row>
    <row r="74" ht="14.25" customHeight="1">
      <c r="A74" s="7"/>
      <c r="B74" s="7"/>
      <c r="C74" s="7"/>
      <c r="D74" s="7"/>
      <c r="E74" s="7"/>
      <c r="F74" s="20"/>
      <c r="G74" s="20"/>
      <c r="H74" s="25"/>
      <c r="I74" s="25"/>
      <c r="J74" s="25"/>
      <c r="K74" s="25"/>
      <c r="L74" s="25"/>
      <c r="M74" s="25"/>
      <c r="N74" s="25"/>
      <c r="O74" s="25"/>
      <c r="P74" s="25"/>
      <c r="Q74" s="25"/>
      <c r="R74" s="25"/>
      <c r="S74" s="25"/>
      <c r="T74" s="25"/>
      <c r="U74" s="25"/>
      <c r="V74" s="25"/>
      <c r="W74" s="25"/>
    </row>
    <row r="75" ht="14.25" customHeight="1">
      <c r="A75" s="7"/>
      <c r="B75" s="7"/>
      <c r="C75" s="7"/>
      <c r="D75" s="7"/>
      <c r="E75" s="7"/>
      <c r="F75" s="20"/>
      <c r="G75" s="20"/>
      <c r="H75" s="25"/>
      <c r="I75" s="25"/>
      <c r="J75" s="25"/>
      <c r="K75" s="25"/>
      <c r="L75" s="25"/>
      <c r="M75" s="25"/>
      <c r="N75" s="25"/>
      <c r="O75" s="25"/>
      <c r="P75" s="25"/>
      <c r="Q75" s="25"/>
      <c r="R75" s="25"/>
      <c r="S75" s="25"/>
      <c r="T75" s="25"/>
      <c r="U75" s="25"/>
      <c r="V75" s="25"/>
      <c r="W75" s="25"/>
    </row>
    <row r="76" ht="14.25" customHeight="1">
      <c r="A76" s="7"/>
      <c r="B76" s="7"/>
      <c r="C76" s="7"/>
      <c r="D76" s="7"/>
      <c r="E76" s="7"/>
      <c r="F76" s="20"/>
      <c r="G76" s="20"/>
      <c r="H76" s="25"/>
      <c r="I76" s="25"/>
      <c r="J76" s="25"/>
      <c r="K76" s="25"/>
      <c r="L76" s="25"/>
      <c r="M76" s="25"/>
      <c r="N76" s="25"/>
      <c r="O76" s="25"/>
      <c r="P76" s="25"/>
      <c r="Q76" s="25"/>
      <c r="R76" s="25"/>
      <c r="S76" s="25"/>
      <c r="T76" s="25"/>
      <c r="U76" s="25"/>
      <c r="V76" s="25"/>
      <c r="W76" s="25"/>
    </row>
    <row r="77" ht="14.25" customHeight="1">
      <c r="A77" s="7"/>
      <c r="B77" s="7"/>
      <c r="C77" s="7"/>
      <c r="D77" s="7"/>
      <c r="E77" s="7"/>
      <c r="F77" s="20"/>
      <c r="G77" s="20"/>
      <c r="H77" s="25"/>
      <c r="I77" s="25"/>
      <c r="J77" s="25"/>
      <c r="K77" s="25"/>
      <c r="L77" s="25"/>
      <c r="M77" s="25"/>
      <c r="N77" s="25"/>
      <c r="O77" s="25"/>
      <c r="P77" s="25"/>
      <c r="Q77" s="25"/>
      <c r="R77" s="25"/>
      <c r="S77" s="25"/>
      <c r="T77" s="25"/>
      <c r="U77" s="25"/>
      <c r="V77" s="25"/>
      <c r="W77" s="25"/>
    </row>
    <row r="78" ht="14.25" customHeight="1">
      <c r="A78" s="7"/>
      <c r="B78" s="7"/>
      <c r="C78" s="7"/>
      <c r="D78" s="7"/>
      <c r="E78" s="7"/>
      <c r="F78" s="20"/>
      <c r="G78" s="20"/>
      <c r="H78" s="25"/>
      <c r="I78" s="25"/>
      <c r="J78" s="25"/>
      <c r="K78" s="25"/>
      <c r="L78" s="25"/>
      <c r="M78" s="25"/>
      <c r="N78" s="25"/>
      <c r="O78" s="25"/>
      <c r="P78" s="25"/>
      <c r="Q78" s="25"/>
      <c r="R78" s="25"/>
      <c r="S78" s="25"/>
      <c r="T78" s="25"/>
      <c r="U78" s="25"/>
      <c r="V78" s="25"/>
      <c r="W78" s="25"/>
    </row>
    <row r="79" ht="14.25" customHeight="1">
      <c r="A79" s="7"/>
      <c r="B79" s="7"/>
      <c r="C79" s="7"/>
      <c r="D79" s="7"/>
      <c r="E79" s="7"/>
      <c r="F79" s="20"/>
      <c r="G79" s="20"/>
      <c r="H79" s="25"/>
      <c r="I79" s="25"/>
      <c r="J79" s="25"/>
      <c r="K79" s="25"/>
      <c r="L79" s="25"/>
      <c r="M79" s="25"/>
      <c r="N79" s="25"/>
      <c r="O79" s="25"/>
      <c r="P79" s="25"/>
      <c r="Q79" s="25"/>
      <c r="R79" s="25"/>
      <c r="S79" s="25"/>
      <c r="T79" s="25"/>
      <c r="U79" s="25"/>
      <c r="V79" s="25"/>
      <c r="W79" s="25"/>
    </row>
    <row r="80" ht="14.25" customHeight="1">
      <c r="A80" s="7"/>
      <c r="B80" s="7"/>
      <c r="C80" s="7"/>
      <c r="D80" s="7"/>
      <c r="E80" s="7"/>
      <c r="F80" s="20"/>
      <c r="G80" s="20"/>
      <c r="H80" s="25"/>
      <c r="I80" s="25"/>
      <c r="J80" s="25"/>
      <c r="K80" s="25"/>
      <c r="L80" s="25"/>
      <c r="M80" s="25"/>
      <c r="N80" s="25"/>
      <c r="O80" s="25"/>
      <c r="P80" s="25"/>
      <c r="Q80" s="25"/>
      <c r="R80" s="25"/>
      <c r="S80" s="25"/>
      <c r="T80" s="25"/>
      <c r="U80" s="25"/>
      <c r="V80" s="25"/>
      <c r="W80" s="25"/>
    </row>
    <row r="81" ht="14.25" customHeight="1">
      <c r="A81" s="7"/>
      <c r="B81" s="7"/>
      <c r="C81" s="7"/>
      <c r="D81" s="7"/>
      <c r="E81" s="7"/>
      <c r="F81" s="20"/>
      <c r="G81" s="20"/>
      <c r="H81" s="25"/>
      <c r="I81" s="25"/>
      <c r="J81" s="25"/>
      <c r="K81" s="25"/>
      <c r="L81" s="25"/>
      <c r="M81" s="25"/>
      <c r="N81" s="25"/>
      <c r="O81" s="25"/>
      <c r="P81" s="25"/>
      <c r="Q81" s="25"/>
      <c r="R81" s="25"/>
      <c r="S81" s="25"/>
      <c r="T81" s="25"/>
      <c r="U81" s="25"/>
      <c r="V81" s="25"/>
      <c r="W81" s="25"/>
    </row>
    <row r="82" ht="14.25" customHeight="1">
      <c r="A82" s="7"/>
      <c r="B82" s="7"/>
      <c r="C82" s="7"/>
      <c r="D82" s="7"/>
      <c r="E82" s="7"/>
      <c r="F82" s="20"/>
      <c r="G82" s="20"/>
      <c r="H82" s="25"/>
      <c r="I82" s="25"/>
      <c r="J82" s="25"/>
      <c r="K82" s="25"/>
      <c r="L82" s="25"/>
      <c r="M82" s="25"/>
      <c r="N82" s="25"/>
      <c r="O82" s="25"/>
      <c r="P82" s="25"/>
      <c r="Q82" s="25"/>
      <c r="R82" s="25"/>
      <c r="S82" s="25"/>
      <c r="T82" s="25"/>
      <c r="U82" s="25"/>
      <c r="V82" s="25"/>
      <c r="W82" s="25"/>
    </row>
    <row r="83" ht="14.25" customHeight="1">
      <c r="A83" s="7"/>
      <c r="B83" s="7"/>
      <c r="C83" s="7"/>
      <c r="D83" s="7"/>
      <c r="E83" s="7"/>
      <c r="F83" s="20"/>
      <c r="G83" s="20"/>
      <c r="H83" s="25"/>
      <c r="I83" s="25"/>
      <c r="J83" s="25"/>
      <c r="K83" s="25"/>
      <c r="L83" s="25"/>
      <c r="M83" s="25"/>
      <c r="N83" s="25"/>
      <c r="O83" s="25"/>
      <c r="P83" s="25"/>
      <c r="Q83" s="25"/>
      <c r="R83" s="25"/>
      <c r="S83" s="25"/>
      <c r="T83" s="25"/>
      <c r="U83" s="25"/>
      <c r="V83" s="25"/>
      <c r="W83" s="25"/>
    </row>
    <row r="84" ht="14.25" customHeight="1">
      <c r="A84" s="7"/>
      <c r="B84" s="7"/>
      <c r="C84" s="7"/>
      <c r="D84" s="7"/>
      <c r="E84" s="7"/>
      <c r="F84" s="20"/>
      <c r="G84" s="20"/>
      <c r="H84" s="25"/>
      <c r="I84" s="25"/>
      <c r="J84" s="25"/>
      <c r="K84" s="25"/>
      <c r="L84" s="25"/>
      <c r="M84" s="25"/>
      <c r="N84" s="25"/>
      <c r="O84" s="25"/>
      <c r="P84" s="25"/>
      <c r="Q84" s="25"/>
      <c r="R84" s="25"/>
      <c r="S84" s="25"/>
      <c r="T84" s="25"/>
      <c r="U84" s="25"/>
      <c r="V84" s="25"/>
      <c r="W84" s="25"/>
    </row>
    <row r="85" ht="14.25" customHeight="1">
      <c r="A85" s="7"/>
      <c r="B85" s="7"/>
      <c r="C85" s="7"/>
      <c r="D85" s="7"/>
      <c r="E85" s="7"/>
      <c r="F85" s="20"/>
      <c r="G85" s="20"/>
      <c r="H85" s="25"/>
      <c r="I85" s="25"/>
      <c r="J85" s="25"/>
      <c r="K85" s="25"/>
      <c r="L85" s="25"/>
      <c r="M85" s="25"/>
      <c r="N85" s="25"/>
      <c r="O85" s="25"/>
      <c r="P85" s="25"/>
      <c r="Q85" s="25"/>
      <c r="R85" s="25"/>
      <c r="S85" s="25"/>
      <c r="T85" s="25"/>
      <c r="U85" s="25"/>
      <c r="V85" s="25"/>
      <c r="W85" s="25"/>
    </row>
    <row r="86" ht="14.25" customHeight="1">
      <c r="A86" s="7"/>
      <c r="B86" s="7"/>
      <c r="C86" s="7"/>
      <c r="D86" s="7"/>
      <c r="E86" s="7"/>
      <c r="F86" s="20"/>
      <c r="G86" s="20"/>
      <c r="H86" s="25"/>
      <c r="I86" s="25"/>
      <c r="J86" s="25"/>
      <c r="K86" s="25"/>
      <c r="L86" s="25"/>
      <c r="M86" s="25"/>
      <c r="N86" s="25"/>
      <c r="O86" s="25"/>
      <c r="P86" s="25"/>
      <c r="Q86" s="25"/>
      <c r="R86" s="25"/>
      <c r="S86" s="25"/>
      <c r="T86" s="25"/>
      <c r="U86" s="25"/>
      <c r="V86" s="25"/>
      <c r="W86" s="25"/>
    </row>
    <row r="87" ht="14.25" customHeight="1">
      <c r="A87" s="7"/>
      <c r="B87" s="7"/>
      <c r="C87" s="7"/>
      <c r="D87" s="7"/>
      <c r="E87" s="7"/>
      <c r="F87" s="20"/>
      <c r="G87" s="20"/>
      <c r="H87" s="25"/>
      <c r="I87" s="25"/>
      <c r="J87" s="25"/>
      <c r="K87" s="25"/>
      <c r="L87" s="25"/>
      <c r="M87" s="25"/>
      <c r="N87" s="25"/>
      <c r="O87" s="25"/>
      <c r="P87" s="25"/>
      <c r="Q87" s="25"/>
      <c r="R87" s="25"/>
      <c r="S87" s="25"/>
      <c r="T87" s="25"/>
      <c r="U87" s="25"/>
      <c r="V87" s="25"/>
      <c r="W87" s="25"/>
    </row>
    <row r="88" ht="14.25" customHeight="1">
      <c r="A88" s="7"/>
      <c r="B88" s="7"/>
      <c r="C88" s="7"/>
      <c r="D88" s="7"/>
      <c r="E88" s="7"/>
      <c r="F88" s="20"/>
      <c r="G88" s="20"/>
      <c r="H88" s="25"/>
      <c r="I88" s="25"/>
      <c r="J88" s="25"/>
      <c r="K88" s="25"/>
      <c r="L88" s="25"/>
      <c r="M88" s="25"/>
      <c r="N88" s="25"/>
      <c r="O88" s="25"/>
      <c r="P88" s="25"/>
      <c r="Q88" s="25"/>
      <c r="R88" s="25"/>
      <c r="S88" s="25"/>
      <c r="T88" s="25"/>
      <c r="U88" s="25"/>
      <c r="V88" s="25"/>
      <c r="W88" s="25"/>
    </row>
    <row r="89" ht="14.25" customHeight="1">
      <c r="A89" s="7"/>
      <c r="B89" s="7"/>
      <c r="C89" s="7"/>
      <c r="D89" s="7"/>
      <c r="E89" s="7"/>
      <c r="F89" s="20"/>
      <c r="G89" s="20"/>
      <c r="H89" s="25"/>
      <c r="I89" s="25"/>
      <c r="J89" s="25"/>
      <c r="K89" s="25"/>
      <c r="L89" s="25"/>
      <c r="M89" s="25"/>
      <c r="N89" s="25"/>
      <c r="O89" s="25"/>
      <c r="P89" s="25"/>
      <c r="Q89" s="25"/>
      <c r="R89" s="25"/>
      <c r="S89" s="25"/>
      <c r="T89" s="25"/>
      <c r="U89" s="25"/>
      <c r="V89" s="25"/>
      <c r="W89" s="25"/>
    </row>
    <row r="90" ht="14.25" customHeight="1">
      <c r="A90" s="7"/>
      <c r="B90" s="7"/>
      <c r="C90" s="7"/>
      <c r="D90" s="7"/>
      <c r="E90" s="7"/>
      <c r="F90" s="20"/>
      <c r="G90" s="20"/>
      <c r="H90" s="25"/>
      <c r="I90" s="25"/>
      <c r="J90" s="25"/>
      <c r="K90" s="25"/>
      <c r="L90" s="25"/>
      <c r="M90" s="25"/>
      <c r="N90" s="25"/>
      <c r="O90" s="25"/>
      <c r="P90" s="25"/>
      <c r="Q90" s="25"/>
      <c r="R90" s="25"/>
      <c r="S90" s="25"/>
      <c r="T90" s="25"/>
      <c r="U90" s="25"/>
      <c r="V90" s="25"/>
      <c r="W90" s="25"/>
    </row>
    <row r="91" ht="14.25" customHeight="1">
      <c r="A91" s="7"/>
      <c r="B91" s="7"/>
      <c r="C91" s="7"/>
      <c r="D91" s="7"/>
      <c r="E91" s="7"/>
      <c r="F91" s="20"/>
      <c r="G91" s="20"/>
      <c r="H91" s="25"/>
      <c r="I91" s="25"/>
      <c r="J91" s="25"/>
      <c r="K91" s="25"/>
      <c r="L91" s="25"/>
      <c r="M91" s="25"/>
      <c r="N91" s="25"/>
      <c r="O91" s="25"/>
      <c r="P91" s="25"/>
      <c r="Q91" s="25"/>
      <c r="R91" s="25"/>
      <c r="S91" s="25"/>
      <c r="T91" s="25"/>
      <c r="U91" s="25"/>
      <c r="V91" s="25"/>
      <c r="W91" s="25"/>
    </row>
    <row r="92" ht="14.25" customHeight="1">
      <c r="A92" s="7"/>
      <c r="B92" s="7"/>
      <c r="C92" s="7"/>
      <c r="D92" s="7"/>
      <c r="E92" s="7"/>
      <c r="F92" s="20"/>
      <c r="G92" s="20"/>
      <c r="H92" s="25"/>
      <c r="I92" s="25"/>
      <c r="J92" s="25"/>
      <c r="K92" s="25"/>
      <c r="L92" s="25"/>
      <c r="M92" s="25"/>
      <c r="N92" s="25"/>
      <c r="O92" s="25"/>
      <c r="P92" s="25"/>
      <c r="Q92" s="25"/>
      <c r="R92" s="25"/>
      <c r="S92" s="25"/>
      <c r="T92" s="25"/>
      <c r="U92" s="25"/>
      <c r="V92" s="25"/>
      <c r="W92" s="25"/>
    </row>
    <row r="93" ht="14.25" customHeight="1">
      <c r="A93" s="7"/>
      <c r="B93" s="7"/>
      <c r="C93" s="7"/>
      <c r="D93" s="7"/>
      <c r="E93" s="7"/>
      <c r="F93" s="20"/>
      <c r="G93" s="20"/>
      <c r="H93" s="25"/>
      <c r="I93" s="25"/>
      <c r="J93" s="25"/>
      <c r="K93" s="25"/>
      <c r="L93" s="25"/>
      <c r="M93" s="25"/>
      <c r="N93" s="25"/>
      <c r="O93" s="25"/>
      <c r="P93" s="25"/>
      <c r="Q93" s="25"/>
      <c r="R93" s="25"/>
      <c r="S93" s="25"/>
      <c r="T93" s="25"/>
      <c r="U93" s="25"/>
      <c r="V93" s="25"/>
      <c r="W93" s="25"/>
    </row>
    <row r="94" ht="14.25" customHeight="1">
      <c r="A94" s="7"/>
      <c r="B94" s="7"/>
      <c r="C94" s="7"/>
      <c r="D94" s="7"/>
      <c r="E94" s="7"/>
      <c r="F94" s="20"/>
      <c r="G94" s="20"/>
      <c r="H94" s="25"/>
      <c r="I94" s="25"/>
      <c r="J94" s="25"/>
      <c r="K94" s="25"/>
      <c r="L94" s="25"/>
      <c r="M94" s="25"/>
      <c r="N94" s="25"/>
      <c r="O94" s="25"/>
      <c r="P94" s="25"/>
      <c r="Q94" s="25"/>
      <c r="R94" s="25"/>
      <c r="S94" s="25"/>
      <c r="T94" s="25"/>
      <c r="U94" s="25"/>
      <c r="V94" s="25"/>
      <c r="W94" s="25"/>
    </row>
    <row r="95" ht="14.25" customHeight="1">
      <c r="A95" s="7"/>
      <c r="B95" s="7"/>
      <c r="C95" s="7"/>
      <c r="D95" s="7"/>
      <c r="E95" s="7"/>
      <c r="F95" s="20"/>
      <c r="G95" s="20"/>
      <c r="H95" s="25"/>
      <c r="I95" s="25"/>
      <c r="J95" s="25"/>
      <c r="K95" s="25"/>
      <c r="L95" s="25"/>
      <c r="M95" s="25"/>
      <c r="N95" s="25"/>
      <c r="O95" s="25"/>
      <c r="P95" s="25"/>
      <c r="Q95" s="25"/>
      <c r="R95" s="25"/>
      <c r="S95" s="25"/>
      <c r="T95" s="25"/>
      <c r="U95" s="25"/>
      <c r="V95" s="25"/>
      <c r="W95" s="25"/>
    </row>
    <row r="96" ht="14.25" customHeight="1">
      <c r="A96" s="7"/>
      <c r="B96" s="7"/>
      <c r="C96" s="7"/>
      <c r="D96" s="7"/>
      <c r="E96" s="7"/>
      <c r="F96" s="20"/>
      <c r="G96" s="20"/>
      <c r="H96" s="25"/>
      <c r="I96" s="25"/>
      <c r="J96" s="25"/>
      <c r="K96" s="25"/>
      <c r="L96" s="25"/>
      <c r="M96" s="25"/>
      <c r="N96" s="25"/>
      <c r="O96" s="25"/>
      <c r="P96" s="25"/>
      <c r="Q96" s="25"/>
      <c r="R96" s="25"/>
      <c r="S96" s="25"/>
      <c r="T96" s="25"/>
      <c r="U96" s="25"/>
      <c r="V96" s="25"/>
      <c r="W96" s="25"/>
    </row>
    <row r="97" ht="14.25" customHeight="1">
      <c r="A97" s="7"/>
      <c r="B97" s="7"/>
      <c r="C97" s="7"/>
      <c r="D97" s="7"/>
      <c r="E97" s="7"/>
      <c r="F97" s="20"/>
      <c r="G97" s="20"/>
      <c r="H97" s="25"/>
      <c r="I97" s="25"/>
      <c r="J97" s="25"/>
      <c r="K97" s="25"/>
      <c r="L97" s="25"/>
      <c r="M97" s="25"/>
      <c r="N97" s="25"/>
      <c r="O97" s="25"/>
      <c r="P97" s="25"/>
      <c r="Q97" s="25"/>
      <c r="R97" s="25"/>
      <c r="S97" s="25"/>
      <c r="T97" s="25"/>
      <c r="U97" s="25"/>
      <c r="V97" s="25"/>
      <c r="W97" s="25"/>
    </row>
    <row r="98" ht="14.25" customHeight="1">
      <c r="A98" s="7"/>
      <c r="B98" s="7"/>
      <c r="C98" s="7"/>
      <c r="D98" s="7"/>
      <c r="E98" s="7"/>
      <c r="F98" s="20"/>
      <c r="G98" s="20"/>
      <c r="H98" s="25"/>
      <c r="I98" s="25"/>
      <c r="J98" s="25"/>
      <c r="K98" s="25"/>
      <c r="L98" s="25"/>
      <c r="M98" s="25"/>
      <c r="N98" s="25"/>
      <c r="O98" s="25"/>
      <c r="P98" s="25"/>
      <c r="Q98" s="25"/>
      <c r="R98" s="25"/>
      <c r="S98" s="25"/>
      <c r="T98" s="25"/>
      <c r="U98" s="25"/>
      <c r="V98" s="25"/>
      <c r="W98" s="25"/>
    </row>
    <row r="99" ht="14.25" customHeight="1">
      <c r="A99" s="7"/>
      <c r="B99" s="7"/>
      <c r="C99" s="7"/>
      <c r="D99" s="7"/>
      <c r="E99" s="7"/>
      <c r="F99" s="20"/>
      <c r="G99" s="20"/>
      <c r="H99" s="25"/>
      <c r="I99" s="25"/>
      <c r="J99" s="25"/>
      <c r="K99" s="25"/>
      <c r="L99" s="25"/>
      <c r="M99" s="25"/>
      <c r="N99" s="25"/>
      <c r="O99" s="25"/>
      <c r="P99" s="25"/>
      <c r="Q99" s="25"/>
      <c r="R99" s="25"/>
      <c r="S99" s="25"/>
      <c r="T99" s="25"/>
      <c r="U99" s="25"/>
      <c r="V99" s="25"/>
      <c r="W99" s="25"/>
    </row>
    <row r="100" ht="14.25" customHeight="1">
      <c r="A100" s="7"/>
      <c r="B100" s="7"/>
      <c r="C100" s="7"/>
      <c r="D100" s="7"/>
      <c r="E100" s="7"/>
      <c r="F100" s="20"/>
      <c r="G100" s="20"/>
      <c r="H100" s="25"/>
      <c r="I100" s="25"/>
      <c r="J100" s="25"/>
      <c r="K100" s="25"/>
      <c r="L100" s="25"/>
      <c r="M100" s="25"/>
      <c r="N100" s="25"/>
      <c r="O100" s="25"/>
      <c r="P100" s="25"/>
      <c r="Q100" s="25"/>
      <c r="R100" s="25"/>
      <c r="S100" s="25"/>
      <c r="T100" s="25"/>
      <c r="U100" s="25"/>
      <c r="V100" s="25"/>
      <c r="W100" s="25"/>
    </row>
    <row r="101" ht="14.25" customHeight="1">
      <c r="A101" s="7"/>
      <c r="B101" s="7"/>
      <c r="C101" s="7"/>
      <c r="D101" s="7"/>
      <c r="E101" s="7"/>
      <c r="F101" s="20"/>
      <c r="G101" s="20"/>
      <c r="H101" s="25"/>
      <c r="I101" s="25"/>
      <c r="J101" s="25"/>
      <c r="K101" s="25"/>
      <c r="L101" s="25"/>
      <c r="M101" s="25"/>
      <c r="N101" s="25"/>
      <c r="O101" s="25"/>
      <c r="P101" s="25"/>
      <c r="Q101" s="25"/>
      <c r="R101" s="25"/>
      <c r="S101" s="25"/>
      <c r="T101" s="25"/>
      <c r="U101" s="25"/>
      <c r="V101" s="25"/>
      <c r="W101" s="25"/>
    </row>
    <row r="102" ht="14.25" customHeight="1">
      <c r="A102" s="7"/>
      <c r="B102" s="7"/>
      <c r="C102" s="7"/>
      <c r="D102" s="7"/>
      <c r="E102" s="7"/>
      <c r="F102" s="20"/>
      <c r="G102" s="20"/>
      <c r="H102" s="25"/>
      <c r="I102" s="25"/>
      <c r="J102" s="25"/>
      <c r="K102" s="25"/>
      <c r="L102" s="25"/>
      <c r="M102" s="25"/>
      <c r="N102" s="25"/>
      <c r="O102" s="25"/>
      <c r="P102" s="25"/>
      <c r="Q102" s="25"/>
      <c r="R102" s="25"/>
      <c r="S102" s="25"/>
      <c r="T102" s="25"/>
      <c r="U102" s="25"/>
      <c r="V102" s="25"/>
      <c r="W102" s="25"/>
    </row>
    <row r="103" ht="14.25" customHeight="1">
      <c r="A103" s="7"/>
      <c r="B103" s="7"/>
      <c r="C103" s="7"/>
      <c r="D103" s="7"/>
      <c r="E103" s="7"/>
      <c r="F103" s="20"/>
      <c r="G103" s="20"/>
      <c r="H103" s="25"/>
      <c r="I103" s="25"/>
      <c r="J103" s="25"/>
      <c r="K103" s="25"/>
      <c r="L103" s="25"/>
      <c r="M103" s="25"/>
      <c r="N103" s="25"/>
      <c r="O103" s="25"/>
      <c r="P103" s="25"/>
      <c r="Q103" s="25"/>
      <c r="R103" s="25"/>
      <c r="S103" s="25"/>
      <c r="T103" s="25"/>
      <c r="U103" s="25"/>
      <c r="V103" s="25"/>
      <c r="W103" s="25"/>
    </row>
    <row r="104" ht="14.25" customHeight="1">
      <c r="A104" s="7"/>
      <c r="B104" s="7"/>
      <c r="C104" s="7"/>
      <c r="D104" s="7"/>
      <c r="E104" s="7"/>
      <c r="F104" s="20"/>
      <c r="G104" s="20"/>
      <c r="H104" s="25"/>
      <c r="I104" s="25"/>
      <c r="J104" s="25"/>
      <c r="K104" s="25"/>
      <c r="L104" s="25"/>
      <c r="M104" s="25"/>
      <c r="N104" s="25"/>
      <c r="O104" s="25"/>
      <c r="P104" s="25"/>
      <c r="Q104" s="25"/>
      <c r="R104" s="25"/>
      <c r="S104" s="25"/>
      <c r="T104" s="25"/>
      <c r="U104" s="25"/>
      <c r="V104" s="25"/>
      <c r="W104" s="25"/>
    </row>
    <row r="105" ht="14.25" customHeight="1">
      <c r="A105" s="7"/>
      <c r="B105" s="7"/>
      <c r="C105" s="7"/>
      <c r="D105" s="7"/>
      <c r="E105" s="7"/>
      <c r="F105" s="20"/>
      <c r="G105" s="20"/>
      <c r="H105" s="25"/>
      <c r="I105" s="25"/>
      <c r="J105" s="25"/>
      <c r="K105" s="25"/>
      <c r="L105" s="25"/>
      <c r="M105" s="25"/>
      <c r="N105" s="25"/>
      <c r="O105" s="25"/>
      <c r="P105" s="25"/>
      <c r="Q105" s="25"/>
      <c r="R105" s="25"/>
      <c r="S105" s="25"/>
      <c r="T105" s="25"/>
      <c r="U105" s="25"/>
      <c r="V105" s="25"/>
      <c r="W105" s="25"/>
    </row>
    <row r="106" ht="14.25" customHeight="1">
      <c r="A106" s="7"/>
      <c r="B106" s="7"/>
      <c r="C106" s="7"/>
      <c r="D106" s="7"/>
      <c r="E106" s="7"/>
      <c r="F106" s="20"/>
      <c r="G106" s="20"/>
      <c r="H106" s="25"/>
      <c r="I106" s="25"/>
      <c r="J106" s="25"/>
      <c r="K106" s="25"/>
      <c r="L106" s="25"/>
      <c r="M106" s="25"/>
      <c r="N106" s="25"/>
      <c r="O106" s="25"/>
      <c r="P106" s="25"/>
      <c r="Q106" s="25"/>
      <c r="R106" s="25"/>
      <c r="S106" s="25"/>
      <c r="T106" s="25"/>
      <c r="U106" s="25"/>
      <c r="V106" s="25"/>
      <c r="W106" s="25"/>
    </row>
    <row r="107" ht="14.25" customHeight="1">
      <c r="A107" s="7"/>
      <c r="B107" s="7"/>
      <c r="C107" s="7"/>
      <c r="D107" s="7"/>
      <c r="E107" s="7"/>
      <c r="F107" s="20"/>
      <c r="G107" s="20"/>
      <c r="H107" s="25"/>
      <c r="I107" s="25"/>
      <c r="J107" s="25"/>
      <c r="K107" s="25"/>
      <c r="L107" s="25"/>
      <c r="M107" s="25"/>
      <c r="N107" s="25"/>
      <c r="O107" s="25"/>
      <c r="P107" s="25"/>
      <c r="Q107" s="25"/>
      <c r="R107" s="25"/>
      <c r="S107" s="25"/>
      <c r="T107" s="25"/>
      <c r="U107" s="25"/>
      <c r="V107" s="25"/>
      <c r="W107" s="25"/>
    </row>
    <row r="108" ht="14.25" customHeight="1">
      <c r="A108" s="7"/>
      <c r="B108" s="7"/>
      <c r="C108" s="7"/>
      <c r="D108" s="7"/>
      <c r="E108" s="7"/>
      <c r="F108" s="20"/>
      <c r="G108" s="20"/>
      <c r="H108" s="25"/>
      <c r="I108" s="25"/>
      <c r="J108" s="25"/>
      <c r="K108" s="25"/>
      <c r="L108" s="25"/>
      <c r="M108" s="25"/>
      <c r="N108" s="25"/>
      <c r="O108" s="25"/>
      <c r="P108" s="25"/>
      <c r="Q108" s="25"/>
      <c r="R108" s="25"/>
      <c r="S108" s="25"/>
      <c r="T108" s="25"/>
      <c r="U108" s="25"/>
      <c r="V108" s="25"/>
      <c r="W108" s="25"/>
    </row>
    <row r="109" ht="14.25" customHeight="1">
      <c r="A109" s="7"/>
      <c r="B109" s="7"/>
      <c r="C109" s="7"/>
      <c r="D109" s="7"/>
      <c r="E109" s="7"/>
      <c r="F109" s="20"/>
      <c r="G109" s="20"/>
      <c r="H109" s="25"/>
      <c r="I109" s="25"/>
      <c r="J109" s="25"/>
      <c r="K109" s="25"/>
      <c r="L109" s="25"/>
      <c r="M109" s="25"/>
      <c r="N109" s="25"/>
      <c r="O109" s="25"/>
      <c r="P109" s="25"/>
      <c r="Q109" s="25"/>
      <c r="R109" s="25"/>
      <c r="S109" s="25"/>
      <c r="T109" s="25"/>
      <c r="U109" s="25"/>
      <c r="V109" s="25"/>
      <c r="W109" s="25"/>
    </row>
    <row r="110" ht="14.25" customHeight="1">
      <c r="A110" s="7"/>
      <c r="B110" s="7"/>
      <c r="C110" s="7"/>
      <c r="D110" s="7"/>
      <c r="E110" s="7"/>
      <c r="F110" s="20"/>
      <c r="G110" s="20"/>
      <c r="H110" s="25"/>
      <c r="I110" s="25"/>
      <c r="J110" s="25"/>
      <c r="K110" s="25"/>
      <c r="L110" s="25"/>
      <c r="M110" s="25"/>
      <c r="N110" s="25"/>
      <c r="O110" s="25"/>
      <c r="P110" s="25"/>
      <c r="Q110" s="25"/>
      <c r="R110" s="25"/>
      <c r="S110" s="25"/>
      <c r="T110" s="25"/>
      <c r="U110" s="25"/>
      <c r="V110" s="25"/>
      <c r="W110" s="25"/>
    </row>
    <row r="111" ht="14.25" customHeight="1">
      <c r="A111" s="7"/>
      <c r="B111" s="7"/>
      <c r="C111" s="7"/>
      <c r="D111" s="7"/>
      <c r="E111" s="7"/>
      <c r="F111" s="20"/>
      <c r="G111" s="20"/>
      <c r="H111" s="25"/>
      <c r="I111" s="25"/>
      <c r="J111" s="25"/>
      <c r="K111" s="25"/>
      <c r="L111" s="25"/>
      <c r="M111" s="25"/>
      <c r="N111" s="25"/>
      <c r="O111" s="25"/>
      <c r="P111" s="25"/>
      <c r="Q111" s="25"/>
      <c r="R111" s="25"/>
      <c r="S111" s="25"/>
      <c r="T111" s="25"/>
      <c r="U111" s="25"/>
      <c r="V111" s="25"/>
      <c r="W111" s="25"/>
    </row>
    <row r="112" ht="14.25" customHeight="1">
      <c r="A112" s="7"/>
      <c r="B112" s="7"/>
      <c r="C112" s="7"/>
      <c r="D112" s="7"/>
      <c r="E112" s="7"/>
      <c r="F112" s="20"/>
      <c r="G112" s="20"/>
      <c r="H112" s="25"/>
      <c r="I112" s="25"/>
      <c r="J112" s="25"/>
      <c r="K112" s="25"/>
      <c r="L112" s="25"/>
      <c r="M112" s="25"/>
      <c r="N112" s="25"/>
      <c r="O112" s="25"/>
      <c r="P112" s="25"/>
      <c r="Q112" s="25"/>
      <c r="R112" s="25"/>
      <c r="S112" s="25"/>
      <c r="T112" s="25"/>
      <c r="U112" s="25"/>
      <c r="V112" s="25"/>
      <c r="W112" s="25"/>
    </row>
    <row r="113" ht="14.25" customHeight="1">
      <c r="A113" s="7"/>
      <c r="B113" s="7"/>
      <c r="C113" s="7"/>
      <c r="D113" s="7"/>
      <c r="E113" s="7"/>
      <c r="F113" s="20"/>
      <c r="G113" s="20"/>
      <c r="H113" s="25"/>
      <c r="I113" s="25"/>
      <c r="J113" s="25"/>
      <c r="K113" s="25"/>
      <c r="L113" s="25"/>
      <c r="M113" s="25"/>
      <c r="N113" s="25"/>
      <c r="O113" s="25"/>
      <c r="P113" s="25"/>
      <c r="Q113" s="25"/>
      <c r="R113" s="25"/>
      <c r="S113" s="25"/>
      <c r="T113" s="25"/>
      <c r="U113" s="25"/>
      <c r="V113" s="25"/>
      <c r="W113" s="25"/>
    </row>
    <row r="114" ht="14.25" customHeight="1">
      <c r="A114" s="7"/>
      <c r="B114" s="7"/>
      <c r="C114" s="7"/>
      <c r="D114" s="7"/>
      <c r="E114" s="7"/>
      <c r="F114" s="20"/>
      <c r="G114" s="20"/>
      <c r="H114" s="25"/>
      <c r="I114" s="25"/>
      <c r="J114" s="25"/>
      <c r="K114" s="25"/>
      <c r="L114" s="25"/>
      <c r="M114" s="25"/>
      <c r="N114" s="25"/>
      <c r="O114" s="25"/>
      <c r="P114" s="25"/>
      <c r="Q114" s="25"/>
      <c r="R114" s="25"/>
      <c r="S114" s="25"/>
      <c r="T114" s="25"/>
      <c r="U114" s="25"/>
      <c r="V114" s="25"/>
      <c r="W114" s="25"/>
    </row>
    <row r="115" ht="14.25" customHeight="1">
      <c r="A115" s="7"/>
      <c r="B115" s="7"/>
      <c r="C115" s="7"/>
      <c r="D115" s="7"/>
      <c r="E115" s="7"/>
      <c r="F115" s="20"/>
      <c r="G115" s="20"/>
      <c r="H115" s="25"/>
      <c r="I115" s="25"/>
      <c r="J115" s="25"/>
      <c r="K115" s="25"/>
      <c r="L115" s="25"/>
      <c r="M115" s="25"/>
      <c r="N115" s="25"/>
      <c r="O115" s="25"/>
      <c r="P115" s="25"/>
      <c r="Q115" s="25"/>
      <c r="R115" s="25"/>
      <c r="S115" s="25"/>
      <c r="T115" s="25"/>
      <c r="U115" s="25"/>
      <c r="V115" s="25"/>
      <c r="W115" s="25"/>
    </row>
    <row r="116" ht="14.25" customHeight="1">
      <c r="A116" s="7"/>
      <c r="B116" s="7"/>
      <c r="C116" s="7"/>
      <c r="D116" s="7"/>
      <c r="E116" s="7"/>
      <c r="F116" s="20"/>
      <c r="G116" s="20"/>
      <c r="H116" s="25"/>
      <c r="I116" s="25"/>
      <c r="J116" s="25"/>
      <c r="K116" s="25"/>
      <c r="L116" s="25"/>
      <c r="M116" s="25"/>
      <c r="N116" s="25"/>
      <c r="O116" s="25"/>
      <c r="P116" s="25"/>
      <c r="Q116" s="25"/>
      <c r="R116" s="25"/>
      <c r="S116" s="25"/>
      <c r="T116" s="25"/>
      <c r="U116" s="25"/>
      <c r="V116" s="25"/>
      <c r="W116" s="25"/>
    </row>
    <row r="117" ht="14.25" customHeight="1">
      <c r="A117" s="7"/>
      <c r="B117" s="7"/>
      <c r="C117" s="7"/>
      <c r="D117" s="7"/>
      <c r="E117" s="7"/>
      <c r="F117" s="20"/>
      <c r="G117" s="20"/>
      <c r="H117" s="25"/>
      <c r="I117" s="25"/>
      <c r="J117" s="25"/>
      <c r="K117" s="25"/>
      <c r="L117" s="25"/>
      <c r="M117" s="25"/>
      <c r="N117" s="25"/>
      <c r="O117" s="25"/>
      <c r="P117" s="25"/>
      <c r="Q117" s="25"/>
      <c r="R117" s="25"/>
      <c r="S117" s="25"/>
      <c r="T117" s="25"/>
      <c r="U117" s="25"/>
      <c r="V117" s="25"/>
      <c r="W117" s="25"/>
    </row>
    <row r="118" ht="14.25" customHeight="1">
      <c r="A118" s="7"/>
      <c r="B118" s="7"/>
      <c r="C118" s="7"/>
      <c r="D118" s="7"/>
      <c r="E118" s="7"/>
      <c r="F118" s="20"/>
      <c r="G118" s="20"/>
      <c r="H118" s="25"/>
      <c r="I118" s="25"/>
      <c r="J118" s="25"/>
      <c r="K118" s="25"/>
      <c r="L118" s="25"/>
      <c r="M118" s="25"/>
      <c r="N118" s="25"/>
      <c r="O118" s="25"/>
      <c r="P118" s="25"/>
      <c r="Q118" s="25"/>
      <c r="R118" s="25"/>
      <c r="S118" s="25"/>
      <c r="T118" s="25"/>
      <c r="U118" s="25"/>
      <c r="V118" s="25"/>
      <c r="W118" s="25"/>
    </row>
    <row r="119" ht="14.25" customHeight="1">
      <c r="A119" s="7"/>
      <c r="B119" s="7"/>
      <c r="C119" s="7"/>
      <c r="D119" s="7"/>
      <c r="E119" s="7"/>
      <c r="F119" s="20"/>
      <c r="G119" s="20"/>
      <c r="H119" s="25"/>
      <c r="I119" s="25"/>
      <c r="J119" s="25"/>
      <c r="K119" s="25"/>
      <c r="L119" s="25"/>
      <c r="M119" s="25"/>
      <c r="N119" s="25"/>
      <c r="O119" s="25"/>
      <c r="P119" s="25"/>
      <c r="Q119" s="25"/>
      <c r="R119" s="25"/>
      <c r="S119" s="25"/>
      <c r="T119" s="25"/>
      <c r="U119" s="25"/>
      <c r="V119" s="25"/>
      <c r="W119" s="25"/>
    </row>
    <row r="120" ht="14.25" customHeight="1">
      <c r="A120" s="7"/>
      <c r="B120" s="7"/>
      <c r="C120" s="7"/>
      <c r="D120" s="7"/>
      <c r="E120" s="7"/>
      <c r="F120" s="20"/>
      <c r="G120" s="20"/>
      <c r="H120" s="25"/>
      <c r="I120" s="25"/>
      <c r="J120" s="25"/>
      <c r="K120" s="25"/>
      <c r="L120" s="25"/>
      <c r="M120" s="25"/>
      <c r="N120" s="25"/>
      <c r="O120" s="25"/>
      <c r="P120" s="25"/>
      <c r="Q120" s="25"/>
      <c r="R120" s="25"/>
      <c r="S120" s="25"/>
      <c r="T120" s="25"/>
      <c r="U120" s="25"/>
      <c r="V120" s="25"/>
      <c r="W120" s="25"/>
    </row>
    <row r="121" ht="14.25" customHeight="1">
      <c r="A121" s="7"/>
      <c r="B121" s="7"/>
      <c r="C121" s="7"/>
      <c r="D121" s="7"/>
      <c r="E121" s="7"/>
      <c r="F121" s="20"/>
      <c r="G121" s="20"/>
      <c r="H121" s="25"/>
      <c r="I121" s="25"/>
      <c r="J121" s="25"/>
      <c r="K121" s="25"/>
      <c r="L121" s="25"/>
      <c r="M121" s="25"/>
      <c r="N121" s="25"/>
      <c r="O121" s="25"/>
      <c r="P121" s="25"/>
      <c r="Q121" s="25"/>
      <c r="R121" s="25"/>
      <c r="S121" s="25"/>
      <c r="T121" s="25"/>
      <c r="U121" s="25"/>
      <c r="V121" s="25"/>
      <c r="W121" s="25"/>
    </row>
    <row r="122" ht="14.25" customHeight="1">
      <c r="A122" s="7"/>
      <c r="B122" s="7"/>
      <c r="C122" s="7"/>
      <c r="D122" s="7"/>
      <c r="E122" s="7"/>
      <c r="F122" s="20"/>
      <c r="G122" s="20"/>
      <c r="H122" s="25"/>
      <c r="I122" s="25"/>
      <c r="J122" s="25"/>
      <c r="K122" s="25"/>
      <c r="L122" s="25"/>
      <c r="M122" s="25"/>
      <c r="N122" s="25"/>
      <c r="O122" s="25"/>
      <c r="P122" s="25"/>
      <c r="Q122" s="25"/>
      <c r="R122" s="25"/>
      <c r="S122" s="25"/>
      <c r="T122" s="25"/>
      <c r="U122" s="25"/>
      <c r="V122" s="25"/>
      <c r="W122" s="25"/>
    </row>
    <row r="123" ht="14.25" customHeight="1">
      <c r="A123" s="7"/>
      <c r="B123" s="7"/>
      <c r="C123" s="7"/>
      <c r="D123" s="7"/>
      <c r="E123" s="7"/>
      <c r="F123" s="20"/>
      <c r="G123" s="20"/>
      <c r="H123" s="25"/>
      <c r="I123" s="25"/>
      <c r="J123" s="25"/>
      <c r="K123" s="25"/>
      <c r="L123" s="25"/>
      <c r="M123" s="25"/>
      <c r="N123" s="25"/>
      <c r="O123" s="25"/>
      <c r="P123" s="25"/>
      <c r="Q123" s="25"/>
      <c r="R123" s="25"/>
      <c r="S123" s="25"/>
      <c r="T123" s="25"/>
      <c r="U123" s="25"/>
      <c r="V123" s="25"/>
      <c r="W123" s="25"/>
    </row>
    <row r="124" ht="14.25" customHeight="1">
      <c r="A124" s="7"/>
      <c r="B124" s="7"/>
      <c r="C124" s="7"/>
      <c r="D124" s="7"/>
      <c r="E124" s="7"/>
      <c r="F124" s="20"/>
      <c r="G124" s="20"/>
      <c r="H124" s="25"/>
      <c r="I124" s="25"/>
      <c r="J124" s="25"/>
      <c r="K124" s="25"/>
      <c r="L124" s="25"/>
      <c r="M124" s="25"/>
      <c r="N124" s="25"/>
      <c r="O124" s="25"/>
      <c r="P124" s="25"/>
      <c r="Q124" s="25"/>
      <c r="R124" s="25"/>
      <c r="S124" s="25"/>
      <c r="T124" s="25"/>
      <c r="U124" s="25"/>
      <c r="V124" s="25"/>
      <c r="W124" s="25"/>
    </row>
    <row r="125" ht="14.25" customHeight="1">
      <c r="A125" s="7"/>
      <c r="B125" s="7"/>
      <c r="C125" s="7"/>
      <c r="D125" s="7"/>
      <c r="E125" s="7"/>
      <c r="F125" s="20"/>
      <c r="G125" s="20"/>
      <c r="H125" s="25"/>
      <c r="I125" s="25"/>
      <c r="J125" s="25"/>
      <c r="K125" s="25"/>
      <c r="L125" s="25"/>
      <c r="M125" s="25"/>
      <c r="N125" s="25"/>
      <c r="O125" s="25"/>
      <c r="P125" s="25"/>
      <c r="Q125" s="25"/>
      <c r="R125" s="25"/>
      <c r="S125" s="25"/>
      <c r="T125" s="25"/>
      <c r="U125" s="25"/>
      <c r="V125" s="25"/>
      <c r="W125" s="25"/>
    </row>
    <row r="126" ht="14.25" customHeight="1">
      <c r="A126" s="7"/>
      <c r="B126" s="7"/>
      <c r="C126" s="7"/>
      <c r="D126" s="7"/>
      <c r="E126" s="7"/>
      <c r="F126" s="20"/>
      <c r="G126" s="20"/>
      <c r="H126" s="25"/>
      <c r="I126" s="25"/>
      <c r="J126" s="25"/>
      <c r="K126" s="25"/>
      <c r="L126" s="25"/>
      <c r="M126" s="25"/>
      <c r="N126" s="25"/>
      <c r="O126" s="25"/>
      <c r="P126" s="25"/>
      <c r="Q126" s="25"/>
      <c r="R126" s="25"/>
      <c r="S126" s="25"/>
      <c r="T126" s="25"/>
      <c r="U126" s="25"/>
      <c r="V126" s="25"/>
      <c r="W126" s="25"/>
    </row>
    <row r="127" ht="14.25" customHeight="1">
      <c r="A127" s="7"/>
      <c r="B127" s="7"/>
      <c r="C127" s="7"/>
      <c r="D127" s="7"/>
      <c r="E127" s="7"/>
      <c r="F127" s="20"/>
      <c r="G127" s="20"/>
      <c r="H127" s="25"/>
      <c r="I127" s="25"/>
      <c r="J127" s="25"/>
      <c r="K127" s="25"/>
      <c r="L127" s="25"/>
      <c r="M127" s="25"/>
      <c r="N127" s="25"/>
      <c r="O127" s="25"/>
      <c r="P127" s="25"/>
      <c r="Q127" s="25"/>
      <c r="R127" s="25"/>
      <c r="S127" s="25"/>
      <c r="T127" s="25"/>
      <c r="U127" s="25"/>
      <c r="V127" s="25"/>
      <c r="W127" s="25"/>
    </row>
    <row r="128" ht="14.25" customHeight="1">
      <c r="A128" s="7"/>
      <c r="B128" s="7"/>
      <c r="C128" s="7"/>
      <c r="D128" s="7"/>
      <c r="E128" s="7"/>
      <c r="F128" s="20"/>
      <c r="G128" s="20"/>
      <c r="H128" s="25"/>
      <c r="I128" s="25"/>
      <c r="J128" s="25"/>
      <c r="K128" s="25"/>
      <c r="L128" s="25"/>
      <c r="M128" s="25"/>
      <c r="N128" s="25"/>
      <c r="O128" s="25"/>
      <c r="P128" s="25"/>
      <c r="Q128" s="25"/>
      <c r="R128" s="25"/>
      <c r="S128" s="25"/>
      <c r="T128" s="25"/>
      <c r="U128" s="25"/>
      <c r="V128" s="25"/>
      <c r="W128" s="25"/>
    </row>
    <row r="129" ht="14.25" customHeight="1">
      <c r="A129" s="7"/>
      <c r="B129" s="7"/>
      <c r="C129" s="7"/>
      <c r="D129" s="7"/>
      <c r="E129" s="7"/>
      <c r="F129" s="20"/>
      <c r="G129" s="20"/>
      <c r="H129" s="25"/>
      <c r="I129" s="25"/>
      <c r="J129" s="25"/>
      <c r="K129" s="25"/>
      <c r="L129" s="25"/>
      <c r="M129" s="25"/>
      <c r="N129" s="25"/>
      <c r="O129" s="25"/>
      <c r="P129" s="25"/>
      <c r="Q129" s="25"/>
      <c r="R129" s="25"/>
      <c r="S129" s="25"/>
      <c r="T129" s="25"/>
      <c r="U129" s="25"/>
      <c r="V129" s="25"/>
      <c r="W129" s="25"/>
    </row>
    <row r="130" ht="14.25" customHeight="1">
      <c r="A130" s="7"/>
      <c r="B130" s="7"/>
      <c r="C130" s="7"/>
      <c r="D130" s="7"/>
      <c r="E130" s="7"/>
      <c r="F130" s="20"/>
      <c r="G130" s="20"/>
      <c r="H130" s="25"/>
      <c r="I130" s="25"/>
      <c r="J130" s="25"/>
      <c r="K130" s="25"/>
      <c r="L130" s="25"/>
      <c r="M130" s="25"/>
      <c r="N130" s="25"/>
      <c r="O130" s="25"/>
      <c r="P130" s="25"/>
      <c r="Q130" s="25"/>
      <c r="R130" s="25"/>
      <c r="S130" s="25"/>
      <c r="T130" s="25"/>
      <c r="U130" s="25"/>
      <c r="V130" s="25"/>
      <c r="W130" s="25"/>
    </row>
    <row r="131" ht="14.25" customHeight="1">
      <c r="A131" s="7"/>
      <c r="B131" s="7"/>
      <c r="C131" s="7"/>
      <c r="D131" s="7"/>
      <c r="E131" s="7"/>
      <c r="F131" s="20"/>
      <c r="G131" s="20"/>
      <c r="H131" s="25"/>
      <c r="I131" s="25"/>
      <c r="J131" s="25"/>
      <c r="K131" s="25"/>
      <c r="L131" s="25"/>
      <c r="M131" s="25"/>
      <c r="N131" s="25"/>
      <c r="O131" s="25"/>
      <c r="P131" s="25"/>
      <c r="Q131" s="25"/>
      <c r="R131" s="25"/>
      <c r="S131" s="25"/>
      <c r="T131" s="25"/>
      <c r="U131" s="25"/>
      <c r="V131" s="25"/>
      <c r="W131" s="25"/>
    </row>
    <row r="132" ht="14.25" customHeight="1">
      <c r="A132" s="7"/>
      <c r="B132" s="7"/>
      <c r="C132" s="7"/>
      <c r="D132" s="7"/>
      <c r="E132" s="7"/>
      <c r="F132" s="20"/>
      <c r="G132" s="20"/>
      <c r="H132" s="25"/>
      <c r="I132" s="25"/>
      <c r="J132" s="25"/>
      <c r="K132" s="25"/>
      <c r="L132" s="25"/>
      <c r="M132" s="25"/>
      <c r="N132" s="25"/>
      <c r="O132" s="25"/>
      <c r="P132" s="25"/>
      <c r="Q132" s="25"/>
      <c r="R132" s="25"/>
      <c r="S132" s="25"/>
      <c r="T132" s="25"/>
      <c r="U132" s="25"/>
      <c r="V132" s="25"/>
      <c r="W132" s="25"/>
    </row>
    <row r="133" ht="14.25" customHeight="1">
      <c r="A133" s="7"/>
      <c r="B133" s="7"/>
      <c r="C133" s="7"/>
      <c r="D133" s="7"/>
      <c r="E133" s="7"/>
      <c r="F133" s="20"/>
      <c r="G133" s="20"/>
      <c r="H133" s="25"/>
      <c r="I133" s="25"/>
      <c r="J133" s="25"/>
      <c r="K133" s="25"/>
      <c r="L133" s="25"/>
      <c r="M133" s="25"/>
      <c r="N133" s="25"/>
      <c r="O133" s="25"/>
      <c r="P133" s="25"/>
      <c r="Q133" s="25"/>
      <c r="R133" s="25"/>
      <c r="S133" s="25"/>
      <c r="T133" s="25"/>
      <c r="U133" s="25"/>
      <c r="V133" s="25"/>
      <c r="W133" s="25"/>
    </row>
    <row r="134" ht="14.25" customHeight="1">
      <c r="A134" s="7"/>
      <c r="B134" s="7"/>
      <c r="C134" s="7"/>
      <c r="D134" s="7"/>
      <c r="E134" s="7"/>
      <c r="F134" s="20"/>
      <c r="G134" s="20"/>
      <c r="H134" s="25"/>
      <c r="I134" s="25"/>
      <c r="J134" s="25"/>
      <c r="K134" s="25"/>
      <c r="L134" s="25"/>
      <c r="M134" s="25"/>
      <c r="N134" s="25"/>
      <c r="O134" s="25"/>
      <c r="P134" s="25"/>
      <c r="Q134" s="25"/>
      <c r="R134" s="25"/>
      <c r="S134" s="25"/>
      <c r="T134" s="25"/>
      <c r="U134" s="25"/>
      <c r="V134" s="25"/>
      <c r="W134" s="25"/>
    </row>
    <row r="135" ht="14.25" customHeight="1">
      <c r="A135" s="7"/>
      <c r="B135" s="7"/>
      <c r="C135" s="7"/>
      <c r="D135" s="7"/>
      <c r="E135" s="7"/>
      <c r="F135" s="20"/>
      <c r="G135" s="20"/>
      <c r="H135" s="25"/>
      <c r="I135" s="25"/>
      <c r="J135" s="25"/>
      <c r="K135" s="25"/>
      <c r="L135" s="25"/>
      <c r="M135" s="25"/>
      <c r="N135" s="25"/>
      <c r="O135" s="25"/>
      <c r="P135" s="25"/>
      <c r="Q135" s="25"/>
      <c r="R135" s="25"/>
      <c r="S135" s="25"/>
      <c r="T135" s="25"/>
      <c r="U135" s="25"/>
      <c r="V135" s="25"/>
      <c r="W135" s="25"/>
    </row>
    <row r="136" ht="14.25" customHeight="1">
      <c r="A136" s="7"/>
      <c r="B136" s="7"/>
      <c r="C136" s="7"/>
      <c r="D136" s="7"/>
      <c r="E136" s="7"/>
      <c r="F136" s="20"/>
      <c r="G136" s="20"/>
      <c r="H136" s="25"/>
      <c r="I136" s="25"/>
      <c r="J136" s="25"/>
      <c r="K136" s="25"/>
      <c r="L136" s="25"/>
      <c r="M136" s="25"/>
      <c r="N136" s="25"/>
      <c r="O136" s="25"/>
      <c r="P136" s="25"/>
      <c r="Q136" s="25"/>
      <c r="R136" s="25"/>
      <c r="S136" s="25"/>
      <c r="T136" s="25"/>
      <c r="U136" s="25"/>
      <c r="V136" s="25"/>
      <c r="W136" s="25"/>
    </row>
    <row r="137" ht="14.25" customHeight="1">
      <c r="A137" s="7"/>
      <c r="B137" s="7"/>
      <c r="C137" s="7"/>
      <c r="D137" s="7"/>
      <c r="E137" s="7"/>
      <c r="F137" s="20"/>
      <c r="G137" s="20"/>
      <c r="H137" s="25"/>
      <c r="I137" s="25"/>
      <c r="J137" s="25"/>
      <c r="K137" s="25"/>
      <c r="L137" s="25"/>
      <c r="M137" s="25"/>
      <c r="N137" s="25"/>
      <c r="O137" s="25"/>
      <c r="P137" s="25"/>
      <c r="Q137" s="25"/>
      <c r="R137" s="25"/>
      <c r="S137" s="25"/>
      <c r="T137" s="25"/>
      <c r="U137" s="25"/>
      <c r="V137" s="25"/>
      <c r="W137" s="25"/>
    </row>
    <row r="138" ht="14.25" customHeight="1">
      <c r="A138" s="7"/>
      <c r="B138" s="7"/>
      <c r="C138" s="7"/>
      <c r="D138" s="7"/>
      <c r="E138" s="7"/>
      <c r="F138" s="20"/>
      <c r="G138" s="20"/>
      <c r="H138" s="25"/>
      <c r="I138" s="25"/>
      <c r="J138" s="25"/>
      <c r="K138" s="25"/>
      <c r="L138" s="25"/>
      <c r="M138" s="25"/>
      <c r="N138" s="25"/>
      <c r="O138" s="25"/>
      <c r="P138" s="25"/>
      <c r="Q138" s="25"/>
      <c r="R138" s="25"/>
      <c r="S138" s="25"/>
      <c r="T138" s="25"/>
      <c r="U138" s="25"/>
      <c r="V138" s="25"/>
      <c r="W138" s="25"/>
    </row>
    <row r="139" ht="14.25" customHeight="1">
      <c r="A139" s="7"/>
      <c r="B139" s="7"/>
      <c r="C139" s="7"/>
      <c r="D139" s="7"/>
      <c r="E139" s="7"/>
      <c r="F139" s="20"/>
      <c r="G139" s="20"/>
      <c r="H139" s="25"/>
      <c r="I139" s="25"/>
      <c r="J139" s="25"/>
      <c r="K139" s="25"/>
      <c r="L139" s="25"/>
      <c r="M139" s="25"/>
      <c r="N139" s="25"/>
      <c r="O139" s="25"/>
      <c r="P139" s="25"/>
      <c r="Q139" s="25"/>
      <c r="R139" s="25"/>
      <c r="S139" s="25"/>
      <c r="T139" s="25"/>
      <c r="U139" s="25"/>
      <c r="V139" s="25"/>
      <c r="W139" s="25"/>
    </row>
    <row r="140" ht="14.25" customHeight="1">
      <c r="A140" s="7"/>
      <c r="B140" s="7"/>
      <c r="C140" s="7"/>
      <c r="D140" s="7"/>
      <c r="E140" s="7"/>
      <c r="F140" s="20"/>
      <c r="G140" s="20"/>
      <c r="H140" s="25"/>
      <c r="I140" s="25"/>
      <c r="J140" s="25"/>
      <c r="K140" s="25"/>
      <c r="L140" s="25"/>
      <c r="M140" s="25"/>
      <c r="N140" s="25"/>
      <c r="O140" s="25"/>
      <c r="P140" s="25"/>
      <c r="Q140" s="25"/>
      <c r="R140" s="25"/>
      <c r="S140" s="25"/>
      <c r="T140" s="25"/>
      <c r="U140" s="25"/>
      <c r="V140" s="25"/>
      <c r="W140" s="25"/>
    </row>
    <row r="141" ht="14.25" customHeight="1">
      <c r="A141" s="7"/>
      <c r="B141" s="7"/>
      <c r="C141" s="7"/>
      <c r="D141" s="7"/>
      <c r="E141" s="7"/>
      <c r="F141" s="20"/>
      <c r="G141" s="20"/>
      <c r="H141" s="25"/>
      <c r="I141" s="25"/>
      <c r="J141" s="25"/>
      <c r="K141" s="25"/>
      <c r="L141" s="25"/>
      <c r="M141" s="25"/>
      <c r="N141" s="25"/>
      <c r="O141" s="25"/>
      <c r="P141" s="25"/>
      <c r="Q141" s="25"/>
      <c r="R141" s="25"/>
      <c r="S141" s="25"/>
      <c r="T141" s="25"/>
      <c r="U141" s="25"/>
      <c r="V141" s="25"/>
      <c r="W141" s="25"/>
    </row>
    <row r="142" ht="14.25" customHeight="1">
      <c r="A142" s="7"/>
      <c r="B142" s="7"/>
      <c r="C142" s="7"/>
      <c r="D142" s="7"/>
      <c r="E142" s="7"/>
      <c r="F142" s="20"/>
      <c r="G142" s="20"/>
      <c r="H142" s="25"/>
      <c r="I142" s="25"/>
      <c r="J142" s="25"/>
      <c r="K142" s="25"/>
      <c r="L142" s="25"/>
      <c r="M142" s="25"/>
      <c r="N142" s="25"/>
      <c r="O142" s="25"/>
      <c r="P142" s="25"/>
      <c r="Q142" s="25"/>
      <c r="R142" s="25"/>
      <c r="S142" s="25"/>
      <c r="T142" s="25"/>
      <c r="U142" s="25"/>
      <c r="V142" s="25"/>
      <c r="W142" s="25"/>
    </row>
    <row r="143" ht="14.25" customHeight="1">
      <c r="A143" s="7"/>
      <c r="B143" s="7"/>
      <c r="C143" s="7"/>
      <c r="D143" s="7"/>
      <c r="E143" s="7"/>
      <c r="F143" s="20"/>
      <c r="G143" s="20"/>
      <c r="H143" s="25"/>
      <c r="I143" s="25"/>
      <c r="J143" s="25"/>
      <c r="K143" s="25"/>
      <c r="L143" s="25"/>
      <c r="M143" s="25"/>
      <c r="N143" s="25"/>
      <c r="O143" s="25"/>
      <c r="P143" s="25"/>
      <c r="Q143" s="25"/>
      <c r="R143" s="25"/>
      <c r="S143" s="25"/>
      <c r="T143" s="25"/>
      <c r="U143" s="25"/>
      <c r="V143" s="25"/>
      <c r="W143" s="25"/>
    </row>
    <row r="144" ht="14.25" customHeight="1">
      <c r="A144" s="7"/>
      <c r="B144" s="7"/>
      <c r="C144" s="7"/>
      <c r="D144" s="7"/>
      <c r="E144" s="7"/>
      <c r="F144" s="20"/>
      <c r="G144" s="20"/>
      <c r="H144" s="25"/>
      <c r="I144" s="25"/>
      <c r="J144" s="25"/>
      <c r="K144" s="25"/>
      <c r="L144" s="25"/>
      <c r="M144" s="25"/>
      <c r="N144" s="25"/>
      <c r="O144" s="25"/>
      <c r="P144" s="25"/>
      <c r="Q144" s="25"/>
      <c r="R144" s="25"/>
      <c r="S144" s="25"/>
      <c r="T144" s="25"/>
      <c r="U144" s="25"/>
      <c r="V144" s="25"/>
      <c r="W144" s="25"/>
    </row>
    <row r="145" ht="14.25" customHeight="1">
      <c r="A145" s="7"/>
      <c r="B145" s="7"/>
      <c r="C145" s="7"/>
      <c r="D145" s="7"/>
      <c r="E145" s="7"/>
      <c r="F145" s="20"/>
      <c r="G145" s="20"/>
      <c r="H145" s="25"/>
      <c r="I145" s="25"/>
      <c r="J145" s="25"/>
      <c r="K145" s="25"/>
      <c r="L145" s="25"/>
      <c r="M145" s="25"/>
      <c r="N145" s="25"/>
      <c r="O145" s="25"/>
      <c r="P145" s="25"/>
      <c r="Q145" s="25"/>
      <c r="R145" s="25"/>
      <c r="S145" s="25"/>
      <c r="T145" s="25"/>
      <c r="U145" s="25"/>
      <c r="V145" s="25"/>
      <c r="W145" s="25"/>
    </row>
    <row r="146" ht="14.25" customHeight="1">
      <c r="A146" s="7"/>
      <c r="B146" s="7"/>
      <c r="C146" s="7"/>
      <c r="D146" s="7"/>
      <c r="E146" s="7"/>
      <c r="F146" s="20"/>
      <c r="G146" s="20"/>
      <c r="H146" s="25"/>
      <c r="I146" s="25"/>
      <c r="J146" s="25"/>
      <c r="K146" s="25"/>
      <c r="L146" s="25"/>
      <c r="M146" s="25"/>
      <c r="N146" s="25"/>
      <c r="O146" s="25"/>
      <c r="P146" s="25"/>
      <c r="Q146" s="25"/>
      <c r="R146" s="25"/>
      <c r="S146" s="25"/>
      <c r="T146" s="25"/>
      <c r="U146" s="25"/>
      <c r="V146" s="25"/>
      <c r="W146" s="25"/>
    </row>
    <row r="147" ht="14.25" customHeight="1">
      <c r="A147" s="7"/>
      <c r="B147" s="7"/>
      <c r="C147" s="7"/>
      <c r="D147" s="7"/>
      <c r="E147" s="7"/>
      <c r="F147" s="20"/>
      <c r="G147" s="20"/>
      <c r="H147" s="25"/>
      <c r="I147" s="25"/>
      <c r="J147" s="25"/>
      <c r="K147" s="25"/>
      <c r="L147" s="25"/>
      <c r="M147" s="25"/>
      <c r="N147" s="25"/>
      <c r="O147" s="25"/>
      <c r="P147" s="25"/>
      <c r="Q147" s="25"/>
      <c r="R147" s="25"/>
      <c r="S147" s="25"/>
      <c r="T147" s="25"/>
      <c r="U147" s="25"/>
      <c r="V147" s="25"/>
      <c r="W147" s="25"/>
    </row>
    <row r="148" ht="14.25" customHeight="1">
      <c r="A148" s="7"/>
      <c r="B148" s="7"/>
      <c r="C148" s="7"/>
      <c r="D148" s="7"/>
      <c r="E148" s="7"/>
      <c r="F148" s="20"/>
      <c r="G148" s="20"/>
      <c r="H148" s="25"/>
      <c r="I148" s="25"/>
      <c r="J148" s="25"/>
      <c r="K148" s="25"/>
      <c r="L148" s="25"/>
      <c r="M148" s="25"/>
      <c r="N148" s="25"/>
      <c r="O148" s="25"/>
      <c r="P148" s="25"/>
      <c r="Q148" s="25"/>
      <c r="R148" s="25"/>
      <c r="S148" s="25"/>
      <c r="T148" s="25"/>
      <c r="U148" s="25"/>
      <c r="V148" s="25"/>
      <c r="W148" s="25"/>
    </row>
    <row r="149" ht="14.25" customHeight="1">
      <c r="A149" s="7"/>
      <c r="B149" s="7"/>
      <c r="C149" s="7"/>
      <c r="D149" s="7"/>
      <c r="E149" s="7"/>
      <c r="F149" s="20"/>
      <c r="G149" s="20"/>
      <c r="H149" s="25"/>
      <c r="I149" s="25"/>
      <c r="J149" s="25"/>
      <c r="K149" s="25"/>
      <c r="L149" s="25"/>
      <c r="M149" s="25"/>
      <c r="N149" s="25"/>
      <c r="O149" s="25"/>
      <c r="P149" s="25"/>
      <c r="Q149" s="25"/>
      <c r="R149" s="25"/>
      <c r="S149" s="25"/>
      <c r="T149" s="25"/>
      <c r="U149" s="25"/>
      <c r="V149" s="25"/>
      <c r="W149" s="25"/>
    </row>
    <row r="150" ht="14.25" customHeight="1">
      <c r="A150" s="7"/>
      <c r="B150" s="7"/>
      <c r="C150" s="7"/>
      <c r="D150" s="7"/>
      <c r="E150" s="7"/>
      <c r="F150" s="20"/>
      <c r="G150" s="20"/>
      <c r="H150" s="25"/>
      <c r="I150" s="25"/>
      <c r="J150" s="25"/>
      <c r="K150" s="25"/>
      <c r="L150" s="25"/>
      <c r="M150" s="25"/>
      <c r="N150" s="25"/>
      <c r="O150" s="25"/>
      <c r="P150" s="25"/>
      <c r="Q150" s="25"/>
      <c r="R150" s="25"/>
      <c r="S150" s="25"/>
      <c r="T150" s="25"/>
      <c r="U150" s="25"/>
      <c r="V150" s="25"/>
      <c r="W150" s="25"/>
    </row>
    <row r="151" ht="14.25" customHeight="1">
      <c r="A151" s="7"/>
      <c r="B151" s="7"/>
      <c r="C151" s="7"/>
      <c r="D151" s="7"/>
      <c r="E151" s="7"/>
      <c r="F151" s="20"/>
      <c r="G151" s="20"/>
      <c r="H151" s="25"/>
      <c r="I151" s="25"/>
      <c r="J151" s="25"/>
      <c r="K151" s="25"/>
      <c r="L151" s="25"/>
      <c r="M151" s="25"/>
      <c r="N151" s="25"/>
      <c r="O151" s="25"/>
      <c r="P151" s="25"/>
      <c r="Q151" s="25"/>
      <c r="R151" s="25"/>
      <c r="S151" s="25"/>
      <c r="T151" s="25"/>
      <c r="U151" s="25"/>
      <c r="V151" s="25"/>
      <c r="W151" s="25"/>
    </row>
    <row r="152" ht="14.25" customHeight="1">
      <c r="A152" s="7"/>
      <c r="B152" s="7"/>
      <c r="C152" s="7"/>
      <c r="D152" s="7"/>
      <c r="E152" s="7"/>
      <c r="F152" s="20"/>
      <c r="G152" s="20"/>
      <c r="H152" s="25"/>
      <c r="I152" s="25"/>
      <c r="J152" s="25"/>
      <c r="K152" s="25"/>
      <c r="L152" s="25"/>
      <c r="M152" s="25"/>
      <c r="N152" s="25"/>
      <c r="O152" s="25"/>
      <c r="P152" s="25"/>
      <c r="Q152" s="25"/>
      <c r="R152" s="25"/>
      <c r="S152" s="25"/>
      <c r="T152" s="25"/>
      <c r="U152" s="25"/>
      <c r="V152" s="25"/>
      <c r="W152" s="25"/>
    </row>
    <row r="153" ht="14.25" customHeight="1">
      <c r="A153" s="7"/>
      <c r="B153" s="7"/>
      <c r="C153" s="7"/>
      <c r="D153" s="7"/>
      <c r="E153" s="7"/>
      <c r="F153" s="20"/>
      <c r="G153" s="20"/>
      <c r="H153" s="25"/>
      <c r="I153" s="25"/>
      <c r="J153" s="25"/>
      <c r="K153" s="25"/>
      <c r="L153" s="25"/>
      <c r="M153" s="25"/>
      <c r="N153" s="25"/>
      <c r="O153" s="25"/>
      <c r="P153" s="25"/>
      <c r="Q153" s="25"/>
      <c r="R153" s="25"/>
      <c r="S153" s="25"/>
      <c r="T153" s="25"/>
      <c r="U153" s="25"/>
      <c r="V153" s="25"/>
      <c r="W153" s="25"/>
    </row>
    <row r="154" ht="14.25" customHeight="1">
      <c r="A154" s="7"/>
      <c r="B154" s="7"/>
      <c r="C154" s="7"/>
      <c r="D154" s="7"/>
      <c r="E154" s="7"/>
      <c r="F154" s="20"/>
      <c r="G154" s="20"/>
      <c r="H154" s="25"/>
      <c r="I154" s="25"/>
      <c r="J154" s="25"/>
      <c r="K154" s="25"/>
      <c r="L154" s="25"/>
      <c r="M154" s="25"/>
      <c r="N154" s="25"/>
      <c r="O154" s="25"/>
      <c r="P154" s="25"/>
      <c r="Q154" s="25"/>
      <c r="R154" s="25"/>
      <c r="S154" s="25"/>
      <c r="T154" s="25"/>
      <c r="U154" s="25"/>
      <c r="V154" s="25"/>
      <c r="W154" s="25"/>
    </row>
    <row r="155" ht="14.25" customHeight="1">
      <c r="A155" s="7"/>
      <c r="B155" s="7"/>
      <c r="C155" s="7"/>
      <c r="D155" s="7"/>
      <c r="E155" s="7"/>
      <c r="F155" s="20"/>
      <c r="G155" s="20"/>
      <c r="H155" s="25"/>
      <c r="I155" s="25"/>
      <c r="J155" s="25"/>
      <c r="K155" s="25"/>
      <c r="L155" s="25"/>
      <c r="M155" s="25"/>
      <c r="N155" s="25"/>
      <c r="O155" s="25"/>
      <c r="P155" s="25"/>
      <c r="Q155" s="25"/>
      <c r="R155" s="25"/>
      <c r="S155" s="25"/>
      <c r="T155" s="25"/>
      <c r="U155" s="25"/>
      <c r="V155" s="25"/>
      <c r="W155" s="25"/>
    </row>
    <row r="156" ht="14.25" customHeight="1">
      <c r="A156" s="7"/>
      <c r="B156" s="7"/>
      <c r="C156" s="7"/>
      <c r="D156" s="7"/>
      <c r="E156" s="7"/>
      <c r="F156" s="20"/>
      <c r="G156" s="20"/>
      <c r="H156" s="25"/>
      <c r="I156" s="25"/>
      <c r="J156" s="25"/>
      <c r="K156" s="25"/>
      <c r="L156" s="25"/>
      <c r="M156" s="25"/>
      <c r="N156" s="25"/>
      <c r="O156" s="25"/>
      <c r="P156" s="25"/>
      <c r="Q156" s="25"/>
      <c r="R156" s="25"/>
      <c r="S156" s="25"/>
      <c r="T156" s="25"/>
      <c r="U156" s="25"/>
      <c r="V156" s="25"/>
      <c r="W156" s="25"/>
    </row>
    <row r="157" ht="14.25" customHeight="1">
      <c r="A157" s="7"/>
      <c r="B157" s="7"/>
      <c r="C157" s="7"/>
      <c r="D157" s="7"/>
      <c r="E157" s="7"/>
      <c r="F157" s="20"/>
      <c r="G157" s="20"/>
      <c r="H157" s="25"/>
      <c r="I157" s="25"/>
      <c r="J157" s="25"/>
      <c r="K157" s="25"/>
      <c r="L157" s="25"/>
      <c r="M157" s="25"/>
      <c r="N157" s="25"/>
      <c r="O157" s="25"/>
      <c r="P157" s="25"/>
      <c r="Q157" s="25"/>
      <c r="R157" s="25"/>
      <c r="S157" s="25"/>
      <c r="T157" s="25"/>
      <c r="U157" s="25"/>
      <c r="V157" s="25"/>
      <c r="W157" s="25"/>
    </row>
    <row r="158" ht="14.25" customHeight="1">
      <c r="A158" s="7"/>
      <c r="B158" s="7"/>
      <c r="C158" s="7"/>
      <c r="D158" s="7"/>
      <c r="E158" s="7"/>
      <c r="F158" s="20"/>
      <c r="G158" s="20"/>
      <c r="H158" s="25"/>
      <c r="I158" s="25"/>
      <c r="J158" s="25"/>
      <c r="K158" s="25"/>
      <c r="L158" s="25"/>
      <c r="M158" s="25"/>
      <c r="N158" s="25"/>
      <c r="O158" s="25"/>
      <c r="P158" s="25"/>
      <c r="Q158" s="25"/>
      <c r="R158" s="25"/>
      <c r="S158" s="25"/>
      <c r="T158" s="25"/>
      <c r="U158" s="25"/>
      <c r="V158" s="25"/>
      <c r="W158" s="25"/>
    </row>
    <row r="159" ht="14.25" customHeight="1">
      <c r="A159" s="7"/>
      <c r="B159" s="7"/>
      <c r="C159" s="7"/>
      <c r="D159" s="7"/>
      <c r="E159" s="7"/>
      <c r="F159" s="20"/>
      <c r="G159" s="20"/>
      <c r="H159" s="25"/>
      <c r="I159" s="25"/>
      <c r="J159" s="25"/>
      <c r="K159" s="25"/>
      <c r="L159" s="25"/>
      <c r="M159" s="25"/>
      <c r="N159" s="25"/>
      <c r="O159" s="25"/>
      <c r="P159" s="25"/>
      <c r="Q159" s="25"/>
      <c r="R159" s="25"/>
      <c r="S159" s="25"/>
      <c r="T159" s="25"/>
      <c r="U159" s="25"/>
      <c r="V159" s="25"/>
      <c r="W159" s="25"/>
    </row>
    <row r="160" ht="14.25" customHeight="1">
      <c r="A160" s="7"/>
      <c r="B160" s="7"/>
      <c r="C160" s="7"/>
      <c r="D160" s="7"/>
      <c r="E160" s="7"/>
      <c r="F160" s="20"/>
      <c r="G160" s="20"/>
      <c r="H160" s="25"/>
      <c r="I160" s="25"/>
      <c r="J160" s="25"/>
      <c r="K160" s="25"/>
      <c r="L160" s="25"/>
      <c r="M160" s="25"/>
      <c r="N160" s="25"/>
      <c r="O160" s="25"/>
      <c r="P160" s="25"/>
      <c r="Q160" s="25"/>
      <c r="R160" s="25"/>
      <c r="S160" s="25"/>
      <c r="T160" s="25"/>
      <c r="U160" s="25"/>
      <c r="V160" s="25"/>
      <c r="W160" s="25"/>
    </row>
    <row r="161" ht="14.25" customHeight="1">
      <c r="A161" s="7"/>
      <c r="B161" s="7"/>
      <c r="C161" s="7"/>
      <c r="D161" s="7"/>
      <c r="E161" s="7"/>
      <c r="F161" s="20"/>
      <c r="G161" s="20"/>
      <c r="H161" s="25"/>
      <c r="I161" s="25"/>
      <c r="J161" s="25"/>
      <c r="K161" s="25"/>
      <c r="L161" s="25"/>
      <c r="M161" s="25"/>
      <c r="N161" s="25"/>
      <c r="O161" s="25"/>
      <c r="P161" s="25"/>
      <c r="Q161" s="25"/>
      <c r="R161" s="25"/>
      <c r="S161" s="25"/>
      <c r="T161" s="25"/>
      <c r="U161" s="25"/>
      <c r="V161" s="25"/>
      <c r="W161" s="25"/>
    </row>
    <row r="162" ht="14.25" customHeight="1">
      <c r="A162" s="7"/>
      <c r="B162" s="7"/>
      <c r="C162" s="7"/>
      <c r="D162" s="7"/>
      <c r="E162" s="7"/>
      <c r="F162" s="20"/>
      <c r="G162" s="20"/>
      <c r="H162" s="25"/>
      <c r="I162" s="25"/>
      <c r="J162" s="25"/>
      <c r="K162" s="25"/>
      <c r="L162" s="25"/>
      <c r="M162" s="25"/>
      <c r="N162" s="25"/>
      <c r="O162" s="25"/>
      <c r="P162" s="25"/>
      <c r="Q162" s="25"/>
      <c r="R162" s="25"/>
      <c r="S162" s="25"/>
      <c r="T162" s="25"/>
      <c r="U162" s="25"/>
      <c r="V162" s="25"/>
      <c r="W162" s="25"/>
    </row>
    <row r="163" ht="14.25" customHeight="1">
      <c r="A163" s="7"/>
      <c r="B163" s="7"/>
      <c r="C163" s="7"/>
      <c r="D163" s="7"/>
      <c r="E163" s="7"/>
      <c r="F163" s="20"/>
      <c r="G163" s="20"/>
      <c r="H163" s="25"/>
      <c r="I163" s="25"/>
      <c r="J163" s="25"/>
      <c r="K163" s="25"/>
      <c r="L163" s="25"/>
      <c r="M163" s="25"/>
      <c r="N163" s="25"/>
      <c r="O163" s="25"/>
      <c r="P163" s="25"/>
      <c r="Q163" s="25"/>
      <c r="R163" s="25"/>
      <c r="S163" s="25"/>
      <c r="T163" s="25"/>
      <c r="U163" s="25"/>
      <c r="V163" s="25"/>
      <c r="W163" s="25"/>
    </row>
    <row r="164" ht="14.25" customHeight="1">
      <c r="A164" s="7"/>
      <c r="B164" s="7"/>
      <c r="C164" s="7"/>
      <c r="D164" s="7"/>
      <c r="E164" s="7"/>
      <c r="F164" s="20"/>
      <c r="G164" s="20"/>
      <c r="H164" s="25"/>
      <c r="I164" s="25"/>
      <c r="J164" s="25"/>
      <c r="K164" s="25"/>
      <c r="L164" s="25"/>
      <c r="M164" s="25"/>
      <c r="N164" s="25"/>
      <c r="O164" s="25"/>
      <c r="P164" s="25"/>
      <c r="Q164" s="25"/>
      <c r="R164" s="25"/>
      <c r="S164" s="25"/>
      <c r="T164" s="25"/>
      <c r="U164" s="25"/>
      <c r="V164" s="25"/>
      <c r="W164" s="25"/>
    </row>
    <row r="165" ht="14.25" customHeight="1">
      <c r="A165" s="7"/>
      <c r="B165" s="7"/>
      <c r="C165" s="7"/>
      <c r="D165" s="7"/>
      <c r="E165" s="7"/>
      <c r="F165" s="20"/>
      <c r="G165" s="20"/>
      <c r="H165" s="25"/>
      <c r="I165" s="25"/>
      <c r="J165" s="25"/>
      <c r="K165" s="25"/>
      <c r="L165" s="25"/>
      <c r="M165" s="25"/>
      <c r="N165" s="25"/>
      <c r="O165" s="25"/>
      <c r="P165" s="25"/>
      <c r="Q165" s="25"/>
      <c r="R165" s="25"/>
      <c r="S165" s="25"/>
      <c r="T165" s="25"/>
      <c r="U165" s="25"/>
      <c r="V165" s="25"/>
      <c r="W165" s="25"/>
    </row>
    <row r="166" ht="14.25" customHeight="1">
      <c r="A166" s="7"/>
      <c r="B166" s="7"/>
      <c r="C166" s="7"/>
      <c r="D166" s="7"/>
      <c r="E166" s="7"/>
      <c r="F166" s="20"/>
      <c r="G166" s="20"/>
      <c r="H166" s="25"/>
      <c r="I166" s="25"/>
      <c r="J166" s="25"/>
      <c r="K166" s="25"/>
      <c r="L166" s="25"/>
      <c r="M166" s="25"/>
      <c r="N166" s="25"/>
      <c r="O166" s="25"/>
      <c r="P166" s="25"/>
      <c r="Q166" s="25"/>
      <c r="R166" s="25"/>
      <c r="S166" s="25"/>
      <c r="T166" s="25"/>
      <c r="U166" s="25"/>
      <c r="V166" s="25"/>
      <c r="W166" s="2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84.75"/>
    <col customWidth="1" min="3" max="3" width="74.0"/>
    <col customWidth="1" min="4" max="4" width="12.13"/>
    <col customWidth="1" min="6" max="6" width="95.0"/>
    <col customWidth="1" min="13" max="13" width="76.38"/>
  </cols>
  <sheetData>
    <row r="1">
      <c r="A1" s="7">
        <v>301.0</v>
      </c>
      <c r="B1" s="7" t="s">
        <v>374</v>
      </c>
      <c r="C1" s="7" t="s">
        <v>374</v>
      </c>
      <c r="D1" s="7" t="s">
        <v>375</v>
      </c>
      <c r="E1" s="32" t="s">
        <v>376</v>
      </c>
      <c r="F1" s="7"/>
      <c r="G1" s="6"/>
      <c r="H1" s="6"/>
      <c r="I1" s="6"/>
      <c r="J1" s="6"/>
      <c r="K1" s="6"/>
      <c r="L1" s="6"/>
      <c r="M1" s="6"/>
      <c r="N1" s="6"/>
      <c r="O1" s="6"/>
      <c r="P1" s="6"/>
      <c r="Q1" s="6"/>
      <c r="R1" s="6"/>
      <c r="S1" s="6"/>
      <c r="T1" s="6"/>
      <c r="U1" s="6"/>
      <c r="V1" s="6"/>
      <c r="W1" s="6"/>
      <c r="X1" s="6"/>
      <c r="Y1" s="6"/>
      <c r="Z1" s="6"/>
      <c r="AA1" s="6"/>
    </row>
    <row r="2">
      <c r="A2" s="7">
        <v>302.0</v>
      </c>
      <c r="B2" s="7" t="s">
        <v>168</v>
      </c>
      <c r="C2" s="7" t="s">
        <v>168</v>
      </c>
      <c r="D2" s="7"/>
      <c r="E2" s="7"/>
      <c r="F2" s="7"/>
      <c r="G2" s="6"/>
      <c r="H2" s="6"/>
      <c r="I2" s="6"/>
      <c r="J2" s="6"/>
      <c r="K2" s="6"/>
      <c r="L2" s="6"/>
      <c r="M2" s="6"/>
      <c r="N2" s="6"/>
      <c r="O2" s="6"/>
      <c r="P2" s="6"/>
      <c r="Q2" s="6"/>
      <c r="R2" s="6"/>
      <c r="S2" s="6"/>
      <c r="T2" s="6"/>
      <c r="U2" s="6"/>
      <c r="V2" s="6"/>
      <c r="W2" s="6"/>
      <c r="X2" s="6"/>
      <c r="Y2" s="6"/>
      <c r="Z2" s="6"/>
      <c r="AA2" s="6"/>
    </row>
    <row r="3">
      <c r="A3" s="7">
        <v>303.0</v>
      </c>
      <c r="B3" s="7" t="s">
        <v>173</v>
      </c>
      <c r="C3" s="7" t="s">
        <v>173</v>
      </c>
      <c r="D3" s="7"/>
      <c r="E3" s="7"/>
      <c r="F3" s="7"/>
      <c r="G3" s="6"/>
      <c r="H3" s="6"/>
      <c r="I3" s="6"/>
      <c r="J3" s="6"/>
      <c r="K3" s="6"/>
      <c r="L3" s="6"/>
      <c r="M3" s="6"/>
      <c r="N3" s="6"/>
      <c r="O3" s="6"/>
      <c r="P3" s="6"/>
      <c r="Q3" s="6"/>
      <c r="R3" s="6"/>
      <c r="S3" s="6"/>
      <c r="T3" s="6"/>
      <c r="U3" s="6"/>
      <c r="V3" s="6"/>
      <c r="W3" s="6"/>
      <c r="X3" s="6"/>
      <c r="Y3" s="6"/>
      <c r="Z3" s="6"/>
      <c r="AA3" s="6"/>
    </row>
    <row r="4">
      <c r="A4" s="7">
        <v>304.0</v>
      </c>
      <c r="B4" s="7" t="s">
        <v>176</v>
      </c>
      <c r="C4" s="7" t="s">
        <v>176</v>
      </c>
      <c r="D4" s="7"/>
      <c r="E4" s="7"/>
      <c r="F4" s="7"/>
      <c r="G4" s="6"/>
      <c r="H4" s="6"/>
      <c r="I4" s="6"/>
      <c r="J4" s="6"/>
      <c r="K4" s="6"/>
      <c r="L4" s="6"/>
      <c r="M4" s="6"/>
      <c r="N4" s="6"/>
      <c r="O4" s="6"/>
      <c r="P4" s="6"/>
      <c r="Q4" s="6"/>
      <c r="R4" s="6"/>
      <c r="S4" s="6"/>
      <c r="T4" s="6"/>
      <c r="U4" s="6"/>
      <c r="V4" s="6"/>
      <c r="W4" s="6"/>
      <c r="X4" s="6"/>
      <c r="Y4" s="6"/>
      <c r="Z4" s="6"/>
      <c r="AA4" s="6"/>
    </row>
    <row r="5">
      <c r="A5" s="7">
        <v>305.0</v>
      </c>
      <c r="B5" s="7" t="s">
        <v>377</v>
      </c>
      <c r="C5" s="7" t="s">
        <v>377</v>
      </c>
      <c r="D5" s="7" t="s">
        <v>375</v>
      </c>
      <c r="E5" s="32" t="s">
        <v>378</v>
      </c>
      <c r="F5" s="7"/>
      <c r="G5" s="6"/>
      <c r="H5" s="6"/>
      <c r="I5" s="6"/>
      <c r="J5" s="6"/>
      <c r="K5" s="6"/>
      <c r="L5" s="6"/>
      <c r="M5" s="6"/>
      <c r="N5" s="6"/>
      <c r="O5" s="6"/>
      <c r="P5" s="6"/>
      <c r="Q5" s="6"/>
      <c r="R5" s="6"/>
      <c r="S5" s="6"/>
      <c r="T5" s="6"/>
      <c r="U5" s="6"/>
      <c r="V5" s="6"/>
      <c r="W5" s="6"/>
      <c r="X5" s="6"/>
      <c r="Y5" s="6"/>
      <c r="Z5" s="6"/>
      <c r="AA5" s="6"/>
    </row>
    <row r="6">
      <c r="A6" s="7">
        <v>306.0</v>
      </c>
      <c r="B6" s="7" t="s">
        <v>183</v>
      </c>
      <c r="C6" s="7" t="s">
        <v>183</v>
      </c>
      <c r="D6" s="7"/>
      <c r="E6" s="7"/>
      <c r="F6" s="7"/>
      <c r="G6" s="6"/>
      <c r="H6" s="6"/>
      <c r="I6" s="6"/>
      <c r="J6" s="6"/>
      <c r="K6" s="6"/>
      <c r="L6" s="6"/>
      <c r="M6" s="6"/>
      <c r="N6" s="6"/>
      <c r="O6" s="6"/>
      <c r="P6" s="6"/>
      <c r="Q6" s="6"/>
      <c r="R6" s="6"/>
      <c r="S6" s="6"/>
      <c r="T6" s="6"/>
      <c r="U6" s="6"/>
      <c r="V6" s="6"/>
      <c r="W6" s="6"/>
      <c r="X6" s="6"/>
      <c r="Y6" s="6"/>
      <c r="Z6" s="6"/>
      <c r="AA6" s="6"/>
    </row>
    <row r="7">
      <c r="A7" s="7">
        <v>307.0</v>
      </c>
      <c r="B7" s="7" t="s">
        <v>188</v>
      </c>
      <c r="C7" s="7" t="s">
        <v>188</v>
      </c>
      <c r="D7" s="7"/>
      <c r="E7" s="7"/>
      <c r="F7" s="7"/>
      <c r="G7" s="6"/>
      <c r="H7" s="6"/>
      <c r="I7" s="6"/>
      <c r="J7" s="6"/>
      <c r="K7" s="6"/>
      <c r="L7" s="6"/>
      <c r="M7" s="6"/>
      <c r="N7" s="6"/>
      <c r="O7" s="6"/>
      <c r="P7" s="6"/>
      <c r="Q7" s="6"/>
      <c r="R7" s="6"/>
      <c r="S7" s="6"/>
      <c r="T7" s="6"/>
      <c r="U7" s="6"/>
      <c r="V7" s="6"/>
      <c r="W7" s="6"/>
      <c r="X7" s="6"/>
      <c r="Y7" s="6"/>
      <c r="Z7" s="6"/>
      <c r="AA7" s="6"/>
    </row>
    <row r="8">
      <c r="A8" s="7">
        <v>308.0</v>
      </c>
      <c r="B8" s="7" t="s">
        <v>191</v>
      </c>
      <c r="C8" s="7" t="s">
        <v>191</v>
      </c>
      <c r="D8" s="7"/>
      <c r="E8" s="7"/>
      <c r="F8" s="7"/>
      <c r="G8" s="6"/>
      <c r="H8" s="6"/>
      <c r="I8" s="6"/>
      <c r="J8" s="6"/>
      <c r="K8" s="6"/>
      <c r="L8" s="6"/>
      <c r="M8" s="6"/>
      <c r="N8" s="6"/>
      <c r="O8" s="6"/>
      <c r="P8" s="6"/>
      <c r="Q8" s="6"/>
      <c r="R8" s="6"/>
      <c r="S8" s="6"/>
      <c r="T8" s="6"/>
      <c r="U8" s="6"/>
      <c r="V8" s="6"/>
      <c r="W8" s="6"/>
      <c r="X8" s="6"/>
      <c r="Y8" s="6"/>
      <c r="Z8" s="6"/>
      <c r="AA8" s="6"/>
    </row>
    <row r="9">
      <c r="A9" s="7">
        <v>309.0</v>
      </c>
      <c r="B9" s="7" t="s">
        <v>195</v>
      </c>
      <c r="C9" s="7" t="s">
        <v>195</v>
      </c>
      <c r="D9" s="7"/>
      <c r="E9" s="7"/>
      <c r="F9" s="7"/>
      <c r="G9" s="6"/>
      <c r="H9" s="6"/>
      <c r="I9" s="6"/>
      <c r="J9" s="6"/>
      <c r="K9" s="6"/>
      <c r="L9" s="6"/>
      <c r="M9" s="6"/>
      <c r="N9" s="6"/>
      <c r="O9" s="6"/>
      <c r="P9" s="6"/>
      <c r="Q9" s="6"/>
      <c r="R9" s="6"/>
      <c r="S9" s="6"/>
      <c r="T9" s="6"/>
      <c r="U9" s="6"/>
      <c r="V9" s="6"/>
      <c r="W9" s="6"/>
      <c r="X9" s="6"/>
      <c r="Y9" s="6"/>
      <c r="Z9" s="6"/>
      <c r="AA9" s="6"/>
    </row>
    <row r="10">
      <c r="A10" s="7">
        <v>310.0</v>
      </c>
      <c r="B10" s="7" t="s">
        <v>198</v>
      </c>
      <c r="C10" s="7" t="s">
        <v>198</v>
      </c>
      <c r="D10" s="7"/>
      <c r="E10" s="7"/>
      <c r="F10" s="7"/>
      <c r="G10" s="6"/>
      <c r="H10" s="6"/>
      <c r="I10" s="6"/>
      <c r="J10" s="6"/>
      <c r="K10" s="6"/>
      <c r="L10" s="6"/>
      <c r="M10" s="6"/>
      <c r="N10" s="6"/>
      <c r="O10" s="6"/>
      <c r="P10" s="6"/>
      <c r="Q10" s="6"/>
      <c r="R10" s="6"/>
      <c r="S10" s="6"/>
      <c r="T10" s="6"/>
      <c r="U10" s="6"/>
      <c r="V10" s="6"/>
      <c r="W10" s="6"/>
      <c r="X10" s="6"/>
      <c r="Y10" s="6"/>
      <c r="Z10" s="6"/>
      <c r="AA10" s="6"/>
    </row>
    <row r="11">
      <c r="A11" s="7">
        <v>311.0</v>
      </c>
      <c r="B11" s="7" t="s">
        <v>202</v>
      </c>
      <c r="C11" s="7" t="s">
        <v>202</v>
      </c>
      <c r="D11" s="7"/>
      <c r="E11" s="7"/>
      <c r="F11" s="7"/>
      <c r="G11" s="6"/>
      <c r="H11" s="6"/>
      <c r="I11" s="6"/>
      <c r="J11" s="6"/>
      <c r="K11" s="6"/>
      <c r="L11" s="6"/>
      <c r="M11" s="6"/>
      <c r="N11" s="6"/>
      <c r="O11" s="6"/>
      <c r="P11" s="6"/>
      <c r="Q11" s="6"/>
      <c r="R11" s="6"/>
      <c r="S11" s="6"/>
      <c r="T11" s="6"/>
      <c r="U11" s="6"/>
      <c r="V11" s="6"/>
      <c r="W11" s="6"/>
      <c r="X11" s="6"/>
      <c r="Y11" s="6"/>
      <c r="Z11" s="6"/>
      <c r="AA11" s="6"/>
    </row>
    <row r="12">
      <c r="A12" s="7">
        <v>312.0</v>
      </c>
      <c r="B12" s="7" t="s">
        <v>205</v>
      </c>
      <c r="C12" s="7" t="s">
        <v>205</v>
      </c>
      <c r="D12" s="7"/>
      <c r="E12" s="7"/>
      <c r="F12" s="7"/>
      <c r="G12" s="6"/>
      <c r="H12" s="6"/>
      <c r="I12" s="6"/>
      <c r="J12" s="6"/>
      <c r="K12" s="6"/>
      <c r="L12" s="6"/>
      <c r="M12" s="6"/>
      <c r="N12" s="6"/>
      <c r="O12" s="6"/>
      <c r="P12" s="6"/>
      <c r="Q12" s="6"/>
      <c r="R12" s="6"/>
      <c r="S12" s="6"/>
      <c r="T12" s="6"/>
      <c r="U12" s="6"/>
      <c r="V12" s="6"/>
      <c r="W12" s="6"/>
      <c r="X12" s="6"/>
      <c r="Y12" s="6"/>
      <c r="Z12" s="6"/>
      <c r="AA12" s="6"/>
    </row>
    <row r="13">
      <c r="A13" s="7">
        <v>313.0</v>
      </c>
      <c r="B13" s="7" t="s">
        <v>210</v>
      </c>
      <c r="C13" s="7" t="s">
        <v>210</v>
      </c>
      <c r="D13" s="7"/>
      <c r="E13" s="7"/>
      <c r="F13" s="7"/>
      <c r="G13" s="6"/>
      <c r="H13" s="6"/>
      <c r="I13" s="6"/>
      <c r="J13" s="6"/>
      <c r="K13" s="6"/>
      <c r="L13" s="6"/>
      <c r="M13" s="6"/>
      <c r="N13" s="6"/>
      <c r="O13" s="6"/>
      <c r="P13" s="6"/>
      <c r="Q13" s="6"/>
      <c r="R13" s="6"/>
      <c r="S13" s="6"/>
      <c r="T13" s="6"/>
      <c r="U13" s="6"/>
      <c r="V13" s="6"/>
      <c r="W13" s="6"/>
      <c r="X13" s="6"/>
      <c r="Y13" s="6"/>
      <c r="Z13" s="6"/>
      <c r="AA13" s="6"/>
    </row>
    <row r="14">
      <c r="A14" s="7">
        <v>314.0</v>
      </c>
      <c r="B14" s="7" t="s">
        <v>212</v>
      </c>
      <c r="C14" s="7" t="s">
        <v>212</v>
      </c>
      <c r="D14" s="7"/>
      <c r="E14" s="7"/>
      <c r="F14" s="7"/>
      <c r="G14" s="6"/>
      <c r="H14" s="6"/>
      <c r="I14" s="6"/>
      <c r="J14" s="6"/>
      <c r="K14" s="6"/>
      <c r="L14" s="6"/>
      <c r="M14" s="6"/>
      <c r="N14" s="6"/>
      <c r="O14" s="6"/>
      <c r="P14" s="6"/>
      <c r="Q14" s="6"/>
      <c r="R14" s="6"/>
      <c r="S14" s="6"/>
      <c r="T14" s="6"/>
      <c r="U14" s="6"/>
      <c r="V14" s="6"/>
      <c r="W14" s="6"/>
      <c r="X14" s="6"/>
      <c r="Y14" s="6"/>
      <c r="Z14" s="6"/>
      <c r="AA14" s="6"/>
    </row>
    <row r="15">
      <c r="A15" s="7">
        <v>315.0</v>
      </c>
      <c r="B15" s="7" t="s">
        <v>218</v>
      </c>
      <c r="C15" s="7" t="s">
        <v>218</v>
      </c>
      <c r="D15" s="7"/>
      <c r="E15" s="7"/>
      <c r="F15" s="7"/>
      <c r="G15" s="6"/>
      <c r="H15" s="6"/>
      <c r="I15" s="6"/>
      <c r="J15" s="6"/>
      <c r="K15" s="6"/>
      <c r="L15" s="6"/>
      <c r="M15" s="6"/>
      <c r="N15" s="6"/>
      <c r="O15" s="6"/>
      <c r="P15" s="6"/>
      <c r="Q15" s="6"/>
      <c r="R15" s="6"/>
      <c r="S15" s="6"/>
      <c r="T15" s="6"/>
      <c r="U15" s="6"/>
      <c r="V15" s="6"/>
      <c r="W15" s="6"/>
      <c r="X15" s="6"/>
      <c r="Y15" s="6"/>
      <c r="Z15" s="6"/>
      <c r="AA15" s="6"/>
    </row>
    <row r="16">
      <c r="A16" s="7">
        <v>316.0</v>
      </c>
      <c r="B16" s="7" t="s">
        <v>221</v>
      </c>
      <c r="C16" s="7" t="s">
        <v>221</v>
      </c>
      <c r="D16" s="7"/>
      <c r="E16" s="7"/>
      <c r="F16" s="7"/>
      <c r="G16" s="6"/>
      <c r="H16" s="6"/>
      <c r="I16" s="6"/>
      <c r="J16" s="6"/>
      <c r="K16" s="6"/>
      <c r="L16" s="6"/>
      <c r="M16" s="6"/>
      <c r="N16" s="6"/>
      <c r="O16" s="6"/>
      <c r="P16" s="6"/>
      <c r="Q16" s="6"/>
      <c r="R16" s="6"/>
      <c r="S16" s="6"/>
      <c r="T16" s="6"/>
      <c r="U16" s="6"/>
      <c r="V16" s="6"/>
      <c r="W16" s="6"/>
      <c r="X16" s="6"/>
      <c r="Y16" s="6"/>
      <c r="Z16" s="6"/>
      <c r="AA16" s="6"/>
    </row>
    <row r="17">
      <c r="A17" s="7">
        <v>317.0</v>
      </c>
      <c r="B17" s="7" t="s">
        <v>225</v>
      </c>
      <c r="C17" s="7" t="s">
        <v>225</v>
      </c>
      <c r="D17" s="7"/>
      <c r="E17" s="7"/>
      <c r="F17" s="7"/>
      <c r="G17" s="6"/>
      <c r="H17" s="6"/>
      <c r="I17" s="6"/>
      <c r="J17" s="6"/>
      <c r="K17" s="6"/>
      <c r="L17" s="6"/>
      <c r="M17" s="6"/>
      <c r="N17" s="6"/>
      <c r="O17" s="6"/>
      <c r="P17" s="6"/>
      <c r="Q17" s="6"/>
      <c r="R17" s="6"/>
      <c r="S17" s="6"/>
      <c r="T17" s="6"/>
      <c r="U17" s="6"/>
      <c r="V17" s="6"/>
      <c r="W17" s="6"/>
      <c r="X17" s="6"/>
      <c r="Y17" s="6"/>
      <c r="Z17" s="6"/>
      <c r="AA17" s="6"/>
    </row>
    <row r="18">
      <c r="A18" s="7">
        <v>318.0</v>
      </c>
      <c r="B18" s="7" t="s">
        <v>231</v>
      </c>
      <c r="C18" s="7" t="s">
        <v>231</v>
      </c>
      <c r="D18" s="7"/>
      <c r="E18" s="7"/>
      <c r="F18" s="7"/>
      <c r="G18" s="6"/>
      <c r="H18" s="6"/>
      <c r="I18" s="6"/>
      <c r="J18" s="6"/>
      <c r="K18" s="6"/>
      <c r="L18" s="6"/>
      <c r="M18" s="6"/>
      <c r="N18" s="6"/>
      <c r="O18" s="6"/>
      <c r="P18" s="6"/>
      <c r="Q18" s="6"/>
      <c r="R18" s="6"/>
      <c r="S18" s="6"/>
      <c r="T18" s="6"/>
      <c r="U18" s="6"/>
      <c r="V18" s="6"/>
      <c r="W18" s="6"/>
      <c r="X18" s="6"/>
      <c r="Y18" s="6"/>
      <c r="Z18" s="6"/>
      <c r="AA18" s="6"/>
    </row>
    <row r="19">
      <c r="A19" s="7">
        <v>319.0</v>
      </c>
      <c r="B19" s="7" t="s">
        <v>234</v>
      </c>
      <c r="C19" s="7" t="s">
        <v>234</v>
      </c>
      <c r="D19" s="7"/>
      <c r="E19" s="7"/>
      <c r="F19" s="7"/>
      <c r="G19" s="6"/>
      <c r="H19" s="6"/>
      <c r="I19" s="6"/>
      <c r="J19" s="6"/>
      <c r="K19" s="6"/>
      <c r="L19" s="6"/>
      <c r="M19" s="6"/>
      <c r="N19" s="6"/>
      <c r="O19" s="6"/>
      <c r="P19" s="6"/>
      <c r="Q19" s="6"/>
      <c r="R19" s="6"/>
      <c r="S19" s="6"/>
      <c r="T19" s="6"/>
      <c r="U19" s="6"/>
      <c r="V19" s="6"/>
      <c r="W19" s="6"/>
      <c r="X19" s="6"/>
      <c r="Y19" s="6"/>
      <c r="Z19" s="6"/>
      <c r="AA19" s="6"/>
    </row>
    <row r="20">
      <c r="A20" s="7">
        <v>320.0</v>
      </c>
      <c r="B20" s="7" t="s">
        <v>240</v>
      </c>
      <c r="C20" s="7" t="s">
        <v>240</v>
      </c>
      <c r="D20" s="7"/>
      <c r="E20" s="7"/>
      <c r="F20" s="7"/>
      <c r="G20" s="6"/>
      <c r="H20" s="6"/>
      <c r="I20" s="6"/>
      <c r="J20" s="6"/>
      <c r="K20" s="6"/>
      <c r="L20" s="6"/>
      <c r="M20" s="6"/>
      <c r="N20" s="6"/>
      <c r="O20" s="6"/>
      <c r="P20" s="6"/>
      <c r="Q20" s="6"/>
      <c r="R20" s="6"/>
      <c r="S20" s="6"/>
      <c r="T20" s="6"/>
      <c r="U20" s="6"/>
      <c r="V20" s="6"/>
      <c r="W20" s="6"/>
      <c r="X20" s="6"/>
      <c r="Y20" s="6"/>
      <c r="Z20" s="6"/>
      <c r="AA20" s="6"/>
    </row>
    <row r="21">
      <c r="A21" s="7">
        <v>321.0</v>
      </c>
      <c r="B21" s="7" t="s">
        <v>243</v>
      </c>
      <c r="C21" s="7" t="s">
        <v>243</v>
      </c>
      <c r="D21" s="7"/>
      <c r="E21" s="7"/>
      <c r="F21" s="7"/>
      <c r="G21" s="6"/>
      <c r="H21" s="6"/>
      <c r="I21" s="6"/>
      <c r="J21" s="6"/>
      <c r="K21" s="6"/>
      <c r="L21" s="6"/>
      <c r="M21" s="6"/>
      <c r="N21" s="6"/>
      <c r="O21" s="6"/>
      <c r="P21" s="6"/>
      <c r="Q21" s="6"/>
      <c r="R21" s="6"/>
      <c r="S21" s="6"/>
      <c r="T21" s="6"/>
      <c r="U21" s="6"/>
      <c r="V21" s="6"/>
      <c r="W21" s="6"/>
      <c r="X21" s="6"/>
      <c r="Y21" s="6"/>
      <c r="Z21" s="6"/>
      <c r="AA21" s="6"/>
    </row>
    <row r="22">
      <c r="A22" s="7">
        <v>322.0</v>
      </c>
      <c r="B22" s="7" t="s">
        <v>247</v>
      </c>
      <c r="C22" s="7" t="s">
        <v>247</v>
      </c>
      <c r="D22" s="7"/>
      <c r="E22" s="7"/>
      <c r="F22" s="7"/>
      <c r="G22" s="6"/>
      <c r="H22" s="6"/>
      <c r="I22" s="6"/>
      <c r="J22" s="6"/>
      <c r="K22" s="6"/>
      <c r="L22" s="6"/>
      <c r="M22" s="6"/>
      <c r="N22" s="6"/>
      <c r="O22" s="6"/>
      <c r="P22" s="6"/>
      <c r="Q22" s="6"/>
      <c r="R22" s="6"/>
      <c r="S22" s="6"/>
      <c r="T22" s="6"/>
      <c r="U22" s="6"/>
      <c r="V22" s="6"/>
      <c r="W22" s="6"/>
      <c r="X22" s="6"/>
      <c r="Y22" s="6"/>
      <c r="Z22" s="6"/>
      <c r="AA22" s="6"/>
    </row>
    <row r="23">
      <c r="A23" s="7">
        <v>323.0</v>
      </c>
      <c r="B23" s="7" t="s">
        <v>250</v>
      </c>
      <c r="C23" s="7" t="s">
        <v>250</v>
      </c>
      <c r="D23" s="7"/>
      <c r="E23" s="7"/>
      <c r="F23" s="7"/>
      <c r="G23" s="6"/>
      <c r="H23" s="6"/>
      <c r="I23" s="6"/>
      <c r="J23" s="6"/>
      <c r="K23" s="6"/>
      <c r="L23" s="6"/>
      <c r="M23" s="6"/>
      <c r="N23" s="6"/>
      <c r="O23" s="6"/>
      <c r="P23" s="6"/>
      <c r="Q23" s="6"/>
      <c r="R23" s="6"/>
      <c r="S23" s="6"/>
      <c r="T23" s="6"/>
      <c r="U23" s="6"/>
      <c r="V23" s="6"/>
      <c r="W23" s="6"/>
      <c r="X23" s="6"/>
      <c r="Y23" s="6"/>
      <c r="Z23" s="6"/>
      <c r="AA23" s="6"/>
    </row>
    <row r="24">
      <c r="A24" s="7">
        <v>324.0</v>
      </c>
      <c r="B24" s="7" t="s">
        <v>255</v>
      </c>
      <c r="C24" s="7" t="s">
        <v>255</v>
      </c>
      <c r="D24" s="25"/>
      <c r="E24" s="6"/>
      <c r="F24" s="6"/>
      <c r="G24" s="6"/>
      <c r="H24" s="6"/>
      <c r="I24" s="6"/>
      <c r="J24" s="6"/>
      <c r="K24" s="6"/>
      <c r="L24" s="6"/>
      <c r="M24" s="6"/>
      <c r="N24" s="6"/>
      <c r="O24" s="6"/>
      <c r="P24" s="6"/>
      <c r="Q24" s="6"/>
      <c r="R24" s="6"/>
      <c r="S24" s="6"/>
      <c r="T24" s="6"/>
      <c r="U24" s="6"/>
      <c r="V24" s="6"/>
      <c r="W24" s="6"/>
      <c r="X24" s="6"/>
      <c r="Y24" s="6"/>
      <c r="Z24" s="6"/>
      <c r="AA24" s="6"/>
    </row>
    <row r="25">
      <c r="A25" s="7">
        <v>325.0</v>
      </c>
      <c r="B25" s="7" t="s">
        <v>258</v>
      </c>
      <c r="C25" s="7" t="s">
        <v>258</v>
      </c>
      <c r="D25" s="25"/>
      <c r="E25" s="6"/>
      <c r="F25" s="6"/>
      <c r="G25" s="6"/>
      <c r="H25" s="6"/>
      <c r="I25" s="6"/>
      <c r="J25" s="6"/>
      <c r="K25" s="6"/>
      <c r="L25" s="6"/>
      <c r="M25" s="6"/>
      <c r="N25" s="6"/>
      <c r="O25" s="6"/>
      <c r="P25" s="6"/>
      <c r="Q25" s="6"/>
      <c r="R25" s="6"/>
      <c r="S25" s="6"/>
      <c r="T25" s="6"/>
      <c r="U25" s="6"/>
      <c r="V25" s="6"/>
      <c r="W25" s="6"/>
      <c r="X25" s="6"/>
      <c r="Y25" s="6"/>
      <c r="Z25" s="6"/>
      <c r="AA25" s="6"/>
    </row>
    <row r="26">
      <c r="A26" s="7">
        <v>326.0</v>
      </c>
      <c r="B26" s="7" t="s">
        <v>263</v>
      </c>
      <c r="C26" s="7" t="s">
        <v>263</v>
      </c>
      <c r="D26" s="25"/>
      <c r="E26" s="6"/>
      <c r="F26" s="6"/>
      <c r="G26" s="6"/>
      <c r="H26" s="6"/>
      <c r="I26" s="6"/>
      <c r="J26" s="6"/>
      <c r="K26" s="6"/>
      <c r="L26" s="6"/>
      <c r="M26" s="6"/>
      <c r="N26" s="6"/>
      <c r="O26" s="6"/>
      <c r="P26" s="6"/>
      <c r="Q26" s="6"/>
      <c r="R26" s="6"/>
      <c r="S26" s="6"/>
      <c r="T26" s="6"/>
      <c r="U26" s="6"/>
      <c r="V26" s="6"/>
      <c r="W26" s="6"/>
      <c r="X26" s="6"/>
      <c r="Y26" s="6"/>
      <c r="Z26" s="6"/>
      <c r="AA26" s="6"/>
    </row>
    <row r="27">
      <c r="A27" s="7">
        <v>327.0</v>
      </c>
      <c r="B27" s="7" t="s">
        <v>268</v>
      </c>
      <c r="C27" s="7" t="s">
        <v>268</v>
      </c>
      <c r="D27" s="7"/>
      <c r="E27" s="6"/>
      <c r="F27" s="7"/>
      <c r="G27" s="6"/>
      <c r="H27" s="6"/>
      <c r="I27" s="6"/>
      <c r="J27" s="6"/>
      <c r="K27" s="6"/>
      <c r="L27" s="6"/>
      <c r="M27" s="6"/>
      <c r="N27" s="6"/>
      <c r="O27" s="6"/>
      <c r="P27" s="6"/>
      <c r="Q27" s="6"/>
      <c r="R27" s="6"/>
      <c r="S27" s="6"/>
      <c r="T27" s="6"/>
      <c r="U27" s="6"/>
      <c r="V27" s="6"/>
      <c r="W27" s="6"/>
      <c r="X27" s="6"/>
      <c r="Y27" s="6"/>
      <c r="Z27" s="6"/>
      <c r="AA27" s="6"/>
    </row>
    <row r="28">
      <c r="A28" s="7">
        <v>328.0</v>
      </c>
      <c r="B28" s="33" t="s">
        <v>271</v>
      </c>
      <c r="C28" s="33" t="s">
        <v>271</v>
      </c>
      <c r="D28" s="25"/>
      <c r="E28" s="6"/>
      <c r="F28" s="7"/>
      <c r="G28" s="6"/>
      <c r="H28" s="6"/>
      <c r="I28" s="6"/>
      <c r="J28" s="6"/>
      <c r="K28" s="6"/>
      <c r="L28" s="6"/>
      <c r="M28" s="6"/>
      <c r="N28" s="6"/>
      <c r="O28" s="6"/>
      <c r="P28" s="6"/>
      <c r="Q28" s="6"/>
      <c r="R28" s="6"/>
      <c r="S28" s="6"/>
      <c r="T28" s="6"/>
      <c r="U28" s="6"/>
      <c r="V28" s="6"/>
      <c r="W28" s="6"/>
      <c r="X28" s="6"/>
      <c r="Y28" s="6"/>
      <c r="Z28" s="6"/>
      <c r="AA28" s="6"/>
    </row>
    <row r="29">
      <c r="A29" s="7">
        <v>329.0</v>
      </c>
      <c r="B29" s="33" t="s">
        <v>276</v>
      </c>
      <c r="C29" s="33" t="s">
        <v>276</v>
      </c>
      <c r="D29" s="25"/>
      <c r="E29" s="6"/>
      <c r="F29" s="7"/>
      <c r="G29" s="6"/>
      <c r="H29" s="6"/>
      <c r="I29" s="6"/>
      <c r="J29" s="6"/>
      <c r="K29" s="6"/>
      <c r="L29" s="6"/>
      <c r="M29" s="6"/>
      <c r="N29" s="6"/>
      <c r="O29" s="6"/>
      <c r="P29" s="6"/>
      <c r="Q29" s="6"/>
      <c r="R29" s="6"/>
      <c r="S29" s="6"/>
      <c r="T29" s="6"/>
      <c r="U29" s="6"/>
      <c r="V29" s="6"/>
      <c r="W29" s="6"/>
      <c r="X29" s="6"/>
      <c r="Y29" s="6"/>
      <c r="Z29" s="6"/>
      <c r="AA29" s="6"/>
    </row>
    <row r="30">
      <c r="A30" s="7">
        <v>330.0</v>
      </c>
      <c r="B30" s="33" t="s">
        <v>279</v>
      </c>
      <c r="C30" s="33" t="s">
        <v>279</v>
      </c>
      <c r="D30" s="25"/>
      <c r="E30" s="6"/>
      <c r="F30" s="7"/>
      <c r="G30" s="6"/>
      <c r="H30" s="6"/>
      <c r="I30" s="6"/>
      <c r="J30" s="6"/>
      <c r="K30" s="6"/>
      <c r="L30" s="6"/>
      <c r="M30" s="6"/>
      <c r="N30" s="6"/>
      <c r="O30" s="6"/>
      <c r="P30" s="6"/>
      <c r="Q30" s="6"/>
      <c r="R30" s="6"/>
      <c r="S30" s="6"/>
      <c r="T30" s="6"/>
      <c r="U30" s="6"/>
      <c r="V30" s="6"/>
      <c r="W30" s="6"/>
      <c r="X30" s="6"/>
      <c r="Y30" s="6"/>
      <c r="Z30" s="6"/>
      <c r="AA30" s="6"/>
    </row>
    <row r="31">
      <c r="A31" s="7">
        <v>101.0</v>
      </c>
      <c r="B31" s="7" t="s">
        <v>19</v>
      </c>
      <c r="C31" s="7" t="s">
        <v>19</v>
      </c>
      <c r="D31" s="25"/>
      <c r="E31" s="6"/>
      <c r="F31" s="6"/>
      <c r="G31" s="6"/>
      <c r="H31" s="6"/>
      <c r="I31" s="6"/>
      <c r="J31" s="6"/>
      <c r="K31" s="6"/>
      <c r="L31" s="6"/>
      <c r="M31" s="6"/>
      <c r="N31" s="6"/>
      <c r="O31" s="6"/>
      <c r="P31" s="6"/>
      <c r="Q31" s="6"/>
      <c r="R31" s="6"/>
      <c r="S31" s="6"/>
      <c r="T31" s="6"/>
      <c r="U31" s="6"/>
      <c r="V31" s="6"/>
      <c r="W31" s="6"/>
      <c r="X31" s="6"/>
      <c r="Y31" s="6"/>
      <c r="Z31" s="6"/>
      <c r="AA31" s="6"/>
    </row>
    <row r="32">
      <c r="A32" s="7">
        <v>102.0</v>
      </c>
      <c r="B32" s="7" t="s">
        <v>25</v>
      </c>
      <c r="C32" s="7" t="s">
        <v>25</v>
      </c>
      <c r="D32" s="25"/>
      <c r="E32" s="6"/>
      <c r="F32" s="6"/>
      <c r="G32" s="6"/>
      <c r="H32" s="6"/>
      <c r="I32" s="6"/>
      <c r="J32" s="6"/>
      <c r="K32" s="6"/>
      <c r="L32" s="6"/>
      <c r="M32" s="6"/>
      <c r="N32" s="6"/>
      <c r="O32" s="6"/>
      <c r="P32" s="6"/>
      <c r="Q32" s="6"/>
      <c r="R32" s="6"/>
      <c r="S32" s="6"/>
      <c r="T32" s="6"/>
      <c r="U32" s="6"/>
      <c r="V32" s="6"/>
      <c r="W32" s="6"/>
      <c r="X32" s="6"/>
      <c r="Y32" s="6"/>
      <c r="Z32" s="6"/>
      <c r="AA32" s="6"/>
    </row>
    <row r="33">
      <c r="A33" s="8">
        <v>103.0</v>
      </c>
      <c r="B33" s="7" t="s">
        <v>30</v>
      </c>
      <c r="C33" s="7" t="s">
        <v>30</v>
      </c>
      <c r="D33" s="25"/>
      <c r="E33" s="6"/>
      <c r="F33" s="6"/>
      <c r="G33" s="6"/>
      <c r="H33" s="6"/>
      <c r="I33" s="6"/>
      <c r="J33" s="6"/>
      <c r="K33" s="6"/>
      <c r="L33" s="6"/>
      <c r="M33" s="6"/>
      <c r="N33" s="6"/>
      <c r="O33" s="6"/>
      <c r="P33" s="6"/>
      <c r="Q33" s="6"/>
      <c r="R33" s="6"/>
      <c r="S33" s="6"/>
      <c r="T33" s="6"/>
      <c r="U33" s="6"/>
      <c r="V33" s="6"/>
      <c r="W33" s="6"/>
      <c r="X33" s="6"/>
      <c r="Y33" s="6"/>
      <c r="Z33" s="6"/>
      <c r="AA33" s="6"/>
    </row>
    <row r="34">
      <c r="A34" s="7">
        <v>104.0</v>
      </c>
      <c r="B34" s="7" t="s">
        <v>34</v>
      </c>
      <c r="C34" s="7" t="s">
        <v>34</v>
      </c>
      <c r="D34" s="25"/>
      <c r="E34" s="6"/>
      <c r="F34" s="6"/>
      <c r="G34" s="6"/>
      <c r="H34" s="6"/>
      <c r="I34" s="6"/>
      <c r="J34" s="6"/>
      <c r="K34" s="6"/>
      <c r="L34" s="6"/>
      <c r="M34" s="6"/>
      <c r="N34" s="6"/>
      <c r="O34" s="6"/>
      <c r="P34" s="6"/>
      <c r="Q34" s="6"/>
      <c r="R34" s="6"/>
      <c r="S34" s="6"/>
      <c r="T34" s="6"/>
      <c r="U34" s="6"/>
      <c r="V34" s="6"/>
      <c r="W34" s="6"/>
      <c r="X34" s="6"/>
      <c r="Y34" s="6"/>
      <c r="Z34" s="6"/>
      <c r="AA34" s="6"/>
    </row>
    <row r="35">
      <c r="A35" s="7">
        <v>105.0</v>
      </c>
      <c r="B35" s="7" t="s">
        <v>39</v>
      </c>
      <c r="C35" s="7" t="s">
        <v>39</v>
      </c>
      <c r="D35" s="25"/>
      <c r="E35" s="6"/>
      <c r="F35" s="6"/>
      <c r="G35" s="6"/>
      <c r="H35" s="6"/>
      <c r="I35" s="6"/>
      <c r="J35" s="6"/>
      <c r="K35" s="6"/>
      <c r="L35" s="6"/>
      <c r="M35" s="6"/>
      <c r="N35" s="6"/>
      <c r="O35" s="6"/>
      <c r="P35" s="6"/>
      <c r="Q35" s="6"/>
      <c r="R35" s="6"/>
      <c r="S35" s="6"/>
      <c r="T35" s="6"/>
      <c r="U35" s="6"/>
      <c r="V35" s="6"/>
      <c r="W35" s="6"/>
      <c r="X35" s="6"/>
      <c r="Y35" s="6"/>
      <c r="Z35" s="6"/>
      <c r="AA35" s="6"/>
    </row>
    <row r="36">
      <c r="A36" s="7">
        <v>106.0</v>
      </c>
      <c r="B36" s="7" t="s">
        <v>42</v>
      </c>
      <c r="C36" s="7" t="s">
        <v>42</v>
      </c>
      <c r="D36" s="25"/>
      <c r="E36" s="6"/>
      <c r="F36" s="6"/>
      <c r="G36" s="6"/>
      <c r="H36" s="6"/>
      <c r="I36" s="6"/>
      <c r="J36" s="6"/>
      <c r="K36" s="6"/>
      <c r="L36" s="6"/>
      <c r="M36" s="6"/>
      <c r="N36" s="6"/>
      <c r="O36" s="6"/>
      <c r="P36" s="6"/>
      <c r="Q36" s="6"/>
      <c r="R36" s="6"/>
      <c r="S36" s="6"/>
      <c r="T36" s="6"/>
      <c r="U36" s="6"/>
      <c r="V36" s="6"/>
      <c r="W36" s="6"/>
      <c r="X36" s="6"/>
      <c r="Y36" s="6"/>
      <c r="Z36" s="6"/>
      <c r="AA36" s="6"/>
    </row>
    <row r="37">
      <c r="A37" s="7">
        <v>107.0</v>
      </c>
      <c r="B37" s="7" t="s">
        <v>48</v>
      </c>
      <c r="C37" s="7" t="s">
        <v>48</v>
      </c>
      <c r="D37" s="25"/>
      <c r="E37" s="6"/>
      <c r="F37" s="6"/>
      <c r="G37" s="6"/>
      <c r="H37" s="6"/>
      <c r="I37" s="6"/>
      <c r="J37" s="6"/>
      <c r="K37" s="6"/>
      <c r="L37" s="6"/>
      <c r="M37" s="6"/>
      <c r="N37" s="6"/>
      <c r="O37" s="6"/>
      <c r="P37" s="6"/>
      <c r="Q37" s="6"/>
      <c r="R37" s="6"/>
      <c r="S37" s="6"/>
      <c r="T37" s="6"/>
      <c r="U37" s="6"/>
      <c r="V37" s="6"/>
      <c r="W37" s="6"/>
      <c r="X37" s="6"/>
      <c r="Y37" s="6"/>
      <c r="Z37" s="6"/>
      <c r="AA37" s="6"/>
    </row>
    <row r="38">
      <c r="A38" s="7">
        <v>108.0</v>
      </c>
      <c r="B38" s="7" t="s">
        <v>52</v>
      </c>
      <c r="C38" s="7" t="s">
        <v>52</v>
      </c>
      <c r="D38" s="25"/>
      <c r="E38" s="6"/>
      <c r="F38" s="6"/>
      <c r="G38" s="6"/>
      <c r="H38" s="6"/>
      <c r="I38" s="6"/>
      <c r="J38" s="6"/>
      <c r="K38" s="6"/>
      <c r="L38" s="6"/>
      <c r="M38" s="6"/>
      <c r="N38" s="6"/>
      <c r="O38" s="6"/>
      <c r="P38" s="6"/>
      <c r="Q38" s="6"/>
      <c r="R38" s="6"/>
      <c r="S38" s="6"/>
      <c r="T38" s="6"/>
      <c r="U38" s="6"/>
      <c r="V38" s="6"/>
      <c r="W38" s="6"/>
      <c r="X38" s="6"/>
      <c r="Y38" s="6"/>
      <c r="Z38" s="6"/>
      <c r="AA38" s="6"/>
    </row>
    <row r="39">
      <c r="A39" s="7">
        <v>109.0</v>
      </c>
      <c r="B39" s="7" t="s">
        <v>56</v>
      </c>
      <c r="C39" s="7" t="s">
        <v>56</v>
      </c>
      <c r="D39" s="25"/>
      <c r="E39" s="6"/>
      <c r="F39" s="6"/>
      <c r="G39" s="6"/>
      <c r="H39" s="6"/>
      <c r="I39" s="6"/>
      <c r="J39" s="6"/>
      <c r="K39" s="6"/>
      <c r="L39" s="6"/>
      <c r="M39" s="6"/>
      <c r="N39" s="6"/>
      <c r="O39" s="6"/>
      <c r="P39" s="6"/>
      <c r="Q39" s="6"/>
      <c r="R39" s="6"/>
      <c r="S39" s="6"/>
      <c r="T39" s="6"/>
      <c r="U39" s="6"/>
      <c r="V39" s="6"/>
      <c r="W39" s="6"/>
      <c r="X39" s="6"/>
      <c r="Y39" s="6"/>
      <c r="Z39" s="6"/>
      <c r="AA39" s="6"/>
    </row>
    <row r="40">
      <c r="A40" s="7">
        <v>110.0</v>
      </c>
      <c r="B40" s="7" t="s">
        <v>60</v>
      </c>
      <c r="C40" s="7" t="s">
        <v>60</v>
      </c>
      <c r="D40" s="25"/>
      <c r="E40" s="6"/>
      <c r="F40" s="6"/>
      <c r="G40" s="6"/>
      <c r="H40" s="6"/>
      <c r="I40" s="6"/>
      <c r="J40" s="6"/>
      <c r="K40" s="6"/>
      <c r="L40" s="6"/>
      <c r="M40" s="6"/>
      <c r="N40" s="6"/>
      <c r="O40" s="6"/>
      <c r="P40" s="6"/>
      <c r="Q40" s="6"/>
      <c r="R40" s="6"/>
      <c r="S40" s="6"/>
      <c r="T40" s="6"/>
      <c r="U40" s="6"/>
      <c r="V40" s="6"/>
      <c r="W40" s="6"/>
      <c r="X40" s="6"/>
      <c r="Y40" s="6"/>
      <c r="Z40" s="6"/>
      <c r="AA40" s="6"/>
    </row>
    <row r="41">
      <c r="A41" s="7">
        <v>111.0</v>
      </c>
      <c r="B41" s="7" t="s">
        <v>66</v>
      </c>
      <c r="C41" s="7" t="s">
        <v>66</v>
      </c>
      <c r="D41" s="25"/>
      <c r="E41" s="6"/>
      <c r="F41" s="6"/>
      <c r="G41" s="6"/>
      <c r="H41" s="6"/>
      <c r="I41" s="6"/>
      <c r="J41" s="6"/>
      <c r="K41" s="6"/>
      <c r="L41" s="6"/>
      <c r="M41" s="6"/>
      <c r="N41" s="6"/>
      <c r="O41" s="6"/>
      <c r="P41" s="6"/>
      <c r="Q41" s="6"/>
      <c r="R41" s="6"/>
      <c r="S41" s="6"/>
      <c r="T41" s="6"/>
      <c r="U41" s="6"/>
      <c r="V41" s="6"/>
      <c r="W41" s="6"/>
      <c r="X41" s="6"/>
      <c r="Y41" s="6"/>
      <c r="Z41" s="6"/>
      <c r="AA41" s="6"/>
    </row>
    <row r="42">
      <c r="A42" s="7">
        <v>112.0</v>
      </c>
      <c r="B42" s="7" t="s">
        <v>71</v>
      </c>
      <c r="C42" s="7" t="s">
        <v>71</v>
      </c>
      <c r="D42" s="25"/>
      <c r="E42" s="6"/>
      <c r="F42" s="6"/>
      <c r="G42" s="6"/>
      <c r="H42" s="6"/>
      <c r="I42" s="6"/>
      <c r="J42" s="6"/>
      <c r="K42" s="6"/>
      <c r="L42" s="6"/>
      <c r="M42" s="6"/>
      <c r="N42" s="6"/>
      <c r="O42" s="6"/>
      <c r="P42" s="6"/>
      <c r="Q42" s="6"/>
      <c r="R42" s="6"/>
      <c r="S42" s="6"/>
      <c r="T42" s="6"/>
      <c r="U42" s="6"/>
      <c r="V42" s="6"/>
      <c r="W42" s="6"/>
      <c r="X42" s="6"/>
      <c r="Y42" s="6"/>
      <c r="Z42" s="6"/>
      <c r="AA42" s="6"/>
    </row>
    <row r="43">
      <c r="A43" s="7">
        <v>113.0</v>
      </c>
      <c r="B43" s="7" t="s">
        <v>76</v>
      </c>
      <c r="C43" s="7" t="s">
        <v>76</v>
      </c>
      <c r="D43" s="25"/>
      <c r="E43" s="6"/>
      <c r="F43" s="6"/>
      <c r="G43" s="6"/>
      <c r="H43" s="6"/>
      <c r="I43" s="6"/>
      <c r="J43" s="6"/>
      <c r="K43" s="6"/>
      <c r="L43" s="6"/>
      <c r="M43" s="6"/>
      <c r="N43" s="6"/>
      <c r="O43" s="6"/>
      <c r="P43" s="6"/>
      <c r="Q43" s="6"/>
      <c r="R43" s="6"/>
      <c r="S43" s="6"/>
      <c r="T43" s="6"/>
      <c r="U43" s="6"/>
      <c r="V43" s="6"/>
      <c r="W43" s="6"/>
      <c r="X43" s="6"/>
      <c r="Y43" s="6"/>
      <c r="Z43" s="6"/>
      <c r="AA43" s="6"/>
    </row>
    <row r="44">
      <c r="A44" s="7">
        <v>114.0</v>
      </c>
      <c r="B44" s="7" t="s">
        <v>80</v>
      </c>
      <c r="C44" s="7" t="s">
        <v>80</v>
      </c>
      <c r="D44" s="25"/>
      <c r="E44" s="6"/>
      <c r="F44" s="6"/>
      <c r="G44" s="6"/>
      <c r="H44" s="6"/>
      <c r="I44" s="6"/>
      <c r="J44" s="6"/>
      <c r="K44" s="6"/>
      <c r="L44" s="6"/>
      <c r="M44" s="6"/>
      <c r="N44" s="6"/>
      <c r="O44" s="6"/>
      <c r="P44" s="6"/>
      <c r="Q44" s="6"/>
      <c r="R44" s="6"/>
      <c r="S44" s="6"/>
      <c r="T44" s="6"/>
      <c r="U44" s="6"/>
      <c r="V44" s="6"/>
      <c r="W44" s="6"/>
      <c r="X44" s="6"/>
      <c r="Y44" s="6"/>
      <c r="Z44" s="6"/>
      <c r="AA44" s="6"/>
    </row>
    <row r="45">
      <c r="A45" s="7">
        <v>115.0</v>
      </c>
      <c r="B45" s="7" t="s">
        <v>86</v>
      </c>
      <c r="C45" s="7" t="s">
        <v>86</v>
      </c>
      <c r="D45" s="25"/>
      <c r="E45" s="6"/>
      <c r="F45" s="6"/>
      <c r="G45" s="6"/>
      <c r="H45" s="6"/>
      <c r="I45" s="6"/>
      <c r="J45" s="6"/>
      <c r="K45" s="6"/>
      <c r="L45" s="6"/>
      <c r="M45" s="6"/>
      <c r="N45" s="6"/>
      <c r="O45" s="6"/>
      <c r="P45" s="6"/>
      <c r="Q45" s="6"/>
      <c r="R45" s="6"/>
      <c r="S45" s="6"/>
      <c r="T45" s="6"/>
      <c r="U45" s="6"/>
      <c r="V45" s="6"/>
      <c r="W45" s="6"/>
      <c r="X45" s="6"/>
      <c r="Y45" s="6"/>
      <c r="Z45" s="6"/>
      <c r="AA45" s="6"/>
    </row>
    <row r="46">
      <c r="A46" s="7">
        <v>116.0</v>
      </c>
      <c r="B46" s="7" t="s">
        <v>91</v>
      </c>
      <c r="C46" s="7" t="s">
        <v>91</v>
      </c>
      <c r="D46" s="25"/>
      <c r="E46" s="6"/>
      <c r="F46" s="6"/>
      <c r="G46" s="6"/>
      <c r="H46" s="6"/>
      <c r="I46" s="6"/>
      <c r="J46" s="6"/>
      <c r="K46" s="6"/>
      <c r="L46" s="6"/>
      <c r="M46" s="6"/>
      <c r="N46" s="6"/>
      <c r="O46" s="6"/>
      <c r="P46" s="6"/>
      <c r="Q46" s="6"/>
      <c r="R46" s="6"/>
      <c r="S46" s="6"/>
      <c r="T46" s="6"/>
      <c r="U46" s="6"/>
      <c r="V46" s="6"/>
      <c r="W46" s="6"/>
      <c r="X46" s="6"/>
      <c r="Y46" s="6"/>
      <c r="Z46" s="6"/>
      <c r="AA46" s="6"/>
    </row>
    <row r="47">
      <c r="A47" s="7">
        <v>117.0</v>
      </c>
      <c r="B47" s="7" t="s">
        <v>96</v>
      </c>
      <c r="C47" s="7" t="s">
        <v>96</v>
      </c>
      <c r="D47" s="25"/>
      <c r="E47" s="6"/>
      <c r="F47" s="6"/>
      <c r="G47" s="6"/>
      <c r="H47" s="6"/>
      <c r="I47" s="6"/>
      <c r="J47" s="6"/>
      <c r="K47" s="6"/>
      <c r="L47" s="6"/>
      <c r="M47" s="6"/>
      <c r="N47" s="6"/>
      <c r="O47" s="6"/>
      <c r="P47" s="6"/>
      <c r="Q47" s="6"/>
      <c r="R47" s="6"/>
      <c r="S47" s="6"/>
      <c r="T47" s="6"/>
      <c r="U47" s="6"/>
      <c r="V47" s="6"/>
      <c r="W47" s="6"/>
      <c r="X47" s="6"/>
      <c r="Y47" s="6"/>
      <c r="Z47" s="6"/>
      <c r="AA47" s="6"/>
    </row>
    <row r="48">
      <c r="A48" s="7">
        <v>118.0</v>
      </c>
      <c r="B48" s="7" t="s">
        <v>101</v>
      </c>
      <c r="C48" s="7" t="s">
        <v>101</v>
      </c>
      <c r="D48" s="25"/>
      <c r="E48" s="6"/>
      <c r="F48" s="6"/>
      <c r="G48" s="6"/>
      <c r="H48" s="6"/>
      <c r="I48" s="6"/>
      <c r="J48" s="6"/>
      <c r="K48" s="6"/>
      <c r="L48" s="6"/>
      <c r="M48" s="6"/>
      <c r="N48" s="6"/>
      <c r="O48" s="6"/>
      <c r="P48" s="6"/>
      <c r="Q48" s="6"/>
      <c r="R48" s="6"/>
      <c r="S48" s="6"/>
      <c r="T48" s="6"/>
      <c r="U48" s="6"/>
      <c r="V48" s="6"/>
      <c r="W48" s="6"/>
      <c r="X48" s="6"/>
      <c r="Y48" s="6"/>
      <c r="Z48" s="6"/>
      <c r="AA48" s="6"/>
    </row>
    <row r="49">
      <c r="A49" s="7">
        <v>119.0</v>
      </c>
      <c r="B49" s="7" t="s">
        <v>106</v>
      </c>
      <c r="C49" s="7" t="s">
        <v>106</v>
      </c>
      <c r="D49" s="25"/>
      <c r="E49" s="6"/>
      <c r="F49" s="6"/>
      <c r="G49" s="6"/>
      <c r="H49" s="6"/>
      <c r="I49" s="6"/>
      <c r="J49" s="6"/>
      <c r="K49" s="6"/>
      <c r="L49" s="6"/>
      <c r="M49" s="6"/>
      <c r="N49" s="6"/>
      <c r="O49" s="6"/>
      <c r="P49" s="6"/>
      <c r="Q49" s="6"/>
      <c r="R49" s="6"/>
      <c r="S49" s="6"/>
      <c r="T49" s="6"/>
      <c r="U49" s="6"/>
      <c r="V49" s="6"/>
      <c r="W49" s="6"/>
      <c r="X49" s="6"/>
      <c r="Y49" s="6"/>
      <c r="Z49" s="6"/>
      <c r="AA49" s="6"/>
    </row>
    <row r="50">
      <c r="A50" s="7">
        <v>120.0</v>
      </c>
      <c r="B50" s="7" t="s">
        <v>110</v>
      </c>
      <c r="C50" s="7" t="s">
        <v>110</v>
      </c>
      <c r="D50" s="25"/>
      <c r="E50" s="6"/>
      <c r="F50" s="6"/>
      <c r="G50" s="6"/>
      <c r="H50" s="6"/>
      <c r="I50" s="6"/>
      <c r="J50" s="6"/>
      <c r="K50" s="6"/>
      <c r="L50" s="6"/>
      <c r="M50" s="6"/>
      <c r="N50" s="6"/>
      <c r="O50" s="6"/>
      <c r="P50" s="6"/>
      <c r="Q50" s="6"/>
      <c r="R50" s="6"/>
      <c r="S50" s="6"/>
      <c r="T50" s="6"/>
      <c r="U50" s="6"/>
      <c r="V50" s="6"/>
      <c r="W50" s="6"/>
      <c r="X50" s="6"/>
      <c r="Y50" s="6"/>
      <c r="Z50" s="6"/>
      <c r="AA50" s="6"/>
    </row>
    <row r="51">
      <c r="A51" s="7">
        <v>121.0</v>
      </c>
      <c r="B51" s="7" t="s">
        <v>114</v>
      </c>
      <c r="C51" s="7" t="s">
        <v>114</v>
      </c>
      <c r="D51" s="25"/>
      <c r="E51" s="6"/>
      <c r="F51" s="6"/>
      <c r="G51" s="7"/>
      <c r="I51" s="6"/>
      <c r="J51" s="6"/>
      <c r="K51" s="6"/>
      <c r="L51" s="6"/>
      <c r="M51" s="6"/>
      <c r="N51" s="6"/>
      <c r="O51" s="6"/>
      <c r="P51" s="6"/>
      <c r="Q51" s="6"/>
      <c r="R51" s="6"/>
      <c r="S51" s="6"/>
      <c r="T51" s="6"/>
      <c r="U51" s="6"/>
      <c r="V51" s="6"/>
      <c r="W51" s="6"/>
      <c r="X51" s="6"/>
      <c r="Y51" s="6"/>
      <c r="Z51" s="6"/>
      <c r="AA51" s="6"/>
    </row>
    <row r="52">
      <c r="A52" s="7">
        <v>122.0</v>
      </c>
      <c r="B52" s="7" t="s">
        <v>119</v>
      </c>
      <c r="C52" s="7" t="s">
        <v>119</v>
      </c>
      <c r="D52" s="25"/>
      <c r="E52" s="6"/>
      <c r="F52" s="6"/>
      <c r="G52" s="7"/>
      <c r="I52" s="6"/>
      <c r="J52" s="6"/>
      <c r="K52" s="6"/>
      <c r="L52" s="6"/>
      <c r="M52" s="6"/>
      <c r="N52" s="6"/>
      <c r="O52" s="6"/>
      <c r="P52" s="6"/>
      <c r="Q52" s="6"/>
      <c r="R52" s="6"/>
      <c r="S52" s="6"/>
      <c r="T52" s="6"/>
      <c r="U52" s="6"/>
      <c r="V52" s="6"/>
      <c r="W52" s="6"/>
      <c r="X52" s="6"/>
      <c r="Y52" s="6"/>
      <c r="Z52" s="6"/>
      <c r="AA52" s="6"/>
    </row>
    <row r="53">
      <c r="A53" s="7">
        <v>123.0</v>
      </c>
      <c r="B53" s="7" t="s">
        <v>123</v>
      </c>
      <c r="C53" s="7" t="s">
        <v>123</v>
      </c>
      <c r="D53" s="25"/>
      <c r="E53" s="6"/>
      <c r="F53" s="6"/>
      <c r="G53" s="7"/>
      <c r="I53" s="6"/>
      <c r="J53" s="6"/>
      <c r="K53" s="6"/>
      <c r="L53" s="6"/>
      <c r="M53" s="6"/>
      <c r="N53" s="6"/>
      <c r="O53" s="6"/>
      <c r="P53" s="6"/>
      <c r="Q53" s="6"/>
      <c r="R53" s="6"/>
      <c r="S53" s="6"/>
      <c r="T53" s="6"/>
      <c r="U53" s="6"/>
      <c r="V53" s="6"/>
      <c r="W53" s="6"/>
      <c r="X53" s="6"/>
      <c r="Y53" s="6"/>
      <c r="Z53" s="6"/>
      <c r="AA53" s="6"/>
    </row>
    <row r="54">
      <c r="A54" s="7">
        <v>124.0</v>
      </c>
      <c r="B54" s="7" t="s">
        <v>127</v>
      </c>
      <c r="C54" s="7" t="s">
        <v>127</v>
      </c>
      <c r="D54" s="25"/>
      <c r="E54" s="6"/>
      <c r="F54" s="6"/>
      <c r="G54" s="7"/>
      <c r="I54" s="6"/>
      <c r="J54" s="6"/>
      <c r="K54" s="6"/>
      <c r="L54" s="6"/>
      <c r="M54" s="6"/>
      <c r="N54" s="6"/>
      <c r="O54" s="6"/>
      <c r="P54" s="6"/>
      <c r="Q54" s="6"/>
      <c r="R54" s="6"/>
      <c r="S54" s="6"/>
      <c r="T54" s="6"/>
      <c r="U54" s="6"/>
      <c r="V54" s="6"/>
      <c r="W54" s="6"/>
      <c r="X54" s="6"/>
      <c r="Y54" s="6"/>
      <c r="Z54" s="6"/>
      <c r="AA54" s="6"/>
    </row>
    <row r="55">
      <c r="A55" s="7">
        <v>125.0</v>
      </c>
      <c r="B55" s="7" t="s">
        <v>132</v>
      </c>
      <c r="C55" s="7" t="s">
        <v>132</v>
      </c>
      <c r="D55" s="25"/>
      <c r="E55" s="6"/>
      <c r="F55" s="6"/>
      <c r="G55" s="6"/>
      <c r="H55" s="6"/>
      <c r="I55" s="6"/>
      <c r="J55" s="6"/>
      <c r="K55" s="6"/>
      <c r="L55" s="6"/>
      <c r="M55" s="6"/>
      <c r="N55" s="6"/>
      <c r="O55" s="6"/>
      <c r="P55" s="6"/>
      <c r="Q55" s="6"/>
      <c r="R55" s="6"/>
      <c r="S55" s="6"/>
      <c r="T55" s="6"/>
      <c r="U55" s="6"/>
      <c r="V55" s="6"/>
      <c r="W55" s="6"/>
      <c r="X55" s="6"/>
      <c r="Y55" s="6"/>
      <c r="Z55" s="6"/>
      <c r="AA55" s="6"/>
    </row>
    <row r="56">
      <c r="A56" s="7">
        <v>126.0</v>
      </c>
      <c r="B56" s="7" t="s">
        <v>136</v>
      </c>
      <c r="C56" s="7" t="s">
        <v>136</v>
      </c>
      <c r="D56" s="25"/>
      <c r="E56" s="6"/>
      <c r="F56" s="6"/>
      <c r="G56" s="6"/>
      <c r="H56" s="6"/>
      <c r="I56" s="6"/>
      <c r="J56" s="6"/>
      <c r="K56" s="6"/>
      <c r="L56" s="6"/>
      <c r="M56" s="6"/>
      <c r="N56" s="6"/>
      <c r="O56" s="6"/>
      <c r="P56" s="6"/>
      <c r="Q56" s="6"/>
      <c r="R56" s="6"/>
      <c r="S56" s="6"/>
      <c r="T56" s="6"/>
      <c r="U56" s="6"/>
      <c r="V56" s="6"/>
      <c r="W56" s="6"/>
      <c r="X56" s="6"/>
      <c r="Y56" s="6"/>
      <c r="Z56" s="6"/>
      <c r="AA56" s="6"/>
    </row>
    <row r="57">
      <c r="A57" s="7">
        <v>127.0</v>
      </c>
      <c r="B57" s="7" t="s">
        <v>141</v>
      </c>
      <c r="C57" s="7" t="s">
        <v>141</v>
      </c>
      <c r="D57" s="25"/>
      <c r="E57" s="6"/>
      <c r="F57" s="6"/>
      <c r="G57" s="6"/>
      <c r="H57" s="6"/>
      <c r="I57" s="6"/>
      <c r="J57" s="6"/>
      <c r="K57" s="6"/>
      <c r="L57" s="6"/>
      <c r="M57" s="6"/>
      <c r="N57" s="6"/>
      <c r="O57" s="6"/>
      <c r="P57" s="6"/>
      <c r="Q57" s="6"/>
      <c r="R57" s="6"/>
      <c r="S57" s="6"/>
      <c r="T57" s="6"/>
      <c r="U57" s="6"/>
      <c r="V57" s="6"/>
      <c r="W57" s="6"/>
      <c r="X57" s="6"/>
      <c r="Y57" s="6"/>
      <c r="Z57" s="6"/>
      <c r="AA57" s="6"/>
    </row>
    <row r="58">
      <c r="A58" s="7">
        <v>128.0</v>
      </c>
      <c r="B58" s="7" t="s">
        <v>146</v>
      </c>
      <c r="C58" s="7" t="s">
        <v>146</v>
      </c>
      <c r="D58" s="25"/>
      <c r="E58" s="6"/>
      <c r="F58" s="6"/>
      <c r="G58" s="6"/>
      <c r="H58" s="6"/>
      <c r="I58" s="6"/>
      <c r="J58" s="6"/>
      <c r="K58" s="6"/>
      <c r="L58" s="6"/>
      <c r="M58" s="6"/>
      <c r="N58" s="6"/>
      <c r="O58" s="6"/>
      <c r="P58" s="6"/>
      <c r="Q58" s="6"/>
      <c r="R58" s="6"/>
      <c r="S58" s="6"/>
      <c r="T58" s="6"/>
      <c r="U58" s="6"/>
      <c r="V58" s="6"/>
      <c r="W58" s="6"/>
      <c r="X58" s="6"/>
      <c r="Y58" s="6"/>
      <c r="Z58" s="6"/>
      <c r="AA58" s="6"/>
    </row>
    <row r="59">
      <c r="A59" s="7">
        <v>129.0</v>
      </c>
      <c r="B59" s="7" t="s">
        <v>151</v>
      </c>
      <c r="C59" s="7" t="s">
        <v>151</v>
      </c>
      <c r="D59" s="25"/>
      <c r="E59" s="6"/>
      <c r="F59" s="6"/>
      <c r="G59" s="6"/>
      <c r="H59" s="6"/>
      <c r="I59" s="6"/>
      <c r="J59" s="6"/>
      <c r="K59" s="6"/>
      <c r="L59" s="6"/>
      <c r="M59" s="6"/>
      <c r="N59" s="6"/>
      <c r="O59" s="6"/>
      <c r="P59" s="6"/>
      <c r="Q59" s="6"/>
      <c r="R59" s="6"/>
      <c r="S59" s="6"/>
      <c r="T59" s="6"/>
      <c r="U59" s="6"/>
      <c r="V59" s="6"/>
      <c r="W59" s="6"/>
      <c r="X59" s="6"/>
      <c r="Y59" s="6"/>
      <c r="Z59" s="6"/>
      <c r="AA59" s="6"/>
    </row>
    <row r="60">
      <c r="A60" s="7">
        <v>130.0</v>
      </c>
      <c r="B60" s="7" t="s">
        <v>157</v>
      </c>
      <c r="C60" s="7" t="s">
        <v>157</v>
      </c>
      <c r="D60" s="25"/>
      <c r="E60" s="6"/>
      <c r="F60" s="6"/>
      <c r="G60" s="6"/>
      <c r="H60" s="6"/>
      <c r="I60" s="6"/>
      <c r="J60" s="6"/>
      <c r="K60" s="6"/>
      <c r="L60" s="6"/>
      <c r="M60" s="6"/>
      <c r="N60" s="6"/>
      <c r="O60" s="6"/>
      <c r="P60" s="6"/>
      <c r="Q60" s="6"/>
      <c r="R60" s="6"/>
      <c r="S60" s="6"/>
      <c r="T60" s="6"/>
      <c r="U60" s="6"/>
      <c r="V60" s="6"/>
      <c r="W60" s="6"/>
      <c r="X60" s="6"/>
      <c r="Y60" s="6"/>
      <c r="Z60" s="6"/>
      <c r="AA60" s="6"/>
    </row>
    <row r="61">
      <c r="A61" s="7">
        <v>401.0</v>
      </c>
      <c r="B61" s="7" t="s">
        <v>287</v>
      </c>
      <c r="C61" s="7"/>
      <c r="D61" s="25"/>
      <c r="E61" s="6"/>
      <c r="F61" s="6"/>
      <c r="G61" s="6"/>
      <c r="H61" s="6"/>
      <c r="I61" s="6"/>
      <c r="J61" s="6"/>
      <c r="K61" s="6"/>
      <c r="L61" s="6"/>
      <c r="M61" s="6"/>
      <c r="N61" s="6"/>
      <c r="O61" s="6"/>
      <c r="P61" s="6"/>
      <c r="Q61" s="6"/>
      <c r="R61" s="6"/>
      <c r="S61" s="6"/>
      <c r="T61" s="6"/>
      <c r="U61" s="6"/>
      <c r="V61" s="6"/>
      <c r="W61" s="6"/>
      <c r="X61" s="6"/>
      <c r="Y61" s="6"/>
      <c r="Z61" s="6"/>
      <c r="AA61" s="6"/>
    </row>
    <row r="62">
      <c r="A62" s="7">
        <v>402.0</v>
      </c>
      <c r="B62" s="7" t="s">
        <v>292</v>
      </c>
      <c r="C62" s="7"/>
      <c r="D62" s="25"/>
      <c r="E62" s="6"/>
      <c r="F62" s="6"/>
      <c r="G62" s="6"/>
      <c r="H62" s="6"/>
      <c r="I62" s="6"/>
      <c r="J62" s="6"/>
      <c r="K62" s="6"/>
      <c r="L62" s="6"/>
      <c r="M62" s="6"/>
      <c r="N62" s="6"/>
      <c r="O62" s="6"/>
      <c r="P62" s="6"/>
      <c r="Q62" s="6"/>
      <c r="R62" s="6"/>
      <c r="S62" s="6"/>
      <c r="T62" s="6"/>
      <c r="U62" s="6"/>
      <c r="V62" s="6"/>
      <c r="W62" s="6"/>
      <c r="X62" s="6"/>
      <c r="Y62" s="6"/>
      <c r="Z62" s="6"/>
      <c r="AA62" s="6"/>
    </row>
    <row r="63">
      <c r="A63" s="7">
        <v>403.0</v>
      </c>
      <c r="B63" s="7" t="s">
        <v>297</v>
      </c>
      <c r="C63" s="7"/>
      <c r="D63" s="25"/>
      <c r="E63" s="6"/>
      <c r="F63" s="6"/>
      <c r="G63" s="6"/>
      <c r="H63" s="6"/>
      <c r="I63" s="6"/>
      <c r="J63" s="6"/>
      <c r="K63" s="6"/>
      <c r="L63" s="6"/>
      <c r="M63" s="6"/>
      <c r="N63" s="6"/>
      <c r="O63" s="6"/>
      <c r="P63" s="6"/>
      <c r="Q63" s="6"/>
      <c r="R63" s="6"/>
      <c r="S63" s="6"/>
      <c r="T63" s="6"/>
      <c r="U63" s="6"/>
      <c r="V63" s="6"/>
      <c r="W63" s="6"/>
      <c r="X63" s="6"/>
      <c r="Y63" s="6"/>
      <c r="Z63" s="6"/>
      <c r="AA63"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7.13"/>
    <col customWidth="1" min="3" max="3" width="38.38"/>
    <col customWidth="1" min="6" max="6" width="46.88"/>
  </cols>
  <sheetData>
    <row r="1">
      <c r="A1" s="34" t="s">
        <v>12</v>
      </c>
      <c r="B1" s="34">
        <v>101.0</v>
      </c>
      <c r="C1" s="34" t="s">
        <v>16</v>
      </c>
      <c r="D1" s="35"/>
      <c r="E1" s="35"/>
      <c r="G1" s="35"/>
      <c r="H1" s="35"/>
      <c r="I1" s="35"/>
      <c r="J1" s="35"/>
      <c r="K1" s="35"/>
      <c r="L1" s="35"/>
      <c r="M1" s="35"/>
      <c r="N1" s="35"/>
      <c r="O1" s="35"/>
      <c r="P1" s="35"/>
      <c r="Q1" s="35"/>
      <c r="R1" s="35"/>
      <c r="S1" s="35"/>
      <c r="T1" s="35"/>
      <c r="U1" s="35"/>
      <c r="V1" s="35"/>
      <c r="W1" s="35"/>
      <c r="X1" s="35"/>
      <c r="Y1" s="35"/>
      <c r="Z1" s="35"/>
    </row>
    <row r="2">
      <c r="A2" s="34" t="s">
        <v>379</v>
      </c>
      <c r="B2" s="34">
        <v>102.0</v>
      </c>
      <c r="C2" s="34" t="s">
        <v>22</v>
      </c>
      <c r="D2" s="35"/>
      <c r="E2" s="35"/>
      <c r="G2" s="35"/>
      <c r="H2" s="35"/>
      <c r="I2" s="35"/>
      <c r="J2" s="35"/>
      <c r="K2" s="35"/>
      <c r="L2" s="35"/>
      <c r="M2" s="35"/>
      <c r="N2" s="35"/>
      <c r="O2" s="35"/>
      <c r="P2" s="35"/>
      <c r="Q2" s="35"/>
      <c r="R2" s="35"/>
      <c r="S2" s="35"/>
      <c r="T2" s="35"/>
      <c r="U2" s="35"/>
      <c r="V2" s="35"/>
      <c r="W2" s="35"/>
      <c r="X2" s="35"/>
      <c r="Y2" s="35"/>
      <c r="Z2" s="35"/>
    </row>
    <row r="3">
      <c r="A3" s="34" t="s">
        <v>380</v>
      </c>
      <c r="B3" s="34">
        <v>103.0</v>
      </c>
      <c r="C3" s="34" t="s">
        <v>28</v>
      </c>
      <c r="D3" s="35"/>
      <c r="E3" s="35"/>
      <c r="G3" s="35"/>
      <c r="H3" s="35"/>
      <c r="I3" s="35"/>
      <c r="J3" s="35"/>
      <c r="K3" s="35"/>
      <c r="L3" s="35"/>
      <c r="M3" s="35"/>
      <c r="N3" s="35"/>
      <c r="O3" s="35"/>
      <c r="P3" s="35"/>
      <c r="Q3" s="35"/>
      <c r="R3" s="35"/>
      <c r="S3" s="35"/>
      <c r="T3" s="35"/>
      <c r="U3" s="35"/>
      <c r="V3" s="35"/>
      <c r="W3" s="35"/>
      <c r="X3" s="35"/>
      <c r="Y3" s="35"/>
      <c r="Z3" s="35"/>
    </row>
    <row r="4">
      <c r="A4" s="34" t="s">
        <v>381</v>
      </c>
      <c r="B4" s="34">
        <v>104.0</v>
      </c>
      <c r="C4" s="34" t="s">
        <v>28</v>
      </c>
      <c r="D4" s="35"/>
      <c r="E4" s="35"/>
      <c r="G4" s="35"/>
      <c r="H4" s="35"/>
      <c r="I4" s="35"/>
      <c r="J4" s="35"/>
      <c r="K4" s="35"/>
      <c r="L4" s="35"/>
      <c r="M4" s="35"/>
      <c r="N4" s="35"/>
      <c r="O4" s="35"/>
      <c r="P4" s="35"/>
      <c r="Q4" s="35"/>
      <c r="R4" s="35"/>
      <c r="S4" s="35"/>
      <c r="T4" s="35"/>
      <c r="U4" s="35"/>
      <c r="V4" s="35"/>
      <c r="W4" s="35"/>
      <c r="X4" s="35"/>
      <c r="Y4" s="35"/>
      <c r="Z4" s="35"/>
    </row>
    <row r="5">
      <c r="A5" s="34" t="s">
        <v>382</v>
      </c>
      <c r="B5" s="34">
        <v>105.0</v>
      </c>
      <c r="C5" s="34" t="s">
        <v>37</v>
      </c>
      <c r="D5" s="35"/>
      <c r="E5" s="35"/>
      <c r="G5" s="35"/>
      <c r="H5" s="35"/>
      <c r="I5" s="35"/>
      <c r="J5" s="35"/>
      <c r="K5" s="35"/>
      <c r="L5" s="35"/>
      <c r="M5" s="35"/>
      <c r="N5" s="35"/>
      <c r="O5" s="35"/>
      <c r="P5" s="35"/>
      <c r="Q5" s="35"/>
      <c r="R5" s="35"/>
      <c r="S5" s="35"/>
      <c r="T5" s="35"/>
      <c r="U5" s="35"/>
      <c r="V5" s="35"/>
      <c r="W5" s="35"/>
      <c r="X5" s="35"/>
      <c r="Y5" s="35"/>
      <c r="Z5" s="35"/>
    </row>
    <row r="6">
      <c r="A6" s="34" t="s">
        <v>383</v>
      </c>
      <c r="B6" s="34">
        <v>106.0</v>
      </c>
      <c r="C6" s="34" t="s">
        <v>37</v>
      </c>
      <c r="D6" s="35"/>
      <c r="E6" s="35"/>
      <c r="G6" s="35"/>
      <c r="H6" s="35"/>
      <c r="I6" s="35"/>
      <c r="J6" s="35"/>
      <c r="K6" s="35"/>
      <c r="L6" s="35"/>
      <c r="M6" s="35"/>
      <c r="N6" s="35"/>
      <c r="O6" s="35"/>
      <c r="P6" s="35"/>
      <c r="Q6" s="35"/>
      <c r="R6" s="35"/>
      <c r="S6" s="35"/>
      <c r="T6" s="35"/>
      <c r="U6" s="35"/>
      <c r="V6" s="35"/>
      <c r="W6" s="35"/>
      <c r="X6" s="35"/>
      <c r="Y6" s="35"/>
      <c r="Z6" s="35"/>
    </row>
    <row r="7">
      <c r="A7" s="34" t="s">
        <v>384</v>
      </c>
      <c r="B7" s="34">
        <v>107.0</v>
      </c>
      <c r="C7" s="34" t="s">
        <v>45</v>
      </c>
      <c r="D7" s="35"/>
      <c r="E7" s="35"/>
      <c r="G7" s="35"/>
      <c r="H7" s="35"/>
      <c r="I7" s="35"/>
      <c r="J7" s="35"/>
      <c r="K7" s="35"/>
      <c r="L7" s="35"/>
      <c r="M7" s="35"/>
      <c r="N7" s="35"/>
      <c r="O7" s="35"/>
      <c r="P7" s="35"/>
      <c r="Q7" s="35"/>
      <c r="R7" s="35"/>
      <c r="S7" s="35"/>
      <c r="T7" s="35"/>
      <c r="U7" s="35"/>
      <c r="V7" s="35"/>
      <c r="W7" s="35"/>
      <c r="X7" s="35"/>
      <c r="Y7" s="35"/>
      <c r="Z7" s="35"/>
    </row>
    <row r="8">
      <c r="A8" s="34" t="s">
        <v>385</v>
      </c>
      <c r="B8" s="34">
        <v>108.0</v>
      </c>
      <c r="C8" s="34" t="s">
        <v>45</v>
      </c>
      <c r="D8" s="35"/>
      <c r="E8" s="35"/>
      <c r="G8" s="35"/>
      <c r="H8" s="35"/>
      <c r="I8" s="35"/>
      <c r="J8" s="35"/>
      <c r="K8" s="35"/>
      <c r="L8" s="35"/>
      <c r="M8" s="35"/>
      <c r="N8" s="35"/>
      <c r="O8" s="35"/>
      <c r="P8" s="35"/>
      <c r="Q8" s="35"/>
      <c r="R8" s="35"/>
      <c r="S8" s="35"/>
      <c r="T8" s="35"/>
      <c r="U8" s="35"/>
      <c r="V8" s="35"/>
      <c r="W8" s="35"/>
      <c r="X8" s="35"/>
      <c r="Y8" s="35"/>
      <c r="Z8" s="35"/>
    </row>
    <row r="9">
      <c r="A9" s="34" t="s">
        <v>386</v>
      </c>
      <c r="B9" s="34">
        <v>109.0</v>
      </c>
      <c r="C9" s="34" t="s">
        <v>28</v>
      </c>
      <c r="D9" s="35"/>
      <c r="E9" s="35"/>
      <c r="G9" s="35"/>
      <c r="H9" s="35"/>
      <c r="I9" s="35"/>
      <c r="J9" s="35"/>
      <c r="K9" s="35"/>
      <c r="L9" s="35"/>
      <c r="M9" s="35"/>
      <c r="N9" s="35"/>
      <c r="O9" s="35"/>
      <c r="P9" s="35"/>
      <c r="Q9" s="35"/>
      <c r="R9" s="35"/>
      <c r="S9" s="35"/>
      <c r="T9" s="35"/>
      <c r="U9" s="35"/>
      <c r="V9" s="35"/>
      <c r="W9" s="35"/>
      <c r="X9" s="35"/>
      <c r="Y9" s="35"/>
      <c r="Z9" s="35"/>
    </row>
    <row r="10">
      <c r="A10" s="34" t="s">
        <v>12</v>
      </c>
      <c r="B10" s="34">
        <v>110.0</v>
      </c>
      <c r="C10" s="34" t="s">
        <v>45</v>
      </c>
      <c r="D10" s="35"/>
      <c r="E10" s="35"/>
      <c r="G10" s="35"/>
      <c r="H10" s="35"/>
      <c r="I10" s="35"/>
      <c r="J10" s="35"/>
      <c r="K10" s="35"/>
      <c r="L10" s="35"/>
      <c r="M10" s="35"/>
      <c r="N10" s="35"/>
      <c r="O10" s="35"/>
      <c r="P10" s="35"/>
      <c r="Q10" s="35"/>
      <c r="R10" s="35"/>
      <c r="S10" s="35"/>
      <c r="T10" s="35"/>
      <c r="U10" s="35"/>
      <c r="V10" s="35"/>
      <c r="W10" s="35"/>
      <c r="X10" s="35"/>
      <c r="Y10" s="35"/>
      <c r="Z10" s="35"/>
    </row>
    <row r="11">
      <c r="A11" s="34" t="s">
        <v>12</v>
      </c>
      <c r="B11" s="34">
        <v>111.0</v>
      </c>
      <c r="C11" s="34" t="s">
        <v>63</v>
      </c>
      <c r="D11" s="35"/>
      <c r="E11" s="35"/>
      <c r="G11" s="35"/>
      <c r="H11" s="35"/>
      <c r="I11" s="35"/>
      <c r="J11" s="35"/>
      <c r="K11" s="35"/>
      <c r="L11" s="35"/>
      <c r="M11" s="35"/>
      <c r="N11" s="35"/>
      <c r="O11" s="35"/>
      <c r="P11" s="35"/>
      <c r="Q11" s="35"/>
      <c r="R11" s="35"/>
      <c r="S11" s="35"/>
      <c r="T11" s="35"/>
      <c r="U11" s="35"/>
      <c r="V11" s="35"/>
      <c r="W11" s="35"/>
      <c r="X11" s="35"/>
      <c r="Y11" s="35"/>
      <c r="Z11" s="35"/>
    </row>
    <row r="12">
      <c r="A12" s="34" t="s">
        <v>12</v>
      </c>
      <c r="B12" s="34">
        <v>112.0</v>
      </c>
      <c r="C12" s="34" t="s">
        <v>69</v>
      </c>
      <c r="D12" s="35"/>
      <c r="E12" s="35"/>
      <c r="G12" s="35"/>
      <c r="H12" s="35"/>
      <c r="I12" s="35"/>
      <c r="J12" s="35"/>
      <c r="K12" s="35"/>
      <c r="L12" s="35"/>
      <c r="M12" s="35"/>
      <c r="N12" s="35"/>
      <c r="O12" s="35"/>
      <c r="P12" s="35"/>
      <c r="Q12" s="35"/>
      <c r="R12" s="35"/>
      <c r="S12" s="35"/>
      <c r="T12" s="35"/>
      <c r="U12" s="35"/>
      <c r="V12" s="35"/>
      <c r="W12" s="35"/>
      <c r="X12" s="35"/>
      <c r="Y12" s="35"/>
      <c r="Z12" s="35"/>
    </row>
    <row r="13">
      <c r="A13" s="34" t="s">
        <v>12</v>
      </c>
      <c r="B13" s="34">
        <v>113.0</v>
      </c>
      <c r="C13" s="34" t="s">
        <v>74</v>
      </c>
      <c r="D13" s="35"/>
      <c r="E13" s="35"/>
      <c r="G13" s="35"/>
      <c r="H13" s="35"/>
      <c r="I13" s="35"/>
      <c r="J13" s="35"/>
      <c r="K13" s="35"/>
      <c r="L13" s="35"/>
      <c r="M13" s="35"/>
      <c r="N13" s="35"/>
      <c r="O13" s="35"/>
      <c r="P13" s="35"/>
      <c r="Q13" s="35"/>
      <c r="R13" s="35"/>
      <c r="S13" s="35"/>
      <c r="T13" s="35"/>
      <c r="U13" s="35"/>
      <c r="V13" s="35"/>
      <c r="W13" s="35"/>
      <c r="X13" s="35"/>
      <c r="Y13" s="35"/>
      <c r="Z13" s="35"/>
    </row>
    <row r="14">
      <c r="A14" s="34" t="s">
        <v>12</v>
      </c>
      <c r="B14" s="34">
        <v>114.0</v>
      </c>
      <c r="C14" s="34" t="s">
        <v>74</v>
      </c>
      <c r="D14" s="35"/>
      <c r="E14" s="35"/>
      <c r="G14" s="35"/>
      <c r="H14" s="35"/>
      <c r="I14" s="35"/>
      <c r="J14" s="35"/>
      <c r="K14" s="35"/>
      <c r="L14" s="35"/>
      <c r="M14" s="35"/>
      <c r="N14" s="35"/>
      <c r="O14" s="35"/>
      <c r="P14" s="35"/>
      <c r="Q14" s="35"/>
      <c r="R14" s="35"/>
      <c r="S14" s="35"/>
      <c r="T14" s="35"/>
      <c r="U14" s="35"/>
      <c r="V14" s="35"/>
      <c r="W14" s="35"/>
      <c r="X14" s="35"/>
      <c r="Y14" s="35"/>
      <c r="Z14" s="35"/>
    </row>
    <row r="15">
      <c r="A15" s="34" t="s">
        <v>12</v>
      </c>
      <c r="B15" s="34">
        <v>115.0</v>
      </c>
      <c r="C15" s="34" t="s">
        <v>83</v>
      </c>
      <c r="D15" s="35"/>
      <c r="E15" s="35"/>
      <c r="G15" s="35"/>
      <c r="H15" s="35"/>
      <c r="I15" s="35"/>
      <c r="J15" s="35"/>
      <c r="K15" s="35"/>
      <c r="L15" s="35"/>
      <c r="M15" s="35"/>
      <c r="N15" s="35"/>
      <c r="O15" s="35"/>
      <c r="P15" s="35"/>
      <c r="Q15" s="35"/>
      <c r="R15" s="35"/>
      <c r="S15" s="35"/>
      <c r="T15" s="35"/>
      <c r="U15" s="35"/>
      <c r="V15" s="35"/>
      <c r="W15" s="35"/>
      <c r="X15" s="35"/>
      <c r="Y15" s="35"/>
      <c r="Z15" s="35"/>
    </row>
    <row r="16">
      <c r="A16" s="34" t="s">
        <v>12</v>
      </c>
      <c r="B16" s="34">
        <v>116.0</v>
      </c>
      <c r="C16" s="34" t="s">
        <v>89</v>
      </c>
      <c r="D16" s="35"/>
      <c r="E16" s="35"/>
      <c r="G16" s="35"/>
      <c r="H16" s="35"/>
      <c r="I16" s="35"/>
      <c r="J16" s="35"/>
      <c r="K16" s="35"/>
      <c r="L16" s="35"/>
      <c r="M16" s="35"/>
      <c r="N16" s="35"/>
      <c r="O16" s="35"/>
      <c r="P16" s="35"/>
      <c r="Q16" s="35"/>
      <c r="R16" s="35"/>
      <c r="S16" s="35"/>
      <c r="T16" s="35"/>
      <c r="U16" s="35"/>
      <c r="V16" s="35"/>
      <c r="W16" s="35"/>
      <c r="X16" s="35"/>
      <c r="Y16" s="35"/>
      <c r="Z16" s="35"/>
    </row>
    <row r="17">
      <c r="A17" s="34" t="s">
        <v>12</v>
      </c>
      <c r="B17" s="34">
        <v>117.0</v>
      </c>
      <c r="C17" s="34" t="s">
        <v>94</v>
      </c>
      <c r="D17" s="35"/>
      <c r="E17" s="35"/>
      <c r="G17" s="35"/>
      <c r="H17" s="35"/>
      <c r="I17" s="35"/>
      <c r="J17" s="35"/>
      <c r="K17" s="35"/>
      <c r="L17" s="35"/>
      <c r="M17" s="35"/>
      <c r="N17" s="35"/>
      <c r="O17" s="35"/>
      <c r="P17" s="35"/>
      <c r="Q17" s="35"/>
      <c r="R17" s="35"/>
      <c r="S17" s="35"/>
      <c r="T17" s="35"/>
      <c r="U17" s="35"/>
      <c r="V17" s="35"/>
      <c r="W17" s="35"/>
      <c r="X17" s="35"/>
      <c r="Y17" s="35"/>
      <c r="Z17" s="35"/>
    </row>
    <row r="18">
      <c r="A18" s="34" t="s">
        <v>12</v>
      </c>
      <c r="B18" s="34">
        <v>118.0</v>
      </c>
      <c r="C18" s="34" t="s">
        <v>99</v>
      </c>
      <c r="D18" s="35"/>
      <c r="E18" s="35"/>
      <c r="G18" s="35"/>
      <c r="H18" s="35"/>
      <c r="I18" s="35"/>
      <c r="J18" s="35"/>
      <c r="K18" s="35"/>
      <c r="L18" s="35"/>
      <c r="M18" s="35"/>
      <c r="N18" s="35"/>
      <c r="O18" s="35"/>
      <c r="P18" s="35"/>
      <c r="Q18" s="35"/>
      <c r="R18" s="35"/>
      <c r="S18" s="35"/>
      <c r="T18" s="35"/>
      <c r="U18" s="35"/>
      <c r="V18" s="35"/>
      <c r="W18" s="35"/>
      <c r="X18" s="35"/>
      <c r="Y18" s="35"/>
      <c r="Z18" s="35"/>
    </row>
    <row r="19">
      <c r="A19" s="34" t="s">
        <v>12</v>
      </c>
      <c r="B19" s="34">
        <v>119.0</v>
      </c>
      <c r="C19" s="34" t="s">
        <v>104</v>
      </c>
      <c r="D19" s="35"/>
      <c r="E19" s="35"/>
      <c r="G19" s="35"/>
      <c r="H19" s="35"/>
      <c r="I19" s="35"/>
      <c r="J19" s="35"/>
      <c r="K19" s="35"/>
      <c r="L19" s="35"/>
      <c r="M19" s="35"/>
      <c r="N19" s="35"/>
      <c r="O19" s="35"/>
      <c r="P19" s="35"/>
      <c r="Q19" s="35"/>
      <c r="R19" s="35"/>
      <c r="S19" s="35"/>
      <c r="T19" s="35"/>
      <c r="U19" s="35"/>
      <c r="V19" s="35"/>
      <c r="W19" s="35"/>
      <c r="X19" s="35"/>
      <c r="Y19" s="35"/>
      <c r="Z19" s="35"/>
    </row>
    <row r="20">
      <c r="A20" s="34" t="s">
        <v>12</v>
      </c>
      <c r="B20" s="34">
        <v>120.0</v>
      </c>
      <c r="C20" s="34" t="s">
        <v>104</v>
      </c>
      <c r="D20" s="35"/>
      <c r="E20" s="35"/>
      <c r="G20" s="35"/>
      <c r="H20" s="35"/>
      <c r="I20" s="35"/>
      <c r="J20" s="35"/>
      <c r="K20" s="35"/>
      <c r="L20" s="35"/>
      <c r="M20" s="35"/>
      <c r="N20" s="35"/>
      <c r="O20" s="35"/>
      <c r="P20" s="35"/>
      <c r="Q20" s="35"/>
      <c r="R20" s="35"/>
      <c r="S20" s="35"/>
      <c r="T20" s="35"/>
      <c r="U20" s="35"/>
      <c r="V20" s="35"/>
      <c r="W20" s="35"/>
      <c r="X20" s="35"/>
      <c r="Y20" s="35"/>
      <c r="Z20" s="35"/>
    </row>
    <row r="21">
      <c r="A21" s="34" t="s">
        <v>12</v>
      </c>
      <c r="B21" s="34">
        <v>121.0</v>
      </c>
      <c r="C21" s="36" t="s">
        <v>104</v>
      </c>
      <c r="D21" s="35"/>
      <c r="E21" s="35"/>
      <c r="G21" s="35"/>
      <c r="H21" s="35"/>
      <c r="I21" s="35"/>
      <c r="J21" s="35"/>
      <c r="K21" s="35"/>
      <c r="L21" s="35"/>
      <c r="M21" s="35"/>
      <c r="N21" s="35"/>
      <c r="O21" s="35"/>
      <c r="P21" s="35"/>
      <c r="Q21" s="35"/>
      <c r="R21" s="35"/>
      <c r="S21" s="35"/>
      <c r="T21" s="35"/>
      <c r="U21" s="35"/>
      <c r="V21" s="35"/>
      <c r="W21" s="35"/>
      <c r="X21" s="35"/>
      <c r="Y21" s="35"/>
      <c r="Z21" s="35"/>
    </row>
    <row r="22">
      <c r="A22" s="34" t="s">
        <v>12</v>
      </c>
      <c r="B22" s="34">
        <v>122.0</v>
      </c>
      <c r="C22" s="36" t="s">
        <v>117</v>
      </c>
      <c r="D22" s="35"/>
      <c r="E22" s="35"/>
      <c r="G22" s="35"/>
      <c r="H22" s="35"/>
      <c r="I22" s="35"/>
      <c r="J22" s="35"/>
      <c r="K22" s="35"/>
      <c r="L22" s="35"/>
      <c r="M22" s="35"/>
      <c r="N22" s="35"/>
      <c r="O22" s="35"/>
      <c r="P22" s="35"/>
      <c r="Q22" s="35"/>
      <c r="R22" s="35"/>
      <c r="S22" s="35"/>
      <c r="T22" s="35"/>
      <c r="U22" s="35"/>
      <c r="V22" s="35"/>
      <c r="W22" s="35"/>
      <c r="X22" s="35"/>
      <c r="Y22" s="35"/>
      <c r="Z22" s="35"/>
    </row>
    <row r="23">
      <c r="A23" s="34" t="s">
        <v>12</v>
      </c>
      <c r="B23" s="34">
        <v>123.0</v>
      </c>
      <c r="C23" s="36" t="s">
        <v>117</v>
      </c>
      <c r="D23" s="35"/>
      <c r="E23" s="35"/>
      <c r="G23" s="35"/>
      <c r="H23" s="35"/>
      <c r="I23" s="35"/>
      <c r="J23" s="35"/>
      <c r="K23" s="35"/>
      <c r="L23" s="35"/>
      <c r="M23" s="35"/>
      <c r="N23" s="35"/>
      <c r="O23" s="35"/>
      <c r="P23" s="35"/>
      <c r="Q23" s="35"/>
      <c r="R23" s="35"/>
      <c r="S23" s="35"/>
      <c r="T23" s="35"/>
      <c r="U23" s="35"/>
      <c r="V23" s="35"/>
      <c r="W23" s="35"/>
      <c r="X23" s="35"/>
      <c r="Y23" s="35"/>
      <c r="Z23" s="35"/>
    </row>
    <row r="24">
      <c r="A24" s="34" t="s">
        <v>12</v>
      </c>
      <c r="B24" s="34">
        <v>124.0</v>
      </c>
      <c r="C24" s="34" t="s">
        <v>117</v>
      </c>
      <c r="D24" s="35"/>
      <c r="E24" s="35"/>
      <c r="G24" s="35"/>
      <c r="H24" s="35"/>
      <c r="I24" s="35"/>
      <c r="J24" s="35"/>
      <c r="K24" s="35"/>
      <c r="L24" s="35"/>
      <c r="M24" s="35"/>
      <c r="N24" s="35"/>
      <c r="O24" s="35"/>
      <c r="P24" s="35"/>
      <c r="Q24" s="35"/>
      <c r="R24" s="35"/>
      <c r="S24" s="35"/>
      <c r="T24" s="35"/>
      <c r="U24" s="35"/>
      <c r="V24" s="35"/>
      <c r="W24" s="35"/>
      <c r="X24" s="35"/>
      <c r="Y24" s="35"/>
      <c r="Z24" s="35"/>
    </row>
    <row r="25">
      <c r="A25" s="34" t="s">
        <v>12</v>
      </c>
      <c r="B25" s="34">
        <v>125.0</v>
      </c>
      <c r="C25" s="34" t="s">
        <v>130</v>
      </c>
      <c r="D25" s="35"/>
      <c r="E25" s="35"/>
      <c r="G25" s="35"/>
      <c r="H25" s="35"/>
      <c r="I25" s="35"/>
      <c r="J25" s="35"/>
      <c r="K25" s="35"/>
      <c r="L25" s="35"/>
      <c r="M25" s="35"/>
      <c r="N25" s="35"/>
      <c r="O25" s="35"/>
      <c r="P25" s="35"/>
      <c r="Q25" s="35"/>
      <c r="R25" s="35"/>
      <c r="S25" s="35"/>
      <c r="T25" s="35"/>
      <c r="U25" s="35"/>
      <c r="V25" s="35"/>
      <c r="W25" s="35"/>
      <c r="X25" s="35"/>
      <c r="Y25" s="35"/>
      <c r="Z25" s="35"/>
    </row>
    <row r="26">
      <c r="A26" s="34" t="s">
        <v>12</v>
      </c>
      <c r="B26" s="34">
        <v>126.0</v>
      </c>
      <c r="C26" s="34" t="s">
        <v>130</v>
      </c>
      <c r="D26" s="35"/>
      <c r="E26" s="35"/>
      <c r="G26" s="35"/>
      <c r="H26" s="35"/>
      <c r="I26" s="35"/>
      <c r="J26" s="35"/>
      <c r="K26" s="35"/>
      <c r="L26" s="35"/>
      <c r="M26" s="35"/>
      <c r="N26" s="35"/>
      <c r="O26" s="35"/>
      <c r="P26" s="35"/>
      <c r="Q26" s="35"/>
      <c r="R26" s="35"/>
      <c r="S26" s="35"/>
      <c r="T26" s="35"/>
      <c r="U26" s="35"/>
      <c r="V26" s="35"/>
      <c r="W26" s="35"/>
      <c r="X26" s="35"/>
      <c r="Y26" s="35"/>
      <c r="Z26" s="35"/>
    </row>
    <row r="27">
      <c r="A27" s="34" t="s">
        <v>12</v>
      </c>
      <c r="B27" s="34">
        <v>127.0</v>
      </c>
      <c r="C27" s="34" t="s">
        <v>139</v>
      </c>
      <c r="D27" s="35"/>
      <c r="E27" s="35"/>
      <c r="G27" s="35"/>
      <c r="H27" s="35"/>
      <c r="I27" s="35"/>
      <c r="J27" s="35"/>
      <c r="K27" s="35"/>
      <c r="L27" s="35"/>
      <c r="M27" s="35"/>
      <c r="N27" s="35"/>
      <c r="O27" s="35"/>
      <c r="P27" s="35"/>
      <c r="Q27" s="35"/>
      <c r="R27" s="35"/>
      <c r="S27" s="35"/>
      <c r="T27" s="35"/>
      <c r="U27" s="35"/>
      <c r="V27" s="35"/>
      <c r="W27" s="35"/>
      <c r="X27" s="35"/>
      <c r="Y27" s="35"/>
      <c r="Z27" s="35"/>
    </row>
    <row r="28">
      <c r="A28" s="34" t="s">
        <v>12</v>
      </c>
      <c r="B28" s="34">
        <v>128.0</v>
      </c>
      <c r="C28" s="34" t="s">
        <v>144</v>
      </c>
      <c r="D28" s="35"/>
      <c r="E28" s="35"/>
      <c r="G28" s="35"/>
      <c r="H28" s="35"/>
      <c r="I28" s="35"/>
      <c r="J28" s="35"/>
      <c r="K28" s="35"/>
      <c r="L28" s="35"/>
      <c r="M28" s="35"/>
      <c r="N28" s="35"/>
      <c r="O28" s="35"/>
      <c r="P28" s="35"/>
      <c r="Q28" s="35"/>
      <c r="R28" s="35"/>
      <c r="S28" s="35"/>
      <c r="T28" s="35"/>
      <c r="U28" s="35"/>
      <c r="V28" s="35"/>
      <c r="W28" s="35"/>
      <c r="X28" s="35"/>
      <c r="Y28" s="35"/>
      <c r="Z28" s="35"/>
    </row>
    <row r="29">
      <c r="A29" s="34" t="s">
        <v>12</v>
      </c>
      <c r="B29" s="34">
        <v>129.0</v>
      </c>
      <c r="C29" s="34" t="s">
        <v>149</v>
      </c>
      <c r="D29" s="35"/>
      <c r="E29" s="35"/>
      <c r="G29" s="35"/>
      <c r="H29" s="35"/>
      <c r="I29" s="35"/>
      <c r="J29" s="35"/>
      <c r="K29" s="35"/>
      <c r="L29" s="35"/>
      <c r="M29" s="35"/>
      <c r="N29" s="35"/>
      <c r="O29" s="35"/>
      <c r="P29" s="35"/>
      <c r="Q29" s="35"/>
      <c r="R29" s="35"/>
      <c r="S29" s="35"/>
      <c r="T29" s="35"/>
      <c r="U29" s="35"/>
      <c r="V29" s="35"/>
      <c r="W29" s="35"/>
      <c r="X29" s="35"/>
      <c r="Y29" s="35"/>
      <c r="Z29" s="35"/>
    </row>
    <row r="30">
      <c r="A30" s="34" t="s">
        <v>12</v>
      </c>
      <c r="B30" s="34">
        <v>130.0</v>
      </c>
      <c r="C30" s="34" t="s">
        <v>154</v>
      </c>
      <c r="D30" s="35"/>
      <c r="E30" s="35"/>
      <c r="G30" s="35"/>
      <c r="H30" s="35"/>
      <c r="I30" s="35"/>
      <c r="J30" s="35"/>
      <c r="K30" s="35"/>
      <c r="L30" s="35"/>
      <c r="M30" s="35"/>
      <c r="N30" s="35"/>
      <c r="O30" s="35"/>
      <c r="P30" s="35"/>
      <c r="Q30" s="35"/>
      <c r="R30" s="35"/>
      <c r="S30" s="35"/>
      <c r="T30" s="35"/>
      <c r="U30" s="35"/>
      <c r="V30" s="35"/>
      <c r="W30" s="35"/>
      <c r="X30" s="35"/>
      <c r="Y30" s="35"/>
      <c r="Z30" s="35"/>
    </row>
    <row r="31">
      <c r="A31" s="34"/>
      <c r="B31" s="34">
        <v>150.0</v>
      </c>
      <c r="C31" s="34"/>
      <c r="D31" s="35"/>
      <c r="E31" s="35"/>
      <c r="G31" s="35"/>
      <c r="H31" s="35"/>
      <c r="I31" s="35"/>
      <c r="J31" s="35"/>
      <c r="K31" s="35"/>
      <c r="L31" s="35"/>
      <c r="M31" s="35"/>
      <c r="N31" s="35"/>
      <c r="O31" s="35"/>
      <c r="P31" s="35"/>
      <c r="Q31" s="35"/>
      <c r="R31" s="35"/>
      <c r="S31" s="35"/>
      <c r="T31" s="35"/>
      <c r="U31" s="35"/>
      <c r="V31" s="35"/>
      <c r="W31" s="35"/>
      <c r="X31" s="35"/>
      <c r="Y31" s="35"/>
      <c r="Z31" s="35"/>
    </row>
    <row r="32">
      <c r="A32" s="34" t="s">
        <v>158</v>
      </c>
      <c r="B32" s="34">
        <v>301.0</v>
      </c>
      <c r="C32" s="34" t="s">
        <v>162</v>
      </c>
      <c r="D32" s="35"/>
      <c r="E32" s="35"/>
      <c r="G32" s="35"/>
      <c r="H32" s="35"/>
      <c r="I32" s="35"/>
      <c r="J32" s="35"/>
      <c r="K32" s="35"/>
      <c r="L32" s="35"/>
      <c r="M32" s="35"/>
      <c r="N32" s="35"/>
      <c r="O32" s="35"/>
      <c r="P32" s="35"/>
      <c r="Q32" s="35"/>
      <c r="R32" s="35"/>
      <c r="S32" s="35"/>
      <c r="T32" s="35"/>
      <c r="U32" s="35"/>
      <c r="V32" s="35"/>
      <c r="W32" s="35"/>
      <c r="X32" s="35"/>
      <c r="Y32" s="35"/>
      <c r="Z32" s="35"/>
    </row>
    <row r="33">
      <c r="A33" s="34" t="s">
        <v>158</v>
      </c>
      <c r="B33" s="34">
        <v>302.0</v>
      </c>
      <c r="C33" s="34" t="s">
        <v>162</v>
      </c>
      <c r="D33" s="35"/>
      <c r="E33" s="35"/>
      <c r="G33" s="35"/>
      <c r="H33" s="35"/>
      <c r="I33" s="35"/>
      <c r="J33" s="35"/>
      <c r="K33" s="35"/>
      <c r="L33" s="35"/>
      <c r="M33" s="35"/>
      <c r="N33" s="35"/>
      <c r="O33" s="35"/>
      <c r="P33" s="35"/>
      <c r="Q33" s="35"/>
      <c r="R33" s="35"/>
      <c r="S33" s="35"/>
      <c r="T33" s="35"/>
      <c r="U33" s="35"/>
      <c r="V33" s="35"/>
      <c r="W33" s="35"/>
      <c r="X33" s="35"/>
      <c r="Y33" s="35"/>
      <c r="Z33" s="35"/>
    </row>
    <row r="34">
      <c r="A34" s="34" t="s">
        <v>158</v>
      </c>
      <c r="B34" s="34">
        <v>303.0</v>
      </c>
      <c r="C34" s="34" t="s">
        <v>171</v>
      </c>
      <c r="D34" s="35"/>
      <c r="E34" s="35"/>
      <c r="G34" s="35"/>
      <c r="H34" s="35"/>
      <c r="I34" s="35"/>
      <c r="J34" s="35"/>
      <c r="K34" s="35"/>
      <c r="L34" s="35"/>
      <c r="M34" s="35"/>
      <c r="N34" s="35"/>
      <c r="O34" s="35"/>
      <c r="P34" s="35"/>
      <c r="Q34" s="35"/>
      <c r="R34" s="35"/>
      <c r="S34" s="35"/>
      <c r="T34" s="35"/>
      <c r="U34" s="35"/>
      <c r="V34" s="35"/>
      <c r="W34" s="35"/>
      <c r="X34" s="35"/>
      <c r="Y34" s="35"/>
      <c r="Z34" s="35"/>
    </row>
    <row r="35">
      <c r="A35" s="34" t="s">
        <v>158</v>
      </c>
      <c r="B35" s="34">
        <v>304.0</v>
      </c>
      <c r="C35" s="34" t="s">
        <v>171</v>
      </c>
      <c r="D35" s="35"/>
      <c r="E35" s="35"/>
      <c r="G35" s="35"/>
      <c r="H35" s="35"/>
      <c r="I35" s="35"/>
      <c r="J35" s="35"/>
      <c r="K35" s="35"/>
      <c r="L35" s="35"/>
      <c r="M35" s="35"/>
      <c r="N35" s="35"/>
      <c r="O35" s="35"/>
      <c r="P35" s="35"/>
      <c r="Q35" s="35"/>
      <c r="R35" s="35"/>
      <c r="S35" s="35"/>
      <c r="T35" s="35"/>
      <c r="U35" s="35"/>
      <c r="V35" s="35"/>
      <c r="W35" s="35"/>
      <c r="X35" s="35"/>
      <c r="Y35" s="35"/>
      <c r="Z35" s="35"/>
    </row>
    <row r="36">
      <c r="A36" s="34" t="s">
        <v>158</v>
      </c>
      <c r="B36" s="34">
        <v>305.0</v>
      </c>
      <c r="C36" s="34" t="s">
        <v>171</v>
      </c>
      <c r="D36" s="35"/>
      <c r="E36" s="35"/>
      <c r="G36" s="35"/>
      <c r="H36" s="35"/>
      <c r="I36" s="35"/>
      <c r="J36" s="35"/>
      <c r="K36" s="35"/>
      <c r="L36" s="35"/>
      <c r="M36" s="35"/>
      <c r="N36" s="35"/>
      <c r="O36" s="35"/>
      <c r="P36" s="35"/>
      <c r="Q36" s="35"/>
      <c r="R36" s="35"/>
      <c r="S36" s="35"/>
      <c r="T36" s="35"/>
      <c r="U36" s="35"/>
      <c r="V36" s="35"/>
      <c r="W36" s="35"/>
      <c r="X36" s="35"/>
      <c r="Y36" s="35"/>
      <c r="Z36" s="35"/>
    </row>
    <row r="37">
      <c r="A37" s="34" t="s">
        <v>158</v>
      </c>
      <c r="B37" s="34">
        <v>306.0</v>
      </c>
      <c r="C37" s="34" t="s">
        <v>171</v>
      </c>
      <c r="D37" s="35"/>
      <c r="E37" s="35"/>
      <c r="G37" s="35"/>
      <c r="H37" s="35"/>
      <c r="I37" s="35"/>
      <c r="J37" s="35"/>
      <c r="K37" s="35"/>
      <c r="L37" s="35"/>
      <c r="M37" s="35"/>
      <c r="N37" s="35"/>
      <c r="O37" s="35"/>
      <c r="P37" s="35"/>
      <c r="Q37" s="35"/>
      <c r="R37" s="35"/>
      <c r="S37" s="35"/>
      <c r="T37" s="35"/>
      <c r="U37" s="35"/>
      <c r="V37" s="35"/>
      <c r="W37" s="35"/>
      <c r="X37" s="35"/>
      <c r="Y37" s="35"/>
      <c r="Z37" s="35"/>
    </row>
    <row r="38">
      <c r="A38" s="34" t="s">
        <v>158</v>
      </c>
      <c r="B38" s="34">
        <v>307.0</v>
      </c>
      <c r="C38" s="34" t="s">
        <v>186</v>
      </c>
      <c r="D38" s="35"/>
      <c r="E38" s="35"/>
      <c r="G38" s="35"/>
      <c r="H38" s="35"/>
      <c r="I38" s="35"/>
      <c r="J38" s="35"/>
      <c r="K38" s="35"/>
      <c r="L38" s="35"/>
      <c r="M38" s="35"/>
      <c r="N38" s="35"/>
      <c r="O38" s="35"/>
      <c r="P38" s="35"/>
      <c r="Q38" s="35"/>
      <c r="R38" s="35"/>
      <c r="S38" s="35"/>
      <c r="T38" s="35"/>
      <c r="U38" s="35"/>
      <c r="V38" s="35"/>
      <c r="W38" s="35"/>
      <c r="X38" s="35"/>
      <c r="Y38" s="35"/>
      <c r="Z38" s="35"/>
    </row>
    <row r="39">
      <c r="A39" s="34" t="s">
        <v>158</v>
      </c>
      <c r="B39" s="34">
        <v>308.0</v>
      </c>
      <c r="C39" s="34" t="s">
        <v>186</v>
      </c>
      <c r="D39" s="35"/>
      <c r="E39" s="35"/>
      <c r="G39" s="35"/>
      <c r="H39" s="35"/>
      <c r="I39" s="35"/>
      <c r="J39" s="35"/>
      <c r="K39" s="35"/>
      <c r="L39" s="35"/>
      <c r="M39" s="35"/>
      <c r="N39" s="35"/>
      <c r="O39" s="35"/>
      <c r="P39" s="35"/>
      <c r="Q39" s="35"/>
      <c r="R39" s="35"/>
      <c r="S39" s="35"/>
      <c r="T39" s="35"/>
      <c r="U39" s="35"/>
      <c r="V39" s="35"/>
      <c r="W39" s="35"/>
      <c r="X39" s="35"/>
      <c r="Y39" s="35"/>
      <c r="Z39" s="35"/>
    </row>
    <row r="40">
      <c r="A40" s="34" t="s">
        <v>158</v>
      </c>
      <c r="B40" s="34">
        <v>309.0</v>
      </c>
      <c r="C40" s="34" t="s">
        <v>45</v>
      </c>
      <c r="D40" s="35"/>
      <c r="E40" s="35"/>
      <c r="G40" s="35"/>
      <c r="H40" s="35"/>
      <c r="I40" s="35"/>
      <c r="J40" s="35"/>
      <c r="K40" s="35"/>
      <c r="L40" s="35"/>
      <c r="M40" s="35"/>
      <c r="N40" s="35"/>
      <c r="O40" s="35"/>
      <c r="P40" s="35"/>
      <c r="Q40" s="35"/>
      <c r="R40" s="35"/>
      <c r="S40" s="35"/>
      <c r="T40" s="35"/>
      <c r="U40" s="35"/>
      <c r="V40" s="35"/>
      <c r="W40" s="35"/>
      <c r="X40" s="35"/>
      <c r="Y40" s="35"/>
      <c r="Z40" s="35"/>
    </row>
    <row r="41">
      <c r="A41" s="34" t="s">
        <v>158</v>
      </c>
      <c r="B41" s="34">
        <v>310.0</v>
      </c>
      <c r="C41" s="34" t="s">
        <v>45</v>
      </c>
      <c r="D41" s="35"/>
      <c r="E41" s="35"/>
      <c r="G41" s="35"/>
      <c r="H41" s="35"/>
      <c r="I41" s="35"/>
      <c r="J41" s="35"/>
      <c r="K41" s="35"/>
      <c r="L41" s="35"/>
      <c r="M41" s="35"/>
      <c r="N41" s="35"/>
      <c r="O41" s="35"/>
      <c r="P41" s="35"/>
      <c r="Q41" s="35"/>
      <c r="R41" s="35"/>
      <c r="S41" s="35"/>
      <c r="T41" s="35"/>
      <c r="U41" s="35"/>
      <c r="V41" s="35"/>
      <c r="W41" s="35"/>
      <c r="X41" s="35"/>
      <c r="Y41" s="35"/>
      <c r="Z41" s="35"/>
    </row>
    <row r="42">
      <c r="A42" s="34" t="s">
        <v>158</v>
      </c>
      <c r="B42" s="34">
        <v>311.0</v>
      </c>
      <c r="C42" s="34" t="s">
        <v>45</v>
      </c>
      <c r="D42" s="35"/>
      <c r="E42" s="35"/>
      <c r="G42" s="35"/>
      <c r="H42" s="35"/>
      <c r="I42" s="35"/>
      <c r="J42" s="35"/>
      <c r="K42" s="35"/>
      <c r="L42" s="35"/>
      <c r="M42" s="35"/>
      <c r="N42" s="35"/>
      <c r="O42" s="35"/>
      <c r="P42" s="35"/>
      <c r="Q42" s="35"/>
      <c r="R42" s="35"/>
      <c r="S42" s="35"/>
      <c r="T42" s="35"/>
      <c r="U42" s="35"/>
      <c r="V42" s="35"/>
      <c r="W42" s="35"/>
      <c r="X42" s="35"/>
      <c r="Y42" s="35"/>
      <c r="Z42" s="35"/>
    </row>
    <row r="43">
      <c r="A43" s="34" t="s">
        <v>158</v>
      </c>
      <c r="B43" s="34">
        <v>312.0</v>
      </c>
      <c r="C43" s="34" t="s">
        <v>45</v>
      </c>
      <c r="D43" s="35"/>
      <c r="E43" s="35"/>
      <c r="G43" s="35"/>
      <c r="H43" s="35"/>
      <c r="I43" s="35"/>
      <c r="J43" s="35"/>
      <c r="K43" s="35"/>
      <c r="L43" s="35"/>
      <c r="M43" s="35"/>
      <c r="N43" s="35"/>
      <c r="O43" s="35"/>
      <c r="P43" s="35"/>
      <c r="Q43" s="35"/>
      <c r="R43" s="35"/>
      <c r="S43" s="35"/>
      <c r="T43" s="35"/>
      <c r="U43" s="35"/>
      <c r="V43" s="35"/>
      <c r="W43" s="35"/>
      <c r="X43" s="35"/>
      <c r="Y43" s="35"/>
      <c r="Z43" s="35"/>
    </row>
    <row r="44">
      <c r="A44" s="34" t="s">
        <v>158</v>
      </c>
      <c r="B44" s="34">
        <v>313.0</v>
      </c>
      <c r="C44" s="34" t="s">
        <v>208</v>
      </c>
      <c r="D44" s="35"/>
      <c r="E44" s="35"/>
      <c r="G44" s="35"/>
      <c r="H44" s="35"/>
      <c r="I44" s="35"/>
      <c r="J44" s="35"/>
      <c r="K44" s="35"/>
      <c r="L44" s="35"/>
      <c r="M44" s="35"/>
      <c r="N44" s="35"/>
      <c r="O44" s="35"/>
      <c r="P44" s="35"/>
      <c r="Q44" s="35"/>
      <c r="R44" s="35"/>
      <c r="S44" s="35"/>
      <c r="T44" s="35"/>
      <c r="U44" s="35"/>
      <c r="V44" s="35"/>
      <c r="W44" s="35"/>
      <c r="X44" s="35"/>
      <c r="Y44" s="35"/>
      <c r="Z44" s="35"/>
    </row>
    <row r="45">
      <c r="A45" s="34" t="s">
        <v>158</v>
      </c>
      <c r="B45" s="34">
        <v>314.0</v>
      </c>
      <c r="C45" s="34" t="s">
        <v>208</v>
      </c>
      <c r="D45" s="35"/>
      <c r="E45" s="35"/>
      <c r="G45" s="35"/>
      <c r="H45" s="35"/>
      <c r="I45" s="35"/>
      <c r="J45" s="35"/>
      <c r="K45" s="35"/>
      <c r="L45" s="35"/>
      <c r="M45" s="35"/>
      <c r="N45" s="35"/>
      <c r="O45" s="35"/>
      <c r="P45" s="35"/>
      <c r="Q45" s="35"/>
      <c r="R45" s="35"/>
      <c r="S45" s="35"/>
      <c r="T45" s="35"/>
      <c r="U45" s="35"/>
      <c r="V45" s="35"/>
      <c r="W45" s="35"/>
      <c r="X45" s="35"/>
      <c r="Y45" s="35"/>
      <c r="Z45" s="35"/>
    </row>
    <row r="46">
      <c r="A46" s="34" t="s">
        <v>158</v>
      </c>
      <c r="B46" s="34">
        <v>315.0</v>
      </c>
      <c r="C46" s="34" t="s">
        <v>215</v>
      </c>
      <c r="D46" s="35"/>
      <c r="E46" s="35"/>
      <c r="G46" s="35"/>
      <c r="H46" s="35"/>
      <c r="I46" s="35"/>
      <c r="J46" s="35"/>
      <c r="K46" s="35"/>
      <c r="L46" s="35"/>
      <c r="M46" s="35"/>
      <c r="N46" s="35"/>
      <c r="O46" s="35"/>
      <c r="P46" s="35"/>
      <c r="Q46" s="35"/>
      <c r="R46" s="35"/>
      <c r="S46" s="35"/>
      <c r="T46" s="35"/>
      <c r="U46" s="35"/>
      <c r="V46" s="35"/>
      <c r="W46" s="35"/>
      <c r="X46" s="35"/>
      <c r="Y46" s="35"/>
      <c r="Z46" s="35"/>
    </row>
    <row r="47">
      <c r="A47" s="34" t="s">
        <v>158</v>
      </c>
      <c r="B47" s="34">
        <v>316.0</v>
      </c>
      <c r="C47" s="34" t="s">
        <v>215</v>
      </c>
      <c r="D47" s="35"/>
      <c r="E47" s="35"/>
      <c r="G47" s="35"/>
      <c r="H47" s="35"/>
      <c r="I47" s="35"/>
      <c r="J47" s="35"/>
      <c r="K47" s="35"/>
      <c r="L47" s="35"/>
      <c r="M47" s="35"/>
      <c r="N47" s="35"/>
      <c r="O47" s="35"/>
      <c r="P47" s="35"/>
      <c r="Q47" s="35"/>
      <c r="R47" s="35"/>
      <c r="S47" s="35"/>
      <c r="T47" s="35"/>
      <c r="U47" s="35"/>
      <c r="V47" s="35"/>
      <c r="W47" s="35"/>
      <c r="X47" s="35"/>
      <c r="Y47" s="35"/>
      <c r="Z47" s="35"/>
    </row>
    <row r="48">
      <c r="A48" s="34" t="s">
        <v>158</v>
      </c>
      <c r="B48" s="34">
        <v>317.0</v>
      </c>
      <c r="C48" s="34" t="s">
        <v>215</v>
      </c>
      <c r="D48" s="35"/>
      <c r="E48" s="35"/>
      <c r="G48" s="35"/>
      <c r="H48" s="35"/>
      <c r="I48" s="35"/>
      <c r="J48" s="35"/>
      <c r="K48" s="35"/>
      <c r="L48" s="35"/>
      <c r="M48" s="35"/>
      <c r="N48" s="35"/>
      <c r="O48" s="35"/>
      <c r="P48" s="35"/>
      <c r="Q48" s="35"/>
      <c r="R48" s="35"/>
      <c r="S48" s="35"/>
      <c r="T48" s="35"/>
      <c r="U48" s="35"/>
      <c r="V48" s="35"/>
      <c r="W48" s="35"/>
      <c r="X48" s="35"/>
      <c r="Y48" s="35"/>
      <c r="Z48" s="35"/>
    </row>
    <row r="49">
      <c r="A49" s="34" t="s">
        <v>158</v>
      </c>
      <c r="B49" s="34">
        <v>318.0</v>
      </c>
      <c r="C49" s="34" t="s">
        <v>228</v>
      </c>
      <c r="D49" s="35"/>
      <c r="E49" s="35"/>
      <c r="G49" s="35"/>
      <c r="H49" s="35"/>
      <c r="I49" s="35"/>
      <c r="J49" s="35"/>
      <c r="K49" s="35"/>
      <c r="L49" s="35"/>
      <c r="M49" s="35"/>
      <c r="N49" s="35"/>
      <c r="O49" s="35"/>
      <c r="P49" s="35"/>
      <c r="Q49" s="35"/>
      <c r="R49" s="35"/>
      <c r="S49" s="35"/>
      <c r="T49" s="35"/>
      <c r="U49" s="35"/>
      <c r="V49" s="35"/>
      <c r="W49" s="35"/>
      <c r="X49" s="35"/>
      <c r="Y49" s="35"/>
      <c r="Z49" s="35"/>
    </row>
    <row r="50">
      <c r="A50" s="34" t="s">
        <v>158</v>
      </c>
      <c r="B50" s="34">
        <v>319.0</v>
      </c>
      <c r="C50" s="34" t="s">
        <v>228</v>
      </c>
      <c r="D50" s="35"/>
      <c r="E50" s="35"/>
      <c r="G50" s="35"/>
      <c r="H50" s="35"/>
      <c r="I50" s="35"/>
      <c r="J50" s="35"/>
      <c r="K50" s="35"/>
      <c r="L50" s="35"/>
      <c r="M50" s="35"/>
      <c r="N50" s="35"/>
      <c r="O50" s="35"/>
      <c r="P50" s="35"/>
      <c r="Q50" s="35"/>
      <c r="R50" s="35"/>
      <c r="S50" s="35"/>
      <c r="T50" s="35"/>
      <c r="U50" s="35"/>
      <c r="V50" s="35"/>
      <c r="W50" s="35"/>
      <c r="X50" s="35"/>
      <c r="Y50" s="35"/>
      <c r="Z50" s="35"/>
    </row>
    <row r="51">
      <c r="A51" s="34" t="s">
        <v>158</v>
      </c>
      <c r="B51" s="34">
        <v>320.0</v>
      </c>
      <c r="C51" s="34" t="s">
        <v>237</v>
      </c>
      <c r="D51" s="35"/>
      <c r="E51" s="35"/>
      <c r="G51" s="35"/>
      <c r="H51" s="35"/>
      <c r="I51" s="35"/>
      <c r="J51" s="35"/>
      <c r="K51" s="35"/>
      <c r="L51" s="35"/>
      <c r="M51" s="35"/>
      <c r="N51" s="35"/>
      <c r="O51" s="35"/>
      <c r="P51" s="35"/>
      <c r="Q51" s="35"/>
      <c r="R51" s="35"/>
      <c r="S51" s="35"/>
      <c r="T51" s="35"/>
      <c r="U51" s="35"/>
      <c r="V51" s="35"/>
      <c r="W51" s="35"/>
      <c r="X51" s="35"/>
      <c r="Y51" s="35"/>
      <c r="Z51" s="35"/>
    </row>
    <row r="52">
      <c r="A52" s="34" t="s">
        <v>158</v>
      </c>
      <c r="B52" s="34">
        <v>321.0</v>
      </c>
      <c r="C52" s="34" t="s">
        <v>237</v>
      </c>
      <c r="D52" s="35"/>
      <c r="E52" s="35"/>
      <c r="G52" s="35"/>
      <c r="H52" s="35"/>
      <c r="I52" s="35"/>
      <c r="J52" s="35"/>
      <c r="K52" s="35"/>
      <c r="L52" s="35"/>
      <c r="M52" s="35"/>
      <c r="N52" s="35"/>
      <c r="O52" s="35"/>
      <c r="P52" s="35"/>
      <c r="Q52" s="35"/>
      <c r="R52" s="35"/>
      <c r="S52" s="35"/>
      <c r="T52" s="35"/>
      <c r="U52" s="35"/>
      <c r="V52" s="35"/>
      <c r="W52" s="35"/>
      <c r="X52" s="35"/>
      <c r="Y52" s="35"/>
      <c r="Z52" s="35"/>
    </row>
    <row r="53">
      <c r="A53" s="34" t="s">
        <v>158</v>
      </c>
      <c r="B53" s="34">
        <v>322.0</v>
      </c>
      <c r="C53" s="34" t="s">
        <v>117</v>
      </c>
      <c r="D53" s="35"/>
      <c r="E53" s="35"/>
      <c r="G53" s="35"/>
      <c r="H53" s="35"/>
      <c r="I53" s="35"/>
      <c r="J53" s="35"/>
      <c r="K53" s="35"/>
      <c r="L53" s="35"/>
      <c r="M53" s="35"/>
      <c r="N53" s="35"/>
      <c r="O53" s="35"/>
      <c r="P53" s="35"/>
      <c r="Q53" s="35"/>
      <c r="R53" s="35"/>
      <c r="S53" s="35"/>
      <c r="T53" s="35"/>
      <c r="U53" s="35"/>
      <c r="V53" s="35"/>
      <c r="W53" s="35"/>
      <c r="X53" s="35"/>
      <c r="Y53" s="35"/>
      <c r="Z53" s="35"/>
    </row>
    <row r="54">
      <c r="A54" s="34" t="s">
        <v>158</v>
      </c>
      <c r="B54" s="34">
        <v>323.0</v>
      </c>
      <c r="C54" s="34" t="s">
        <v>117</v>
      </c>
      <c r="D54" s="35"/>
      <c r="E54" s="35"/>
      <c r="G54" s="35"/>
      <c r="H54" s="35"/>
      <c r="I54" s="35"/>
      <c r="J54" s="35"/>
      <c r="K54" s="35"/>
      <c r="L54" s="35"/>
      <c r="M54" s="35"/>
      <c r="N54" s="35"/>
      <c r="O54" s="35"/>
      <c r="P54" s="35"/>
      <c r="Q54" s="35"/>
      <c r="R54" s="35"/>
      <c r="S54" s="35"/>
      <c r="T54" s="35"/>
      <c r="U54" s="35"/>
      <c r="V54" s="35"/>
      <c r="W54" s="35"/>
      <c r="X54" s="35"/>
      <c r="Y54" s="35"/>
      <c r="Z54" s="35"/>
    </row>
    <row r="55">
      <c r="A55" s="34" t="s">
        <v>158</v>
      </c>
      <c r="B55" s="34">
        <v>324.0</v>
      </c>
      <c r="C55" s="34" t="s">
        <v>253</v>
      </c>
      <c r="D55" s="35"/>
      <c r="E55" s="35"/>
      <c r="G55" s="35"/>
      <c r="H55" s="35"/>
      <c r="I55" s="35"/>
      <c r="J55" s="35"/>
      <c r="K55" s="35"/>
      <c r="L55" s="35"/>
      <c r="M55" s="35"/>
      <c r="N55" s="35"/>
      <c r="O55" s="35"/>
      <c r="P55" s="35"/>
      <c r="Q55" s="35"/>
      <c r="R55" s="35"/>
      <c r="S55" s="35"/>
      <c r="T55" s="35"/>
      <c r="U55" s="35"/>
      <c r="V55" s="35"/>
      <c r="W55" s="35"/>
      <c r="X55" s="35"/>
      <c r="Y55" s="35"/>
      <c r="Z55" s="35"/>
    </row>
    <row r="56">
      <c r="A56" s="34" t="s">
        <v>158</v>
      </c>
      <c r="B56" s="34">
        <v>325.0</v>
      </c>
      <c r="C56" s="34" t="s">
        <v>253</v>
      </c>
      <c r="D56" s="35"/>
      <c r="E56" s="35"/>
      <c r="G56" s="35"/>
      <c r="H56" s="35"/>
      <c r="I56" s="35"/>
      <c r="J56" s="35"/>
      <c r="K56" s="35"/>
      <c r="L56" s="35"/>
      <c r="M56" s="35"/>
      <c r="N56" s="35"/>
      <c r="O56" s="35"/>
      <c r="P56" s="35"/>
      <c r="Q56" s="35"/>
      <c r="R56" s="35"/>
      <c r="S56" s="35"/>
      <c r="T56" s="35"/>
      <c r="U56" s="35"/>
      <c r="V56" s="35"/>
      <c r="W56" s="35"/>
      <c r="X56" s="35"/>
      <c r="Y56" s="35"/>
      <c r="Z56" s="35"/>
    </row>
    <row r="57">
      <c r="A57" s="34" t="s">
        <v>158</v>
      </c>
      <c r="B57" s="34">
        <v>326.0</v>
      </c>
      <c r="C57" s="34" t="s">
        <v>261</v>
      </c>
      <c r="D57" s="35"/>
      <c r="E57" s="35"/>
      <c r="G57" s="35"/>
      <c r="H57" s="35"/>
      <c r="I57" s="35"/>
      <c r="J57" s="35"/>
      <c r="K57" s="35"/>
      <c r="L57" s="35"/>
      <c r="M57" s="35"/>
      <c r="N57" s="35"/>
      <c r="O57" s="35"/>
      <c r="P57" s="35"/>
      <c r="Q57" s="35"/>
      <c r="R57" s="35"/>
      <c r="S57" s="35"/>
      <c r="T57" s="35"/>
      <c r="U57" s="35"/>
      <c r="V57" s="35"/>
      <c r="W57" s="35"/>
      <c r="X57" s="35"/>
      <c r="Y57" s="35"/>
      <c r="Z57" s="35"/>
    </row>
    <row r="58">
      <c r="A58" s="34" t="s">
        <v>158</v>
      </c>
      <c r="B58" s="34">
        <v>327.0</v>
      </c>
      <c r="C58" s="34" t="s">
        <v>266</v>
      </c>
      <c r="D58" s="35"/>
      <c r="E58" s="35"/>
      <c r="G58" s="35"/>
      <c r="H58" s="35"/>
      <c r="I58" s="35"/>
      <c r="J58" s="35"/>
      <c r="K58" s="35"/>
      <c r="L58" s="35"/>
      <c r="M58" s="35"/>
      <c r="N58" s="35"/>
      <c r="O58" s="35"/>
      <c r="P58" s="35"/>
      <c r="Q58" s="35"/>
      <c r="R58" s="35"/>
      <c r="S58" s="35"/>
      <c r="T58" s="35"/>
      <c r="U58" s="35"/>
      <c r="V58" s="35"/>
      <c r="W58" s="35"/>
      <c r="X58" s="35"/>
      <c r="Y58" s="35"/>
      <c r="Z58" s="35"/>
    </row>
    <row r="59">
      <c r="A59" s="34" t="s">
        <v>158</v>
      </c>
      <c r="B59" s="34">
        <v>328.0</v>
      </c>
      <c r="C59" s="34" t="s">
        <v>266</v>
      </c>
      <c r="D59" s="35"/>
      <c r="E59" s="35"/>
      <c r="G59" s="35"/>
      <c r="H59" s="35"/>
      <c r="I59" s="35"/>
      <c r="J59" s="35"/>
      <c r="K59" s="35"/>
      <c r="L59" s="35"/>
      <c r="M59" s="35"/>
      <c r="N59" s="35"/>
      <c r="O59" s="35"/>
      <c r="P59" s="35"/>
      <c r="Q59" s="35"/>
      <c r="R59" s="35"/>
      <c r="S59" s="35"/>
      <c r="T59" s="35"/>
      <c r="U59" s="35"/>
      <c r="V59" s="35"/>
      <c r="W59" s="35"/>
      <c r="X59" s="35"/>
      <c r="Y59" s="35"/>
      <c r="Z59" s="35"/>
    </row>
    <row r="60">
      <c r="A60" s="34" t="s">
        <v>158</v>
      </c>
      <c r="B60" s="34">
        <v>329.0</v>
      </c>
      <c r="C60" s="34" t="s">
        <v>274</v>
      </c>
      <c r="D60" s="35"/>
      <c r="E60" s="35"/>
      <c r="G60" s="35"/>
      <c r="H60" s="35"/>
      <c r="I60" s="35"/>
      <c r="J60" s="35"/>
      <c r="K60" s="35"/>
      <c r="L60" s="35"/>
      <c r="M60" s="35"/>
      <c r="N60" s="35"/>
      <c r="O60" s="35"/>
      <c r="P60" s="35"/>
      <c r="Q60" s="35"/>
      <c r="R60" s="35"/>
      <c r="S60" s="35"/>
      <c r="T60" s="35"/>
      <c r="U60" s="35"/>
      <c r="V60" s="35"/>
      <c r="W60" s="35"/>
      <c r="X60" s="35"/>
      <c r="Y60" s="35"/>
      <c r="Z60" s="35"/>
    </row>
    <row r="61">
      <c r="A61" s="34" t="s">
        <v>158</v>
      </c>
      <c r="B61" s="34">
        <v>330.0</v>
      </c>
      <c r="C61" s="34" t="s">
        <v>274</v>
      </c>
      <c r="D61" s="35"/>
      <c r="E61" s="35"/>
      <c r="G61" s="35"/>
      <c r="H61" s="35"/>
      <c r="I61" s="35"/>
      <c r="J61" s="35"/>
      <c r="K61" s="35"/>
      <c r="L61" s="35"/>
      <c r="M61" s="35"/>
      <c r="N61" s="35"/>
      <c r="O61" s="35"/>
      <c r="P61" s="35"/>
      <c r="Q61" s="35"/>
      <c r="R61" s="35"/>
      <c r="S61" s="35"/>
      <c r="T61" s="35"/>
      <c r="U61" s="35"/>
      <c r="V61" s="35"/>
      <c r="W61" s="35"/>
      <c r="X61" s="35"/>
      <c r="Y61" s="35"/>
      <c r="Z61" s="35"/>
    </row>
    <row r="62">
      <c r="A62" s="34"/>
      <c r="B62" s="34">
        <v>350.0</v>
      </c>
      <c r="C62" s="34"/>
      <c r="D62" s="35"/>
      <c r="E62" s="35"/>
      <c r="F62" s="35"/>
      <c r="G62" s="35"/>
      <c r="H62" s="35"/>
      <c r="I62" s="35"/>
      <c r="J62" s="35"/>
      <c r="K62" s="35"/>
      <c r="L62" s="35"/>
      <c r="M62" s="35"/>
      <c r="N62" s="35"/>
      <c r="O62" s="35"/>
      <c r="P62" s="35"/>
      <c r="Q62" s="35"/>
      <c r="R62" s="35"/>
      <c r="S62" s="35"/>
      <c r="T62" s="35"/>
      <c r="U62" s="35"/>
      <c r="V62" s="35"/>
      <c r="W62" s="35"/>
      <c r="X62" s="35"/>
      <c r="Y62" s="35"/>
      <c r="Z62" s="35"/>
    </row>
    <row r="63">
      <c r="A63" s="34" t="s">
        <v>280</v>
      </c>
      <c r="B63" s="34">
        <v>401.0</v>
      </c>
      <c r="C63" s="34"/>
      <c r="D63" s="35"/>
      <c r="E63" s="35"/>
      <c r="F63" s="35"/>
      <c r="G63" s="35"/>
      <c r="H63" s="35"/>
      <c r="I63" s="35"/>
      <c r="J63" s="35"/>
      <c r="K63" s="35"/>
      <c r="L63" s="35"/>
      <c r="M63" s="35"/>
      <c r="N63" s="35"/>
      <c r="O63" s="35"/>
      <c r="P63" s="35"/>
      <c r="Q63" s="35"/>
      <c r="R63" s="35"/>
      <c r="S63" s="35"/>
      <c r="T63" s="35"/>
      <c r="U63" s="35"/>
      <c r="V63" s="35"/>
      <c r="W63" s="35"/>
      <c r="X63" s="35"/>
      <c r="Y63" s="35"/>
      <c r="Z63" s="35"/>
    </row>
    <row r="64">
      <c r="A64" s="34" t="s">
        <v>280</v>
      </c>
      <c r="B64" s="34">
        <v>402.0</v>
      </c>
      <c r="C64" s="34"/>
      <c r="D64" s="35"/>
      <c r="E64" s="35"/>
      <c r="F64" s="35"/>
      <c r="G64" s="35"/>
      <c r="H64" s="35"/>
      <c r="I64" s="35"/>
      <c r="J64" s="35"/>
      <c r="K64" s="35"/>
      <c r="L64" s="35"/>
      <c r="M64" s="35"/>
      <c r="N64" s="35"/>
      <c r="O64" s="35"/>
      <c r="P64" s="35"/>
      <c r="Q64" s="35"/>
      <c r="R64" s="35"/>
      <c r="S64" s="35"/>
      <c r="T64" s="35"/>
      <c r="U64" s="35"/>
      <c r="V64" s="35"/>
      <c r="W64" s="35"/>
      <c r="X64" s="35"/>
      <c r="Y64" s="35"/>
      <c r="Z64" s="35"/>
    </row>
    <row r="65">
      <c r="A65" s="34" t="s">
        <v>280</v>
      </c>
      <c r="B65" s="34">
        <v>403.0</v>
      </c>
      <c r="C65" s="34"/>
      <c r="D65" s="35"/>
      <c r="E65" s="35"/>
      <c r="F65" s="35"/>
      <c r="G65" s="35"/>
      <c r="H65" s="35"/>
      <c r="I65" s="35"/>
      <c r="J65" s="35"/>
      <c r="K65" s="35"/>
      <c r="L65" s="35"/>
      <c r="M65" s="35"/>
      <c r="N65" s="35"/>
      <c r="O65" s="35"/>
      <c r="P65" s="35"/>
      <c r="Q65" s="35"/>
      <c r="R65" s="35"/>
      <c r="S65" s="35"/>
      <c r="T65" s="35"/>
      <c r="U65" s="35"/>
      <c r="V65" s="35"/>
      <c r="W65" s="35"/>
      <c r="X65" s="35"/>
      <c r="Y65" s="35"/>
      <c r="Z65" s="35"/>
    </row>
    <row r="66">
      <c r="A66" s="34"/>
      <c r="B66" s="34">
        <v>450.0</v>
      </c>
      <c r="C66" s="37"/>
      <c r="D66" s="35"/>
      <c r="E66" s="35"/>
      <c r="F66" s="34"/>
      <c r="G66" s="35"/>
      <c r="H66" s="35"/>
      <c r="I66" s="35"/>
      <c r="J66" s="35"/>
      <c r="K66" s="35"/>
      <c r="L66" s="35"/>
      <c r="M66" s="35"/>
      <c r="N66" s="35"/>
      <c r="O66" s="35"/>
      <c r="P66" s="35"/>
      <c r="Q66" s="35"/>
      <c r="R66" s="35"/>
      <c r="S66" s="35"/>
      <c r="T66" s="35"/>
      <c r="U66" s="35"/>
      <c r="V66" s="35"/>
      <c r="W66" s="35"/>
      <c r="X66" s="35"/>
      <c r="Y66" s="35"/>
      <c r="Z66" s="35"/>
    </row>
    <row r="67">
      <c r="A67" s="34" t="s">
        <v>298</v>
      </c>
      <c r="B67" s="34">
        <v>501.0</v>
      </c>
      <c r="C67" s="37"/>
      <c r="D67" s="35"/>
      <c r="E67" s="35"/>
      <c r="F67" s="34"/>
      <c r="G67" s="35"/>
      <c r="H67" s="35"/>
      <c r="I67" s="35"/>
      <c r="J67" s="35"/>
      <c r="K67" s="35"/>
      <c r="L67" s="35"/>
      <c r="M67" s="35"/>
      <c r="N67" s="35"/>
      <c r="O67" s="35"/>
      <c r="P67" s="35"/>
      <c r="Q67" s="35"/>
      <c r="R67" s="35"/>
      <c r="S67" s="35"/>
      <c r="T67" s="35"/>
      <c r="U67" s="35"/>
      <c r="V67" s="35"/>
      <c r="W67" s="35"/>
      <c r="X67" s="35"/>
      <c r="Y67" s="35"/>
      <c r="Z67" s="35"/>
    </row>
    <row r="68">
      <c r="A68" s="34" t="s">
        <v>298</v>
      </c>
      <c r="B68" s="34">
        <v>502.0</v>
      </c>
      <c r="C68" s="37"/>
      <c r="D68" s="35"/>
      <c r="E68" s="35"/>
      <c r="F68" s="35"/>
      <c r="G68" s="35"/>
      <c r="H68" s="35"/>
      <c r="I68" s="35"/>
      <c r="J68" s="35"/>
      <c r="K68" s="35"/>
      <c r="L68" s="35"/>
      <c r="M68" s="35"/>
      <c r="N68" s="35"/>
      <c r="O68" s="35"/>
      <c r="P68" s="35"/>
      <c r="Q68" s="35"/>
      <c r="R68" s="35"/>
      <c r="S68" s="35"/>
      <c r="T68" s="35"/>
      <c r="U68" s="35"/>
      <c r="V68" s="35"/>
      <c r="W68" s="35"/>
      <c r="X68" s="35"/>
      <c r="Y68" s="35"/>
      <c r="Z68" s="35"/>
    </row>
    <row r="69">
      <c r="A69" s="34" t="s">
        <v>298</v>
      </c>
      <c r="B69" s="34">
        <v>503.0</v>
      </c>
      <c r="C69" s="37"/>
      <c r="D69" s="35"/>
      <c r="E69" s="35"/>
      <c r="F69" s="35"/>
      <c r="G69" s="35"/>
      <c r="H69" s="35"/>
      <c r="I69" s="35"/>
      <c r="J69" s="35"/>
      <c r="K69" s="35"/>
      <c r="L69" s="35"/>
      <c r="M69" s="35"/>
      <c r="N69" s="35"/>
      <c r="O69" s="35"/>
      <c r="P69" s="35"/>
      <c r="Q69" s="35"/>
      <c r="R69" s="35"/>
      <c r="S69" s="35"/>
      <c r="T69" s="35"/>
      <c r="U69" s="35"/>
      <c r="V69" s="35"/>
      <c r="W69" s="35"/>
      <c r="X69" s="35"/>
      <c r="Y69" s="35"/>
      <c r="Z69" s="35"/>
    </row>
    <row r="70">
      <c r="A70" s="35"/>
      <c r="B70" s="35"/>
      <c r="C70" s="35"/>
      <c r="D70" s="35"/>
      <c r="E70" s="35"/>
      <c r="G70" s="35"/>
      <c r="H70" s="35"/>
      <c r="I70" s="35"/>
      <c r="J70" s="35"/>
      <c r="K70" s="35"/>
      <c r="L70" s="35"/>
      <c r="M70" s="35"/>
      <c r="N70" s="35"/>
      <c r="O70" s="35"/>
      <c r="P70" s="35"/>
      <c r="Q70" s="35"/>
      <c r="R70" s="35"/>
      <c r="S70" s="35"/>
      <c r="T70" s="35"/>
      <c r="U70" s="35"/>
      <c r="V70" s="35"/>
      <c r="W70" s="35"/>
      <c r="X70" s="35"/>
      <c r="Y70" s="35"/>
      <c r="Z70" s="35"/>
    </row>
    <row r="71">
      <c r="A71" s="35"/>
      <c r="B71" s="35"/>
      <c r="C71" s="35"/>
      <c r="D71" s="35"/>
      <c r="E71" s="35"/>
      <c r="G71" s="35"/>
      <c r="H71" s="35"/>
      <c r="I71" s="35"/>
      <c r="J71" s="35"/>
      <c r="K71" s="35"/>
      <c r="L71" s="35"/>
      <c r="M71" s="35"/>
      <c r="N71" s="35"/>
      <c r="O71" s="35"/>
      <c r="P71" s="35"/>
      <c r="Q71" s="35"/>
      <c r="R71" s="35"/>
      <c r="S71" s="35"/>
      <c r="T71" s="35"/>
      <c r="U71" s="35"/>
      <c r="V71" s="35"/>
      <c r="W71" s="35"/>
      <c r="X71" s="35"/>
      <c r="Y71" s="35"/>
      <c r="Z71" s="35"/>
    </row>
    <row r="72">
      <c r="A72" s="35"/>
      <c r="B72" s="35"/>
      <c r="C72" s="34" t="s">
        <v>261</v>
      </c>
      <c r="D72" s="35"/>
      <c r="E72" s="35"/>
      <c r="G72" s="35"/>
      <c r="H72" s="35"/>
      <c r="I72" s="35"/>
      <c r="J72" s="35"/>
      <c r="K72" s="35"/>
      <c r="L72" s="35"/>
      <c r="M72" s="35"/>
      <c r="N72" s="35"/>
      <c r="O72" s="35"/>
      <c r="P72" s="35"/>
      <c r="Q72" s="35"/>
      <c r="R72" s="35"/>
      <c r="S72" s="35"/>
      <c r="T72" s="35"/>
      <c r="U72" s="35"/>
      <c r="V72" s="35"/>
      <c r="W72" s="35"/>
      <c r="X72" s="35"/>
      <c r="Y72" s="35"/>
      <c r="Z72" s="35"/>
    </row>
    <row r="73">
      <c r="A73" s="35"/>
      <c r="B73" s="35"/>
      <c r="C73" s="34" t="s">
        <v>89</v>
      </c>
      <c r="D73" s="35"/>
      <c r="E73" s="35"/>
      <c r="G73" s="35"/>
      <c r="H73" s="35"/>
      <c r="I73" s="35"/>
      <c r="J73" s="35"/>
      <c r="K73" s="35"/>
      <c r="L73" s="35"/>
      <c r="M73" s="35"/>
      <c r="N73" s="35"/>
      <c r="O73" s="35"/>
      <c r="P73" s="35"/>
      <c r="Q73" s="35"/>
      <c r="R73" s="35"/>
      <c r="S73" s="35"/>
      <c r="T73" s="35"/>
      <c r="U73" s="35"/>
      <c r="V73" s="35"/>
      <c r="W73" s="35"/>
      <c r="X73" s="35"/>
      <c r="Y73" s="35"/>
      <c r="Z73" s="35"/>
    </row>
    <row r="74">
      <c r="A74" s="35"/>
      <c r="B74" s="35"/>
      <c r="C74" s="34" t="s">
        <v>253</v>
      </c>
      <c r="D74" s="35"/>
      <c r="E74" s="35"/>
      <c r="G74" s="35"/>
      <c r="H74" s="35"/>
      <c r="I74" s="35"/>
      <c r="J74" s="35"/>
      <c r="K74" s="35"/>
      <c r="L74" s="35"/>
      <c r="M74" s="35"/>
      <c r="N74" s="35"/>
      <c r="O74" s="35"/>
      <c r="P74" s="35"/>
      <c r="Q74" s="35"/>
      <c r="R74" s="35"/>
      <c r="S74" s="35"/>
      <c r="T74" s="35"/>
      <c r="U74" s="35"/>
      <c r="V74" s="35"/>
      <c r="W74" s="35"/>
      <c r="X74" s="35"/>
      <c r="Y74" s="35"/>
      <c r="Z74" s="35"/>
    </row>
    <row r="75">
      <c r="A75" s="35"/>
      <c r="B75" s="35"/>
      <c r="C75" s="34" t="s">
        <v>94</v>
      </c>
      <c r="D75" s="35"/>
      <c r="E75" s="35"/>
      <c r="G75" s="35"/>
      <c r="H75" s="35"/>
      <c r="I75" s="35"/>
      <c r="J75" s="35"/>
      <c r="K75" s="35"/>
      <c r="L75" s="35"/>
      <c r="M75" s="35"/>
      <c r="N75" s="35"/>
      <c r="O75" s="35"/>
      <c r="P75" s="35"/>
      <c r="Q75" s="35"/>
      <c r="R75" s="35"/>
      <c r="S75" s="35"/>
      <c r="T75" s="35"/>
      <c r="U75" s="35"/>
      <c r="V75" s="35"/>
      <c r="W75" s="35"/>
      <c r="X75" s="35"/>
      <c r="Y75" s="35"/>
      <c r="Z75" s="35"/>
    </row>
    <row r="76">
      <c r="A76" s="35"/>
      <c r="B76" s="35"/>
      <c r="C76" s="34" t="s">
        <v>154</v>
      </c>
      <c r="D76" s="35"/>
      <c r="E76" s="35"/>
      <c r="G76" s="35"/>
      <c r="H76" s="35"/>
      <c r="I76" s="35"/>
      <c r="J76" s="35"/>
      <c r="K76" s="35"/>
      <c r="L76" s="35"/>
      <c r="M76" s="35"/>
      <c r="N76" s="35"/>
      <c r="O76" s="35"/>
      <c r="P76" s="35"/>
      <c r="Q76" s="35"/>
      <c r="R76" s="35"/>
      <c r="S76" s="35"/>
      <c r="T76" s="35"/>
      <c r="U76" s="35"/>
      <c r="V76" s="35"/>
      <c r="W76" s="35"/>
      <c r="X76" s="35"/>
      <c r="Y76" s="35"/>
      <c r="Z76" s="35"/>
    </row>
    <row r="77">
      <c r="A77" s="35"/>
      <c r="B77" s="35"/>
      <c r="C77" s="34" t="s">
        <v>22</v>
      </c>
      <c r="D77" s="35"/>
      <c r="E77" s="35"/>
      <c r="G77" s="35"/>
      <c r="H77" s="35"/>
      <c r="I77" s="35"/>
      <c r="J77" s="35"/>
      <c r="K77" s="35"/>
      <c r="L77" s="35"/>
      <c r="M77" s="35"/>
      <c r="N77" s="35"/>
      <c r="O77" s="35"/>
      <c r="P77" s="35"/>
      <c r="Q77" s="35"/>
      <c r="R77" s="35"/>
      <c r="S77" s="35"/>
      <c r="T77" s="35"/>
      <c r="U77" s="35"/>
      <c r="V77" s="35"/>
      <c r="W77" s="35"/>
      <c r="X77" s="35"/>
      <c r="Y77" s="35"/>
      <c r="Z77" s="35"/>
    </row>
    <row r="78">
      <c r="A78" s="35"/>
      <c r="B78" s="35"/>
      <c r="C78" s="34" t="s">
        <v>130</v>
      </c>
      <c r="D78" s="35"/>
      <c r="E78" s="35"/>
      <c r="G78" s="35"/>
      <c r="H78" s="35"/>
      <c r="I78" s="35"/>
      <c r="J78" s="35"/>
      <c r="K78" s="35"/>
      <c r="L78" s="35"/>
      <c r="M78" s="35"/>
      <c r="N78" s="35"/>
      <c r="O78" s="35"/>
      <c r="P78" s="35"/>
      <c r="Q78" s="35"/>
      <c r="R78" s="35"/>
      <c r="S78" s="35"/>
      <c r="T78" s="35"/>
      <c r="U78" s="35"/>
      <c r="V78" s="35"/>
      <c r="W78" s="35"/>
      <c r="X78" s="35"/>
      <c r="Y78" s="35"/>
      <c r="Z78" s="35"/>
    </row>
    <row r="79">
      <c r="A79" s="35"/>
      <c r="B79" s="35"/>
      <c r="C79" s="34" t="s">
        <v>28</v>
      </c>
      <c r="D79" s="35"/>
      <c r="E79" s="35"/>
      <c r="G79" s="35"/>
      <c r="H79" s="35"/>
      <c r="I79" s="35"/>
      <c r="J79" s="35"/>
      <c r="K79" s="35"/>
      <c r="L79" s="35"/>
      <c r="M79" s="35"/>
      <c r="N79" s="35"/>
      <c r="O79" s="35"/>
      <c r="P79" s="35"/>
      <c r="Q79" s="35"/>
      <c r="R79" s="35"/>
      <c r="S79" s="35"/>
      <c r="T79" s="35"/>
      <c r="U79" s="35"/>
      <c r="V79" s="35"/>
      <c r="W79" s="35"/>
      <c r="X79" s="35"/>
      <c r="Y79" s="35"/>
      <c r="Z79" s="35"/>
    </row>
    <row r="80">
      <c r="A80" s="35"/>
      <c r="B80" s="35"/>
      <c r="C80" s="34" t="s">
        <v>16</v>
      </c>
      <c r="D80" s="35"/>
      <c r="E80" s="35"/>
      <c r="G80" s="35"/>
      <c r="H80" s="35"/>
      <c r="I80" s="35"/>
      <c r="J80" s="35"/>
      <c r="K80" s="35"/>
      <c r="L80" s="35"/>
      <c r="M80" s="35"/>
      <c r="N80" s="35"/>
      <c r="O80" s="35"/>
      <c r="P80" s="35"/>
      <c r="Q80" s="35"/>
      <c r="R80" s="35"/>
      <c r="S80" s="35"/>
      <c r="T80" s="35"/>
      <c r="U80" s="35"/>
      <c r="V80" s="35"/>
      <c r="W80" s="35"/>
      <c r="X80" s="35"/>
      <c r="Y80" s="35"/>
      <c r="Z80" s="35"/>
    </row>
    <row r="81">
      <c r="A81" s="35"/>
      <c r="B81" s="35"/>
      <c r="C81" s="34" t="s">
        <v>186</v>
      </c>
      <c r="D81" s="35"/>
      <c r="E81" s="35"/>
      <c r="G81" s="35"/>
      <c r="H81" s="35"/>
      <c r="I81" s="35"/>
      <c r="J81" s="35"/>
      <c r="K81" s="35"/>
      <c r="L81" s="35"/>
      <c r="M81" s="35"/>
      <c r="N81" s="35"/>
      <c r="O81" s="35"/>
      <c r="P81" s="35"/>
      <c r="Q81" s="35"/>
      <c r="R81" s="35"/>
      <c r="S81" s="35"/>
      <c r="T81" s="35"/>
      <c r="U81" s="35"/>
      <c r="V81" s="35"/>
      <c r="W81" s="35"/>
      <c r="X81" s="35"/>
      <c r="Y81" s="35"/>
      <c r="Z81" s="35"/>
    </row>
    <row r="82">
      <c r="A82" s="35"/>
      <c r="B82" s="35"/>
      <c r="C82" s="34" t="s">
        <v>69</v>
      </c>
      <c r="D82" s="35"/>
      <c r="E82" s="35"/>
      <c r="G82" s="35"/>
      <c r="H82" s="35"/>
      <c r="I82" s="35"/>
      <c r="J82" s="35"/>
      <c r="K82" s="35"/>
      <c r="L82" s="35"/>
      <c r="M82" s="35"/>
      <c r="N82" s="35"/>
      <c r="O82" s="35"/>
      <c r="P82" s="35"/>
      <c r="Q82" s="35"/>
      <c r="R82" s="35"/>
      <c r="S82" s="35"/>
      <c r="T82" s="35"/>
      <c r="U82" s="35"/>
      <c r="V82" s="35"/>
      <c r="W82" s="35"/>
      <c r="X82" s="35"/>
      <c r="Y82" s="35"/>
      <c r="Z82" s="35"/>
    </row>
    <row r="83">
      <c r="A83" s="35"/>
      <c r="B83" s="35"/>
      <c r="C83" s="34" t="s">
        <v>149</v>
      </c>
      <c r="D83" s="35"/>
      <c r="E83" s="35"/>
      <c r="G83" s="35"/>
      <c r="H83" s="35"/>
      <c r="I83" s="35"/>
      <c r="J83" s="35"/>
      <c r="K83" s="35"/>
      <c r="L83" s="35"/>
      <c r="M83" s="35"/>
      <c r="N83" s="35"/>
      <c r="O83" s="35"/>
      <c r="P83" s="35"/>
      <c r="Q83" s="35"/>
      <c r="R83" s="35"/>
      <c r="S83" s="35"/>
      <c r="T83" s="35"/>
      <c r="U83" s="35"/>
      <c r="V83" s="35"/>
      <c r="W83" s="35"/>
      <c r="X83" s="35"/>
      <c r="Y83" s="35"/>
      <c r="Z83" s="35"/>
    </row>
    <row r="84">
      <c r="A84" s="35"/>
      <c r="B84" s="35"/>
      <c r="C84" s="34" t="s">
        <v>228</v>
      </c>
      <c r="D84" s="35"/>
      <c r="E84" s="35"/>
      <c r="G84" s="35"/>
      <c r="H84" s="35"/>
      <c r="I84" s="35"/>
      <c r="J84" s="35"/>
      <c r="K84" s="35"/>
      <c r="L84" s="35"/>
      <c r="M84" s="35"/>
      <c r="N84" s="35"/>
      <c r="O84" s="35"/>
      <c r="P84" s="35"/>
      <c r="Q84" s="35"/>
      <c r="R84" s="35"/>
      <c r="S84" s="35"/>
      <c r="T84" s="35"/>
      <c r="U84" s="35"/>
      <c r="V84" s="35"/>
      <c r="W84" s="35"/>
      <c r="X84" s="35"/>
      <c r="Y84" s="35"/>
      <c r="Z84" s="35"/>
    </row>
    <row r="85">
      <c r="A85" s="35"/>
      <c r="B85" s="35"/>
      <c r="C85" s="34" t="s">
        <v>63</v>
      </c>
      <c r="D85" s="35"/>
      <c r="E85" s="35"/>
      <c r="G85" s="35"/>
      <c r="H85" s="35"/>
      <c r="I85" s="35"/>
      <c r="J85" s="35"/>
      <c r="K85" s="35"/>
      <c r="L85" s="35"/>
      <c r="M85" s="35"/>
      <c r="N85" s="35"/>
      <c r="O85" s="35"/>
      <c r="P85" s="35"/>
      <c r="Q85" s="35"/>
      <c r="R85" s="35"/>
      <c r="S85" s="35"/>
      <c r="T85" s="35"/>
      <c r="U85" s="35"/>
      <c r="V85" s="35"/>
      <c r="W85" s="35"/>
      <c r="X85" s="35"/>
      <c r="Y85" s="35"/>
      <c r="Z85" s="35"/>
    </row>
    <row r="86">
      <c r="A86" s="35"/>
      <c r="B86" s="35"/>
      <c r="C86" s="34" t="s">
        <v>99</v>
      </c>
      <c r="D86" s="35"/>
      <c r="E86" s="35"/>
      <c r="G86" s="35"/>
      <c r="H86" s="35"/>
      <c r="I86" s="35"/>
      <c r="J86" s="35"/>
      <c r="K86" s="35"/>
      <c r="L86" s="35"/>
      <c r="M86" s="35"/>
      <c r="N86" s="35"/>
      <c r="O86" s="35"/>
      <c r="P86" s="35"/>
      <c r="Q86" s="35"/>
      <c r="R86" s="35"/>
      <c r="S86" s="35"/>
      <c r="T86" s="35"/>
      <c r="U86" s="35"/>
      <c r="V86" s="35"/>
      <c r="W86" s="35"/>
      <c r="X86" s="35"/>
      <c r="Y86" s="35"/>
      <c r="Z86" s="35"/>
    </row>
    <row r="87">
      <c r="A87" s="35"/>
      <c r="B87" s="35"/>
      <c r="C87" s="34" t="s">
        <v>74</v>
      </c>
      <c r="D87" s="35"/>
      <c r="E87" s="35"/>
      <c r="G87" s="35"/>
      <c r="H87" s="35"/>
      <c r="I87" s="35"/>
      <c r="J87" s="35"/>
      <c r="K87" s="35"/>
      <c r="L87" s="35"/>
      <c r="M87" s="35"/>
      <c r="N87" s="35"/>
      <c r="O87" s="35"/>
      <c r="P87" s="35"/>
      <c r="Q87" s="35"/>
      <c r="R87" s="35"/>
      <c r="S87" s="35"/>
      <c r="T87" s="35"/>
      <c r="U87" s="35"/>
      <c r="V87" s="35"/>
      <c r="W87" s="35"/>
      <c r="X87" s="35"/>
      <c r="Y87" s="35"/>
      <c r="Z87" s="35"/>
    </row>
    <row r="88">
      <c r="A88" s="35"/>
      <c r="B88" s="35"/>
      <c r="C88" s="34" t="s">
        <v>387</v>
      </c>
      <c r="D88" s="35"/>
      <c r="E88" s="35"/>
      <c r="G88" s="35"/>
      <c r="H88" s="35"/>
      <c r="I88" s="35"/>
      <c r="J88" s="35"/>
      <c r="K88" s="35"/>
      <c r="L88" s="35"/>
      <c r="M88" s="35"/>
      <c r="N88" s="35"/>
      <c r="O88" s="35"/>
      <c r="P88" s="35"/>
      <c r="Q88" s="35"/>
      <c r="R88" s="35"/>
      <c r="S88" s="35"/>
      <c r="T88" s="35"/>
      <c r="U88" s="35"/>
      <c r="V88" s="35"/>
      <c r="W88" s="35"/>
      <c r="X88" s="35"/>
      <c r="Y88" s="35"/>
      <c r="Z88" s="35"/>
    </row>
    <row r="89">
      <c r="A89" s="35"/>
      <c r="B89" s="35"/>
      <c r="C89" s="36" t="s">
        <v>104</v>
      </c>
      <c r="D89" s="35"/>
      <c r="E89" s="35"/>
      <c r="G89" s="35"/>
      <c r="H89" s="35"/>
      <c r="I89" s="35"/>
      <c r="J89" s="35"/>
      <c r="K89" s="35"/>
      <c r="L89" s="35"/>
      <c r="M89" s="35"/>
      <c r="N89" s="35"/>
      <c r="O89" s="35"/>
      <c r="P89" s="35"/>
      <c r="Q89" s="35"/>
      <c r="R89" s="35"/>
      <c r="S89" s="35"/>
      <c r="T89" s="35"/>
      <c r="U89" s="35"/>
      <c r="V89" s="35"/>
      <c r="W89" s="35"/>
      <c r="X89" s="35"/>
      <c r="Y89" s="35"/>
      <c r="Z89" s="35"/>
    </row>
    <row r="90">
      <c r="A90" s="35"/>
      <c r="B90" s="35"/>
      <c r="C90" s="34" t="s">
        <v>45</v>
      </c>
      <c r="D90" s="35"/>
      <c r="E90" s="35"/>
      <c r="G90" s="35"/>
      <c r="H90" s="35"/>
      <c r="I90" s="35"/>
      <c r="J90" s="35"/>
      <c r="K90" s="35"/>
      <c r="L90" s="35"/>
      <c r="M90" s="35"/>
      <c r="N90" s="35"/>
      <c r="O90" s="35"/>
      <c r="P90" s="35"/>
      <c r="Q90" s="35"/>
      <c r="R90" s="35"/>
      <c r="S90" s="35"/>
      <c r="T90" s="35"/>
      <c r="U90" s="35"/>
      <c r="V90" s="35"/>
      <c r="W90" s="35"/>
      <c r="X90" s="35"/>
      <c r="Y90" s="35"/>
      <c r="Z90" s="35"/>
    </row>
    <row r="91">
      <c r="A91" s="35"/>
      <c r="B91" s="35"/>
      <c r="C91" s="34" t="s">
        <v>37</v>
      </c>
      <c r="D91" s="35"/>
      <c r="E91" s="35"/>
      <c r="G91" s="35"/>
      <c r="H91" s="35"/>
      <c r="I91" s="35"/>
      <c r="J91" s="35"/>
      <c r="K91" s="35"/>
      <c r="L91" s="35"/>
      <c r="M91" s="35"/>
      <c r="N91" s="35"/>
      <c r="O91" s="35"/>
      <c r="P91" s="35"/>
      <c r="Q91" s="35"/>
      <c r="R91" s="35"/>
      <c r="S91" s="35"/>
      <c r="T91" s="35"/>
      <c r="U91" s="35"/>
      <c r="V91" s="35"/>
      <c r="W91" s="35"/>
      <c r="X91" s="35"/>
      <c r="Y91" s="35"/>
      <c r="Z91" s="35"/>
    </row>
    <row r="92">
      <c r="A92" s="35"/>
      <c r="B92" s="35"/>
      <c r="C92" s="34" t="s">
        <v>266</v>
      </c>
      <c r="D92" s="35"/>
      <c r="E92" s="35"/>
      <c r="G92" s="35"/>
      <c r="H92" s="35"/>
      <c r="I92" s="35"/>
      <c r="J92" s="35"/>
      <c r="K92" s="35"/>
      <c r="L92" s="35"/>
      <c r="M92" s="35"/>
      <c r="N92" s="35"/>
      <c r="O92" s="35"/>
      <c r="P92" s="35"/>
      <c r="Q92" s="35"/>
      <c r="R92" s="35"/>
      <c r="S92" s="35"/>
      <c r="T92" s="35"/>
      <c r="U92" s="35"/>
      <c r="V92" s="35"/>
      <c r="W92" s="35"/>
      <c r="X92" s="35"/>
      <c r="Y92" s="35"/>
      <c r="Z92" s="35"/>
    </row>
    <row r="93">
      <c r="A93" s="35"/>
      <c r="B93" s="35"/>
      <c r="C93" s="34" t="s">
        <v>171</v>
      </c>
      <c r="D93" s="35"/>
      <c r="E93" s="35"/>
      <c r="G93" s="35"/>
      <c r="H93" s="35"/>
      <c r="I93" s="35"/>
      <c r="J93" s="35"/>
      <c r="K93" s="35"/>
      <c r="L93" s="35"/>
      <c r="M93" s="35"/>
      <c r="N93" s="35"/>
      <c r="O93" s="35"/>
      <c r="P93" s="35"/>
      <c r="Q93" s="35"/>
      <c r="R93" s="35"/>
      <c r="S93" s="35"/>
      <c r="T93" s="35"/>
      <c r="U93" s="35"/>
      <c r="V93" s="35"/>
      <c r="W93" s="35"/>
      <c r="X93" s="35"/>
      <c r="Y93" s="35"/>
      <c r="Z93" s="35"/>
    </row>
    <row r="94">
      <c r="A94" s="35"/>
      <c r="B94" s="35"/>
      <c r="C94" s="34" t="s">
        <v>117</v>
      </c>
      <c r="D94" s="35"/>
      <c r="E94" s="35"/>
      <c r="G94" s="35"/>
      <c r="H94" s="35"/>
      <c r="I94" s="35"/>
      <c r="J94" s="35"/>
      <c r="K94" s="35"/>
      <c r="L94" s="35"/>
      <c r="M94" s="35"/>
      <c r="N94" s="35"/>
      <c r="O94" s="35"/>
      <c r="P94" s="35"/>
      <c r="Q94" s="35"/>
      <c r="R94" s="35"/>
      <c r="S94" s="35"/>
      <c r="T94" s="35"/>
      <c r="U94" s="35"/>
      <c r="V94" s="35"/>
      <c r="W94" s="35"/>
      <c r="X94" s="35"/>
      <c r="Y94" s="35"/>
      <c r="Z94" s="35"/>
    </row>
    <row r="95">
      <c r="A95" s="35"/>
      <c r="B95" s="35"/>
      <c r="C95" s="34" t="s">
        <v>83</v>
      </c>
      <c r="D95" s="35"/>
      <c r="E95" s="35"/>
      <c r="G95" s="35"/>
      <c r="H95" s="35"/>
      <c r="I95" s="35"/>
      <c r="J95" s="35"/>
      <c r="K95" s="35"/>
      <c r="L95" s="35"/>
      <c r="M95" s="35"/>
      <c r="N95" s="35"/>
      <c r="O95" s="35"/>
      <c r="P95" s="35"/>
      <c r="Q95" s="35"/>
      <c r="R95" s="35"/>
      <c r="S95" s="35"/>
      <c r="T95" s="35"/>
      <c r="U95" s="35"/>
      <c r="V95" s="35"/>
      <c r="W95" s="35"/>
      <c r="X95" s="35"/>
      <c r="Y95" s="35"/>
      <c r="Z95" s="35"/>
    </row>
    <row r="96">
      <c r="A96" s="35"/>
      <c r="B96" s="35"/>
      <c r="C96" s="34" t="s">
        <v>274</v>
      </c>
      <c r="D96" s="35"/>
      <c r="E96" s="35"/>
      <c r="G96" s="35"/>
      <c r="H96" s="35"/>
      <c r="I96" s="35"/>
      <c r="J96" s="35"/>
      <c r="K96" s="35"/>
      <c r="L96" s="35"/>
      <c r="M96" s="35"/>
      <c r="N96" s="35"/>
      <c r="O96" s="35"/>
      <c r="P96" s="35"/>
      <c r="Q96" s="35"/>
      <c r="R96" s="35"/>
      <c r="S96" s="35"/>
      <c r="T96" s="35"/>
      <c r="U96" s="35"/>
      <c r="V96" s="35"/>
      <c r="W96" s="35"/>
      <c r="X96" s="35"/>
      <c r="Y96" s="35"/>
      <c r="Z96" s="35"/>
    </row>
    <row r="97">
      <c r="A97" s="35"/>
      <c r="B97" s="35"/>
      <c r="C97" s="34" t="s">
        <v>208</v>
      </c>
      <c r="D97" s="35"/>
      <c r="E97" s="35"/>
      <c r="G97" s="35"/>
      <c r="H97" s="35"/>
      <c r="I97" s="35"/>
      <c r="J97" s="35"/>
      <c r="K97" s="35"/>
      <c r="L97" s="35"/>
      <c r="M97" s="35"/>
      <c r="N97" s="35"/>
      <c r="O97" s="35"/>
      <c r="P97" s="35"/>
      <c r="Q97" s="35"/>
      <c r="R97" s="35"/>
      <c r="S97" s="35"/>
      <c r="T97" s="35"/>
      <c r="U97" s="35"/>
      <c r="V97" s="35"/>
      <c r="W97" s="35"/>
      <c r="X97" s="35"/>
      <c r="Y97" s="35"/>
      <c r="Z97" s="35"/>
    </row>
    <row r="98">
      <c r="A98" s="35"/>
      <c r="B98" s="35"/>
      <c r="C98" s="34" t="s">
        <v>215</v>
      </c>
      <c r="D98" s="35"/>
      <c r="E98" s="35"/>
      <c r="G98" s="35"/>
      <c r="H98" s="35"/>
      <c r="I98" s="35"/>
      <c r="J98" s="35"/>
      <c r="K98" s="35"/>
      <c r="L98" s="35"/>
      <c r="M98" s="35"/>
      <c r="N98" s="35"/>
      <c r="O98" s="35"/>
      <c r="P98" s="35"/>
      <c r="Q98" s="35"/>
      <c r="R98" s="35"/>
      <c r="S98" s="35"/>
      <c r="T98" s="35"/>
      <c r="U98" s="35"/>
      <c r="V98" s="35"/>
      <c r="W98" s="35"/>
      <c r="X98" s="35"/>
      <c r="Y98" s="35"/>
      <c r="Z98" s="35"/>
    </row>
    <row r="99">
      <c r="A99" s="35"/>
      <c r="B99" s="35"/>
      <c r="C99" s="34" t="s">
        <v>237</v>
      </c>
      <c r="D99" s="35"/>
      <c r="E99" s="35"/>
      <c r="G99" s="35"/>
      <c r="H99" s="35"/>
      <c r="I99" s="35"/>
      <c r="J99" s="35"/>
      <c r="K99" s="35"/>
      <c r="L99" s="35"/>
      <c r="M99" s="35"/>
      <c r="N99" s="35"/>
      <c r="O99" s="35"/>
      <c r="P99" s="35"/>
      <c r="Q99" s="35"/>
      <c r="R99" s="35"/>
      <c r="S99" s="35"/>
      <c r="T99" s="35"/>
      <c r="U99" s="35"/>
      <c r="V99" s="35"/>
      <c r="W99" s="35"/>
      <c r="X99" s="35"/>
      <c r="Y99" s="35"/>
      <c r="Z99" s="35"/>
    </row>
    <row r="100">
      <c r="A100" s="35"/>
      <c r="B100" s="35"/>
      <c r="C100" s="34" t="s">
        <v>162</v>
      </c>
      <c r="D100" s="35"/>
      <c r="E100" s="35"/>
      <c r="G100" s="35"/>
      <c r="H100" s="35"/>
      <c r="I100" s="35"/>
      <c r="J100" s="35"/>
      <c r="K100" s="35"/>
      <c r="L100" s="35"/>
      <c r="M100" s="35"/>
      <c r="N100" s="35"/>
      <c r="O100" s="35"/>
      <c r="P100" s="35"/>
      <c r="Q100" s="35"/>
      <c r="R100" s="35"/>
      <c r="S100" s="35"/>
      <c r="T100" s="35"/>
      <c r="U100" s="35"/>
      <c r="V100" s="35"/>
      <c r="W100" s="35"/>
      <c r="X100" s="35"/>
      <c r="Y100" s="35"/>
      <c r="Z100" s="35"/>
    </row>
    <row r="101">
      <c r="A101" s="35"/>
      <c r="B101" s="35"/>
      <c r="D101" s="35"/>
      <c r="E101" s="35"/>
      <c r="G101" s="35"/>
      <c r="H101" s="35"/>
      <c r="I101" s="35"/>
      <c r="J101" s="35"/>
      <c r="K101" s="35"/>
      <c r="L101" s="35"/>
      <c r="M101" s="35"/>
      <c r="N101" s="35"/>
      <c r="O101" s="35"/>
      <c r="P101" s="35"/>
      <c r="Q101" s="35"/>
      <c r="R101" s="35"/>
      <c r="S101" s="35"/>
      <c r="T101" s="35"/>
      <c r="U101" s="35"/>
      <c r="V101" s="35"/>
      <c r="W101" s="35"/>
      <c r="X101" s="35"/>
      <c r="Y101" s="35"/>
      <c r="Z101" s="35"/>
    </row>
    <row r="102">
      <c r="A102" s="35"/>
      <c r="B102" s="35"/>
      <c r="C102" s="35"/>
      <c r="D102" s="35"/>
      <c r="E102" s="35"/>
      <c r="F102" s="34"/>
      <c r="G102" s="35"/>
      <c r="H102" s="35"/>
      <c r="I102" s="35"/>
      <c r="J102" s="35"/>
      <c r="K102" s="35"/>
      <c r="L102" s="35"/>
      <c r="M102" s="35"/>
      <c r="N102" s="35"/>
      <c r="O102" s="35"/>
      <c r="P102" s="35"/>
      <c r="Q102" s="35"/>
      <c r="R102" s="35"/>
      <c r="S102" s="35"/>
      <c r="T102" s="35"/>
      <c r="U102" s="35"/>
      <c r="V102" s="35"/>
      <c r="W102" s="35"/>
      <c r="X102" s="35"/>
      <c r="Y102" s="35"/>
      <c r="Z102" s="35"/>
    </row>
    <row r="103">
      <c r="A103" s="35"/>
      <c r="B103" s="35"/>
      <c r="C103" s="35"/>
      <c r="D103" s="35"/>
      <c r="E103" s="35"/>
      <c r="F103" s="34"/>
      <c r="G103" s="35"/>
      <c r="H103" s="35"/>
      <c r="I103" s="35"/>
      <c r="J103" s="35"/>
      <c r="K103" s="35"/>
      <c r="L103" s="35"/>
      <c r="M103" s="35"/>
      <c r="N103" s="35"/>
      <c r="O103" s="35"/>
      <c r="P103" s="35"/>
      <c r="Q103" s="35"/>
      <c r="R103" s="35"/>
      <c r="S103" s="35"/>
      <c r="T103" s="35"/>
      <c r="U103" s="35"/>
      <c r="V103" s="35"/>
      <c r="W103" s="35"/>
      <c r="X103" s="35"/>
      <c r="Y103" s="35"/>
      <c r="Z103" s="35"/>
    </row>
    <row r="104">
      <c r="A104" s="35"/>
      <c r="B104" s="35"/>
      <c r="C104" s="35"/>
      <c r="D104" s="35"/>
      <c r="E104" s="35"/>
      <c r="F104" s="34"/>
      <c r="G104" s="35"/>
      <c r="H104" s="35"/>
      <c r="I104" s="35"/>
      <c r="J104" s="35"/>
      <c r="K104" s="35"/>
      <c r="L104" s="35"/>
      <c r="M104" s="35"/>
      <c r="N104" s="35"/>
      <c r="O104" s="35"/>
      <c r="P104" s="35"/>
      <c r="Q104" s="35"/>
      <c r="R104" s="35"/>
      <c r="S104" s="35"/>
      <c r="T104" s="35"/>
      <c r="U104" s="35"/>
      <c r="V104" s="35"/>
      <c r="W104" s="35"/>
      <c r="X104" s="35"/>
      <c r="Y104" s="35"/>
      <c r="Z104" s="35"/>
    </row>
    <row r="105">
      <c r="A105" s="35"/>
      <c r="B105" s="35"/>
      <c r="C105" s="35"/>
      <c r="D105" s="35"/>
      <c r="E105" s="35"/>
      <c r="F105" s="34"/>
      <c r="G105" s="35"/>
      <c r="H105" s="35"/>
      <c r="I105" s="35"/>
      <c r="J105" s="35"/>
      <c r="K105" s="35"/>
      <c r="L105" s="35"/>
      <c r="M105" s="35"/>
      <c r="N105" s="35"/>
      <c r="O105" s="35"/>
      <c r="P105" s="35"/>
      <c r="Q105" s="35"/>
      <c r="R105" s="35"/>
      <c r="S105" s="35"/>
      <c r="T105" s="35"/>
      <c r="U105" s="35"/>
      <c r="V105" s="35"/>
      <c r="W105" s="35"/>
      <c r="X105" s="35"/>
      <c r="Y105" s="35"/>
      <c r="Z105" s="35"/>
    </row>
    <row r="106">
      <c r="A106" s="35"/>
      <c r="B106" s="35"/>
      <c r="C106" s="35"/>
      <c r="D106" s="35"/>
      <c r="E106" s="35"/>
      <c r="F106" s="34"/>
      <c r="G106" s="35"/>
      <c r="H106" s="35"/>
      <c r="I106" s="35"/>
      <c r="J106" s="35"/>
      <c r="K106" s="35"/>
      <c r="L106" s="35"/>
      <c r="M106" s="35"/>
      <c r="N106" s="35"/>
      <c r="O106" s="35"/>
      <c r="P106" s="35"/>
      <c r="Q106" s="35"/>
      <c r="R106" s="35"/>
      <c r="S106" s="35"/>
      <c r="T106" s="35"/>
      <c r="U106" s="35"/>
      <c r="V106" s="35"/>
      <c r="W106" s="35"/>
      <c r="X106" s="35"/>
      <c r="Y106" s="35"/>
      <c r="Z106" s="35"/>
    </row>
    <row r="107">
      <c r="A107" s="35"/>
      <c r="B107" s="35"/>
      <c r="C107" s="35"/>
      <c r="D107" s="35"/>
      <c r="E107" s="35"/>
      <c r="F107" s="34"/>
      <c r="G107" s="35"/>
      <c r="H107" s="35"/>
      <c r="I107" s="35"/>
      <c r="J107" s="35"/>
      <c r="K107" s="35"/>
      <c r="L107" s="35"/>
      <c r="M107" s="35"/>
      <c r="N107" s="35"/>
      <c r="O107" s="35"/>
      <c r="P107" s="35"/>
      <c r="Q107" s="35"/>
      <c r="R107" s="35"/>
      <c r="S107" s="35"/>
      <c r="T107" s="35"/>
      <c r="U107" s="35"/>
      <c r="V107" s="35"/>
      <c r="W107" s="35"/>
      <c r="X107" s="35"/>
      <c r="Y107" s="35"/>
      <c r="Z107" s="35"/>
    </row>
    <row r="108">
      <c r="A108" s="35"/>
      <c r="B108" s="35"/>
      <c r="C108" s="35"/>
      <c r="D108" s="35"/>
      <c r="E108" s="35"/>
      <c r="F108" s="34"/>
      <c r="G108" s="35"/>
      <c r="H108" s="35"/>
      <c r="I108" s="35"/>
      <c r="J108" s="35"/>
      <c r="K108" s="35"/>
      <c r="L108" s="35"/>
      <c r="M108" s="35"/>
      <c r="N108" s="35"/>
      <c r="O108" s="35"/>
      <c r="P108" s="35"/>
      <c r="Q108" s="35"/>
      <c r="R108" s="35"/>
      <c r="S108" s="35"/>
      <c r="T108" s="35"/>
      <c r="U108" s="35"/>
      <c r="V108" s="35"/>
      <c r="W108" s="35"/>
      <c r="X108" s="35"/>
      <c r="Y108" s="35"/>
      <c r="Z108" s="35"/>
    </row>
    <row r="109">
      <c r="A109" s="35"/>
      <c r="B109" s="35"/>
      <c r="C109" s="35"/>
      <c r="D109" s="35"/>
      <c r="E109" s="35"/>
      <c r="F109" s="36"/>
      <c r="G109" s="35"/>
      <c r="H109" s="35"/>
      <c r="I109" s="35"/>
      <c r="J109" s="35"/>
      <c r="K109" s="35"/>
      <c r="L109" s="35"/>
      <c r="M109" s="35"/>
      <c r="N109" s="35"/>
      <c r="O109" s="35"/>
      <c r="P109" s="35"/>
      <c r="Q109" s="35"/>
      <c r="R109" s="35"/>
      <c r="S109" s="35"/>
      <c r="T109" s="35"/>
      <c r="U109" s="35"/>
      <c r="V109" s="35"/>
      <c r="W109" s="35"/>
      <c r="X109" s="35"/>
      <c r="Y109" s="35"/>
      <c r="Z109" s="35"/>
    </row>
    <row r="110">
      <c r="A110" s="35"/>
      <c r="B110" s="35"/>
      <c r="C110" s="35"/>
      <c r="D110" s="35"/>
      <c r="E110" s="35"/>
      <c r="F110" s="36"/>
      <c r="G110" s="35"/>
      <c r="H110" s="35"/>
      <c r="I110" s="35"/>
      <c r="J110" s="35"/>
      <c r="K110" s="35"/>
      <c r="L110" s="35"/>
      <c r="M110" s="35"/>
      <c r="N110" s="35"/>
      <c r="O110" s="35"/>
      <c r="P110" s="35"/>
      <c r="Q110" s="35"/>
      <c r="R110" s="35"/>
      <c r="S110" s="35"/>
      <c r="T110" s="35"/>
      <c r="U110" s="35"/>
      <c r="V110" s="35"/>
      <c r="W110" s="35"/>
      <c r="X110" s="35"/>
      <c r="Y110" s="35"/>
      <c r="Z110" s="35"/>
    </row>
    <row r="111">
      <c r="A111" s="35"/>
      <c r="B111" s="35"/>
      <c r="C111" s="35"/>
      <c r="D111" s="35"/>
      <c r="E111" s="35"/>
      <c r="F111" s="34"/>
      <c r="G111" s="35"/>
      <c r="H111" s="35"/>
      <c r="I111" s="35"/>
      <c r="J111" s="35"/>
      <c r="K111" s="35"/>
      <c r="L111" s="35"/>
      <c r="M111" s="35"/>
      <c r="N111" s="35"/>
      <c r="O111" s="35"/>
      <c r="P111" s="35"/>
      <c r="Q111" s="35"/>
      <c r="R111" s="35"/>
      <c r="S111" s="35"/>
      <c r="T111" s="35"/>
      <c r="U111" s="35"/>
      <c r="V111" s="35"/>
      <c r="W111" s="35"/>
      <c r="X111" s="35"/>
      <c r="Y111" s="35"/>
      <c r="Z111" s="35"/>
    </row>
    <row r="11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c r="A113" s="35"/>
      <c r="B113" s="35"/>
      <c r="C113" s="35"/>
      <c r="D113" s="35"/>
      <c r="E113" s="35"/>
      <c r="F113" s="34"/>
      <c r="G113" s="35"/>
      <c r="H113" s="35"/>
      <c r="I113" s="35"/>
      <c r="J113" s="35"/>
      <c r="K113" s="35"/>
      <c r="L113" s="35"/>
      <c r="M113" s="35"/>
      <c r="N113" s="35"/>
      <c r="O113" s="35"/>
      <c r="P113" s="35"/>
      <c r="Q113" s="35"/>
      <c r="R113" s="35"/>
      <c r="S113" s="35"/>
      <c r="T113" s="35"/>
      <c r="U113" s="35"/>
      <c r="V113" s="35"/>
      <c r="W113" s="35"/>
      <c r="X113" s="35"/>
      <c r="Y113" s="35"/>
      <c r="Z113" s="35"/>
    </row>
    <row r="114">
      <c r="A114" s="35"/>
      <c r="B114" s="35"/>
      <c r="C114" s="35"/>
      <c r="D114" s="35"/>
      <c r="E114" s="35"/>
      <c r="F114" s="34"/>
      <c r="G114" s="35"/>
      <c r="H114" s="35"/>
      <c r="I114" s="35"/>
      <c r="J114" s="35"/>
      <c r="K114" s="35"/>
      <c r="L114" s="35"/>
      <c r="M114" s="35"/>
      <c r="N114" s="35"/>
      <c r="O114" s="35"/>
      <c r="P114" s="35"/>
      <c r="Q114" s="35"/>
      <c r="R114" s="35"/>
      <c r="S114" s="35"/>
      <c r="T114" s="35"/>
      <c r="U114" s="35"/>
      <c r="V114" s="35"/>
      <c r="W114" s="35"/>
      <c r="X114" s="35"/>
      <c r="Y114" s="35"/>
      <c r="Z114" s="35"/>
    </row>
    <row r="115">
      <c r="A115" s="35"/>
      <c r="B115" s="35"/>
      <c r="C115" s="35"/>
      <c r="D115" s="35"/>
      <c r="E115" s="35"/>
      <c r="F115" s="34"/>
      <c r="G115" s="35"/>
      <c r="H115" s="35"/>
      <c r="I115" s="35"/>
      <c r="J115" s="35"/>
      <c r="K115" s="35"/>
      <c r="L115" s="35"/>
      <c r="M115" s="35"/>
      <c r="N115" s="35"/>
      <c r="O115" s="35"/>
      <c r="P115" s="35"/>
      <c r="Q115" s="35"/>
      <c r="R115" s="35"/>
      <c r="S115" s="35"/>
      <c r="T115" s="35"/>
      <c r="U115" s="35"/>
      <c r="V115" s="35"/>
      <c r="W115" s="35"/>
      <c r="X115" s="35"/>
      <c r="Y115" s="35"/>
      <c r="Z115" s="35"/>
    </row>
    <row r="116">
      <c r="A116" s="35"/>
      <c r="B116" s="35"/>
      <c r="C116" s="35"/>
      <c r="D116" s="35"/>
      <c r="E116" s="35"/>
      <c r="F116" s="34"/>
      <c r="G116" s="35"/>
      <c r="H116" s="35"/>
      <c r="I116" s="35"/>
      <c r="J116" s="35"/>
      <c r="K116" s="35"/>
      <c r="L116" s="35"/>
      <c r="M116" s="35"/>
      <c r="N116" s="35"/>
      <c r="O116" s="35"/>
      <c r="P116" s="35"/>
      <c r="Q116" s="35"/>
      <c r="R116" s="35"/>
      <c r="S116" s="35"/>
      <c r="T116" s="35"/>
      <c r="U116" s="35"/>
      <c r="V116" s="35"/>
      <c r="W116" s="35"/>
      <c r="X116" s="35"/>
      <c r="Y116" s="35"/>
      <c r="Z116" s="35"/>
    </row>
    <row r="117">
      <c r="A117" s="35"/>
      <c r="B117" s="35"/>
      <c r="C117" s="35"/>
      <c r="D117" s="35"/>
      <c r="E117" s="35"/>
      <c r="F117" s="34"/>
      <c r="G117" s="35"/>
      <c r="H117" s="35"/>
      <c r="I117" s="35"/>
      <c r="J117" s="35"/>
      <c r="K117" s="35"/>
      <c r="L117" s="35"/>
      <c r="M117" s="35"/>
      <c r="N117" s="35"/>
      <c r="O117" s="35"/>
      <c r="P117" s="35"/>
      <c r="Q117" s="35"/>
      <c r="R117" s="35"/>
      <c r="S117" s="35"/>
      <c r="T117" s="35"/>
      <c r="U117" s="35"/>
      <c r="V117" s="35"/>
      <c r="W117" s="35"/>
      <c r="X117" s="35"/>
      <c r="Y117" s="35"/>
      <c r="Z117" s="35"/>
    </row>
    <row r="118">
      <c r="A118" s="35"/>
      <c r="B118" s="35"/>
      <c r="C118" s="35"/>
      <c r="D118" s="35"/>
      <c r="E118" s="35"/>
      <c r="F118" s="34"/>
      <c r="G118" s="35"/>
      <c r="H118" s="35"/>
      <c r="I118" s="35"/>
      <c r="J118" s="35"/>
      <c r="K118" s="35"/>
      <c r="L118" s="35"/>
      <c r="M118" s="35"/>
      <c r="N118" s="35"/>
      <c r="O118" s="35"/>
      <c r="P118" s="35"/>
      <c r="Q118" s="35"/>
      <c r="R118" s="35"/>
      <c r="S118" s="35"/>
      <c r="T118" s="35"/>
      <c r="U118" s="35"/>
      <c r="V118" s="35"/>
      <c r="W118" s="35"/>
      <c r="X118" s="35"/>
      <c r="Y118" s="35"/>
      <c r="Z118" s="35"/>
    </row>
    <row r="119">
      <c r="A119" s="35"/>
      <c r="B119" s="35"/>
      <c r="C119" s="35"/>
      <c r="D119" s="35"/>
      <c r="E119" s="35"/>
      <c r="F119" s="34"/>
      <c r="G119" s="35"/>
      <c r="H119" s="35"/>
      <c r="I119" s="35"/>
      <c r="J119" s="35"/>
      <c r="K119" s="35"/>
      <c r="L119" s="35"/>
      <c r="M119" s="35"/>
      <c r="N119" s="35"/>
      <c r="O119" s="35"/>
      <c r="P119" s="35"/>
      <c r="Q119" s="35"/>
      <c r="R119" s="35"/>
      <c r="S119" s="35"/>
      <c r="T119" s="35"/>
      <c r="U119" s="35"/>
      <c r="V119" s="35"/>
      <c r="W119" s="35"/>
      <c r="X119" s="35"/>
      <c r="Y119" s="35"/>
      <c r="Z119" s="35"/>
    </row>
    <row r="120">
      <c r="A120" s="35"/>
      <c r="B120" s="35"/>
      <c r="C120" s="35"/>
      <c r="D120" s="35"/>
      <c r="E120" s="35"/>
      <c r="F120" s="34"/>
      <c r="G120" s="35"/>
      <c r="H120" s="35"/>
      <c r="I120" s="35"/>
      <c r="J120" s="35"/>
      <c r="K120" s="35"/>
      <c r="L120" s="35"/>
      <c r="M120" s="35"/>
      <c r="N120" s="35"/>
      <c r="O120" s="35"/>
      <c r="P120" s="35"/>
      <c r="Q120" s="35"/>
      <c r="R120" s="35"/>
      <c r="S120" s="35"/>
      <c r="T120" s="35"/>
      <c r="U120" s="35"/>
      <c r="V120" s="35"/>
      <c r="W120" s="35"/>
      <c r="X120" s="35"/>
      <c r="Y120" s="35"/>
      <c r="Z120" s="35"/>
    </row>
    <row r="121">
      <c r="A121" s="35"/>
      <c r="B121" s="35"/>
      <c r="C121" s="35"/>
      <c r="D121" s="35"/>
      <c r="E121" s="35"/>
      <c r="F121" s="34"/>
      <c r="G121" s="35"/>
      <c r="H121" s="35"/>
      <c r="I121" s="35"/>
      <c r="J121" s="35"/>
      <c r="K121" s="35"/>
      <c r="L121" s="35"/>
      <c r="M121" s="35"/>
      <c r="N121" s="35"/>
      <c r="O121" s="35"/>
      <c r="P121" s="35"/>
      <c r="Q121" s="35"/>
      <c r="R121" s="35"/>
      <c r="S121" s="35"/>
      <c r="T121" s="35"/>
      <c r="U121" s="35"/>
      <c r="V121" s="35"/>
      <c r="W121" s="35"/>
      <c r="X121" s="35"/>
      <c r="Y121" s="35"/>
      <c r="Z121" s="35"/>
    </row>
    <row r="122">
      <c r="A122" s="35"/>
      <c r="B122" s="35"/>
      <c r="C122" s="35"/>
      <c r="D122" s="35"/>
      <c r="E122" s="35"/>
      <c r="F122" s="34"/>
      <c r="G122" s="35"/>
      <c r="H122" s="35"/>
      <c r="I122" s="35"/>
      <c r="J122" s="35"/>
      <c r="K122" s="35"/>
      <c r="L122" s="35"/>
      <c r="M122" s="35"/>
      <c r="N122" s="35"/>
      <c r="O122" s="35"/>
      <c r="P122" s="35"/>
      <c r="Q122" s="35"/>
      <c r="R122" s="35"/>
      <c r="S122" s="35"/>
      <c r="T122" s="35"/>
      <c r="U122" s="35"/>
      <c r="V122" s="35"/>
      <c r="W122" s="35"/>
      <c r="X122" s="35"/>
      <c r="Y122" s="35"/>
      <c r="Z122" s="35"/>
    </row>
    <row r="123">
      <c r="A123" s="35"/>
      <c r="B123" s="35"/>
      <c r="C123" s="35"/>
      <c r="D123" s="35"/>
      <c r="E123" s="35"/>
      <c r="F123" s="34"/>
      <c r="G123" s="35"/>
      <c r="H123" s="35"/>
      <c r="I123" s="35"/>
      <c r="J123" s="35"/>
      <c r="K123" s="35"/>
      <c r="L123" s="35"/>
      <c r="M123" s="35"/>
      <c r="N123" s="35"/>
      <c r="O123" s="35"/>
      <c r="P123" s="35"/>
      <c r="Q123" s="35"/>
      <c r="R123" s="35"/>
      <c r="S123" s="35"/>
      <c r="T123" s="35"/>
      <c r="U123" s="35"/>
      <c r="V123" s="35"/>
      <c r="W123" s="35"/>
      <c r="X123" s="35"/>
      <c r="Y123" s="35"/>
      <c r="Z123" s="35"/>
    </row>
    <row r="124">
      <c r="A124" s="35"/>
      <c r="B124" s="35"/>
      <c r="C124" s="35"/>
      <c r="D124" s="35"/>
      <c r="E124" s="35"/>
      <c r="F124" s="34"/>
      <c r="G124" s="35"/>
      <c r="H124" s="35"/>
      <c r="I124" s="35"/>
      <c r="J124" s="35"/>
      <c r="K124" s="35"/>
      <c r="L124" s="35"/>
      <c r="M124" s="35"/>
      <c r="N124" s="35"/>
      <c r="O124" s="35"/>
      <c r="P124" s="35"/>
      <c r="Q124" s="35"/>
      <c r="R124" s="35"/>
      <c r="S124" s="35"/>
      <c r="T124" s="35"/>
      <c r="U124" s="35"/>
      <c r="V124" s="35"/>
      <c r="W124" s="35"/>
      <c r="X124" s="35"/>
      <c r="Y124" s="35"/>
      <c r="Z124" s="35"/>
    </row>
    <row r="125">
      <c r="A125" s="35"/>
      <c r="B125" s="35"/>
      <c r="C125" s="35"/>
      <c r="D125" s="35"/>
      <c r="E125" s="35"/>
      <c r="F125" s="34"/>
      <c r="G125" s="35"/>
      <c r="H125" s="35"/>
      <c r="I125" s="35"/>
      <c r="J125" s="35"/>
      <c r="K125" s="35"/>
      <c r="L125" s="35"/>
      <c r="M125" s="35"/>
      <c r="N125" s="35"/>
      <c r="O125" s="35"/>
      <c r="P125" s="35"/>
      <c r="Q125" s="35"/>
      <c r="R125" s="35"/>
      <c r="S125" s="35"/>
      <c r="T125" s="35"/>
      <c r="U125" s="35"/>
      <c r="V125" s="35"/>
      <c r="W125" s="35"/>
      <c r="X125" s="35"/>
      <c r="Y125" s="35"/>
      <c r="Z125" s="35"/>
    </row>
    <row r="126">
      <c r="A126" s="35"/>
      <c r="B126" s="35"/>
      <c r="C126" s="35"/>
      <c r="D126" s="35"/>
      <c r="E126" s="35"/>
      <c r="F126" s="34"/>
      <c r="G126" s="35"/>
      <c r="H126" s="35"/>
      <c r="I126" s="35"/>
      <c r="J126" s="35"/>
      <c r="K126" s="35"/>
      <c r="L126" s="35"/>
      <c r="M126" s="35"/>
      <c r="N126" s="35"/>
      <c r="O126" s="35"/>
      <c r="P126" s="35"/>
      <c r="Q126" s="35"/>
      <c r="R126" s="35"/>
      <c r="S126" s="35"/>
      <c r="T126" s="35"/>
      <c r="U126" s="35"/>
      <c r="V126" s="35"/>
      <c r="W126" s="35"/>
      <c r="X126" s="35"/>
      <c r="Y126" s="35"/>
      <c r="Z126" s="35"/>
    </row>
    <row r="127">
      <c r="A127" s="35"/>
      <c r="B127" s="35"/>
      <c r="C127" s="35"/>
      <c r="D127" s="35"/>
      <c r="E127" s="35"/>
      <c r="F127" s="34"/>
      <c r="G127" s="35"/>
      <c r="H127" s="35"/>
      <c r="I127" s="35"/>
      <c r="J127" s="35"/>
      <c r="K127" s="35"/>
      <c r="L127" s="35"/>
      <c r="M127" s="35"/>
      <c r="N127" s="35"/>
      <c r="O127" s="35"/>
      <c r="P127" s="35"/>
      <c r="Q127" s="35"/>
      <c r="R127" s="35"/>
      <c r="S127" s="35"/>
      <c r="T127" s="35"/>
      <c r="U127" s="35"/>
      <c r="V127" s="35"/>
      <c r="W127" s="35"/>
      <c r="X127" s="35"/>
      <c r="Y127" s="35"/>
      <c r="Z127" s="35"/>
    </row>
    <row r="128">
      <c r="A128" s="35"/>
      <c r="B128" s="35"/>
      <c r="C128" s="35"/>
      <c r="D128" s="35"/>
      <c r="E128" s="35"/>
      <c r="F128" s="34"/>
      <c r="G128" s="35"/>
      <c r="H128" s="35"/>
      <c r="I128" s="35"/>
      <c r="J128" s="35"/>
      <c r="K128" s="35"/>
      <c r="L128" s="35"/>
      <c r="M128" s="35"/>
      <c r="N128" s="35"/>
      <c r="O128" s="35"/>
      <c r="P128" s="35"/>
      <c r="Q128" s="35"/>
      <c r="R128" s="35"/>
      <c r="S128" s="35"/>
      <c r="T128" s="35"/>
      <c r="U128" s="35"/>
      <c r="V128" s="35"/>
      <c r="W128" s="35"/>
      <c r="X128" s="35"/>
      <c r="Y128" s="35"/>
      <c r="Z128" s="35"/>
    </row>
    <row r="129">
      <c r="A129" s="35"/>
      <c r="B129" s="35"/>
      <c r="C129" s="35"/>
      <c r="D129" s="35"/>
      <c r="E129" s="35"/>
      <c r="F129" s="34"/>
      <c r="G129" s="35"/>
      <c r="H129" s="35"/>
      <c r="I129" s="35"/>
      <c r="J129" s="35"/>
      <c r="K129" s="35"/>
      <c r="L129" s="35"/>
      <c r="M129" s="35"/>
      <c r="N129" s="35"/>
      <c r="O129" s="35"/>
      <c r="P129" s="35"/>
      <c r="Q129" s="35"/>
      <c r="R129" s="35"/>
      <c r="S129" s="35"/>
      <c r="T129" s="35"/>
      <c r="U129" s="35"/>
      <c r="V129" s="35"/>
      <c r="W129" s="35"/>
      <c r="X129" s="35"/>
      <c r="Y129" s="35"/>
      <c r="Z129" s="35"/>
    </row>
    <row r="130">
      <c r="A130" s="35"/>
      <c r="B130" s="35"/>
      <c r="C130" s="35"/>
      <c r="D130" s="35"/>
      <c r="E130" s="35"/>
      <c r="F130" s="34"/>
      <c r="G130" s="35"/>
      <c r="H130" s="35"/>
      <c r="I130" s="35"/>
      <c r="J130" s="35"/>
      <c r="K130" s="35"/>
      <c r="L130" s="35"/>
      <c r="M130" s="35"/>
      <c r="N130" s="35"/>
      <c r="O130" s="35"/>
      <c r="P130" s="35"/>
      <c r="Q130" s="35"/>
      <c r="R130" s="35"/>
      <c r="S130" s="35"/>
      <c r="T130" s="35"/>
      <c r="U130" s="35"/>
      <c r="V130" s="35"/>
      <c r="W130" s="35"/>
      <c r="X130" s="35"/>
      <c r="Y130" s="35"/>
      <c r="Z130" s="35"/>
    </row>
    <row r="131">
      <c r="A131" s="35"/>
      <c r="B131" s="35"/>
      <c r="C131" s="35"/>
      <c r="D131" s="35"/>
      <c r="E131" s="35"/>
      <c r="F131" s="34"/>
      <c r="G131" s="35"/>
      <c r="H131" s="35"/>
      <c r="I131" s="35"/>
      <c r="J131" s="35"/>
      <c r="K131" s="35"/>
      <c r="L131" s="35"/>
      <c r="M131" s="35"/>
      <c r="N131" s="35"/>
      <c r="O131" s="35"/>
      <c r="P131" s="35"/>
      <c r="Q131" s="35"/>
      <c r="R131" s="35"/>
      <c r="S131" s="35"/>
      <c r="T131" s="35"/>
      <c r="U131" s="35"/>
      <c r="V131" s="35"/>
      <c r="W131" s="35"/>
      <c r="X131" s="35"/>
      <c r="Y131" s="35"/>
      <c r="Z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sheetData>
  <drawing r:id="rId1"/>
</worksheet>
</file>