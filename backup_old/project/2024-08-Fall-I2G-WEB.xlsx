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2G-WEB" sheetId="1" r:id="rId5"/>
    <sheet state="visible" name="2024-08-Fall-I2G-STUDENTS" sheetId="2" r:id="rId6"/>
    <sheet state="visible" name="PARTNERS + SPONSORS" sheetId="3" r:id="rId7"/>
  </sheets>
  <definedNames/>
  <calcPr/>
</workbook>
</file>

<file path=xl/sharedStrings.xml><?xml version="1.0" encoding="utf-8"?>
<sst xmlns="http://schemas.openxmlformats.org/spreadsheetml/2006/main" count="544" uniqueCount="296">
  <si>
    <t>Track</t>
  </si>
  <si>
    <t>Order</t>
  </si>
  <si>
    <t>Year-Semester</t>
  </si>
  <si>
    <t>Class</t>
  </si>
  <si>
    <t>Team #</t>
  </si>
  <si>
    <t>Team Name</t>
  </si>
  <si>
    <t>Project Title</t>
  </si>
  <si>
    <t>Organization</t>
  </si>
  <si>
    <t>Industry</t>
  </si>
  <si>
    <t>Abstract</t>
  </si>
  <si>
    <t>Student Names</t>
  </si>
  <si>
    <t xml:space="preserve">Name: - Title: </t>
  </si>
  <si>
    <t>2024-08-Fall-CAP</t>
  </si>
  <si>
    <t>CAP</t>
  </si>
  <si>
    <t>Almondry Trailer</t>
  </si>
  <si>
    <t>Hopper Trailer Modification to Dry and Discharge Wet Almonds</t>
  </si>
  <si>
    <t>UC Merced I2G - Almondry</t>
  </si>
  <si>
    <t>Agriculture</t>
  </si>
  <si>
    <t>Almondry is an innovative agricultural project dedicated to addressing challenges in almond harvesting. Our team addressed the problem of wet almonds becoming stuck in hopper trailers. When loading almonds that are wet or with high moisture content, they may stick to walls and become prone to clumping in critical areas of the trailer, especially with the presence of soil. This leads to inefficient unloading processes, requiring hazardous and labor-intensive efforts to manually dislodge the almonds. Currently, workers must climb onto hopper trailers to remove the stuck almonds and break clumps, posing significant safety risks and increasing labor costs, which consumes valuable time that could be spent unloading additional trailers. To solve this, we developed a modified hopper trailer system that integrates industrial compressed air nozzles, air knives, and a modular vibration pad to dislodge wet almonds effectively. This system eliminates the need for dangerous manual labor, significantly improves unloading efficiency, and enhances worker safety. Additionally, our system facilitates off-ground harvesting and ensures efficient transportation to the huller, where the Almondry stockpile aeration system can be used to dry almonds. By implementing this innovative solution, Almondry is helping hullers reduce costs, save time, and increase operational safety.</t>
  </si>
  <si>
    <t>Arcadio Mercado, Daniel Carranza Gomez, Hassan Imran</t>
  </si>
  <si>
    <t>Almondry Stockpile</t>
  </si>
  <si>
    <t>Scaled Removable and Reusable Stockpile Aeration System for Almond Drying</t>
  </si>
  <si>
    <t>The almond industry recognizes the significant dust generated during harvest, and the Almond Board of California has set a goal to reduce harvest dust by 50%. Traditional harvest methods involve shaking, sweeping, and gathering nuts, followed by a drying period on the orchard floor. Off-ground harvesting consolidates these steps and reduces dust generation but omits the critical drying period. This poses a problem, as hullers require almonds to arrive dried. The objective of the project was to design a reusable, land-conscious system to enable on-site almond drying. A previous capstone team developed and tested a proof-of-concept system utilizing negative air pressure to dry almond hulls in stockpiles on a small scale. While their results demonstrated the effectiveness of negative pressure drying, their design did not account for industrial-scale applications. Building on their concept, we developed and tested a full-scale stockpile aeration system maintaining drying effectiveness of the original proof of concept. The final design of the Stockpile Aeration System is an in-ground platform utilizing negative air pressure to pull ambient air from the surface of the almond stockpile.  We demonstrated that our system can dry a stockpile equivalent to a set of hopper trailers (about 45000 lbs) effectively, uniformly, and faster than on the orchard floor.  Cost of operation for the stockpile aeration system is minimal (less than half a cent per pound).</t>
  </si>
  <si>
    <t>Abdi Rodriguez Vizarretea, Carlos Rodriguez, Enrique Estrada, Manuel Ortega</t>
  </si>
  <si>
    <t>Star Wingineers</t>
  </si>
  <si>
    <t>Shuttle Truck Connection Automation with Robotic Arm</t>
  </si>
  <si>
    <t>The Morning Star Company</t>
  </si>
  <si>
    <t>Food Processing</t>
  </si>
  <si>
    <t>The Morning Star Company transplants, harvests, processes, packages, and ships tomato products nationwide. During the tomato processing season, shuttle truck drivers move full trailers of tomatoes from the factory yard to unloading stations and then return the empty trailers to the yard. Part of this process involves connecting the shuttle brake lines to the trailer glad-hand brake ports prior to moving them to unload and then disconnecting the brake lines from the trailers when they are returned to the yard after emptying. The Morning Star Company wants to fully automate the factory yard movement of tomatoes and has thus tasked our team with taking the first steps toward fully automating the repetitive task of connecting and disconnecting the trailers’ brake lines. To automate this process, we used the provided UR10 robotic arm for which we designed and built an end effector that performed the movements of connecting and disconnecting a trailer’s glad hands. Our team designed a claw-like end effector that can grip onto the glad hands along with programming the robotic arm to follow a set motion path from the shuttle to the trailer's brake ports.</t>
  </si>
  <si>
    <t>Alfredo Cervantes-Agabo, Alex Hernandez Chamu, Elias Moreno, Eliana Moreno, Jazmin Claros</t>
  </si>
  <si>
    <t>Tater Techies</t>
  </si>
  <si>
    <t>Sweet Potato Planter Robotic End Effector - Phase 2</t>
  </si>
  <si>
    <t>Arnold Farms</t>
  </si>
  <si>
    <t>Arnold Farms, located in Atwater, CA is a family owned farm looking to modernize their sweet potato planting process through automation. Sweet potato seedlings, referred to as slips, are difficult to singulate because they grow in clusters, which leads to entanglement. Understanding these challenges, our team redesigned the Automatic Seedling Singulation and Conveying system, which aims to singulate slips from a bin while minimizing damage to them. Slips are fed into a hopper, singulated using notched cams and flappers, dropped onto a belt, and are manually planted. This system is designed to attach to a tractor, and a NEMA 23 stepper motor is used to match the speed of the tractor, which allows planting speed to be matched. With the implementation of this system, Arnold Farms is expected to enhance planting efficiency by minimizing skips, reduce labor costs, and become a pioneer in advanced planting technology.</t>
  </si>
  <si>
    <t>David Hoehler, Hailey Romero, Morgan Phung, Shanald Lal, Xavier Walle</t>
  </si>
  <si>
    <t>Sun-Maid Automation Solutions</t>
  </si>
  <si>
    <t>Product Conveyance and Quality Selection</t>
  </si>
  <si>
    <t>Sun-Maid Growers</t>
  </si>
  <si>
    <t>Sun-Maid, one of the largest raisin and dried fruit processors in the world, operates a Kingsburg, CA plant responsible for preparing, packaging, and shipping multiple products to customers globally. Our group worked with the engineering team within the plant to automate a line, taking steps towards their goal of fully automating the facility. The line required a solution to replace the need for a human to straighten misaligned packages on the conveyor belt and remove defective bags, as these issues can cause downstream damages in packaging. We approached these challenges as separate pain points, allowing us to develop a solution that effectively addresses each one individually, ensuring maximum impact. We installed a guiding arm on the line to straighten misaligned bags as they move along the conveyor belt. Additionally, we implemented a computer vision camera connected to an air rejection system, which identifies defective bags and removes them from the conveyor for recycling.</t>
  </si>
  <si>
    <t>Favour Nnaji, Kenneth Gampol, Luis Munguia Ruiz, Ricardo Barrera, Ricardo Bueno</t>
  </si>
  <si>
    <t>Pain Away Pioneers</t>
  </si>
  <si>
    <t>Evaluating the radiolucent guide  prototypes in a cadaver model and analysis for different spine injections</t>
  </si>
  <si>
    <t>Pain Away Solutions</t>
  </si>
  <si>
    <t>Health Care</t>
  </si>
  <si>
    <t>Pain Away Solutions, LLC develops innovative solutions to improve drug delivery during surgical procedures. Traditional methods involve the manual needle placement at specific anatomical landmarks, each requiring real-time imaging using radiation to confirm proper positioning. This process is ineffective due to manual needle placement, long radiation exposure, inconsistent medication delivery, and extended procedure time. To address this problem, our team designed a multiport needle system with an internal splitting mechanism which distributes medication equally from one inlet to eight outlets. To validate the mechanism functionality, we conducted hydrostatic, and fluid dynamics analyses to guide the prototype design, developed and optimized using SolidWorks, a computer aided design software. We engineered the system to be compatible with standard medical connectors, like luer locks, incorporating internally tapered ports and external flaps that facilitate integration with needles or tubing. This innovative idea has the potential to streamline drug delivery by reducing procedure time and minimizing radiation exposure, ultimately advancing both healthcare and surgical efficiency.</t>
  </si>
  <si>
    <t>Airam Martinez Rodriguez, Angelin Prasad, Bryan Resuleo, Maliyah Brasil</t>
  </si>
  <si>
    <t>NextGen Dairy Innovations</t>
  </si>
  <si>
    <t>Salt distribution</t>
  </si>
  <si>
    <t>Hilmar Cheese</t>
  </si>
  <si>
    <t>Hilmar Cheese Company, a leading producer of high-quality cheese in Hilmar, California, strives to maintain the best possible product quality. A key challenge identified is inconsistent salt distribution during the cheese-making process, which affects the aging and overall quality of the cheese. Salt serves not only to flavor the cheese but also as an antimicrobial agent, preventing microbial growth that can lead to excessive acidity, discoloration, and "bleaching" during aging. To address this issue, our team developed a new salt distribution design, a half-Hershey’s kiss-shaped attachment for the end of the salt pipe in the cheese vat. This innovative design ensures a more even spread of salt throughout the system, reaching previously underserved areas and preventing under-salting. The solution was created within stringent dimensional and food-grade criteria to ensure safety and compatibility with consumable products. This enhancement aims to improve the quality and consistency of Hilmar Cheese's products, supporting the company’s commitment to excellence.</t>
  </si>
  <si>
    <t>Alberto Alves, Benedict-Eli Mugar, Litzy Pena, Rudy Castillo</t>
  </si>
  <si>
    <t>The TES Musketeers</t>
  </si>
  <si>
    <t>Thermal Energy Storage Demonstrator</t>
  </si>
  <si>
    <t>UC Merced Facilities Management</t>
  </si>
  <si>
    <t>Energy</t>
  </si>
  <si>
    <t>The UC Merced Central Plant generates and distributes chilled water, heating hot water and steam. The main component that does all this is the Thermal Energy Storage Tank located on the North-East side of campus. Our project was to create a functional scale model of the Thermal Energy Storage (TES) tank and the process of distribution that occurs. The project was proposed by Mr. James Brugger, the Director of Engineering at the Central Plant at UC Merced. Mr.Brugger holds STEM outreach tours for younger students who may be interested in going into the field. Mr.Brugger currently demonstrates this with a graduated cylinder and a plastic cup with cold and hot water. While this approach demonstrates what he’s trying to explain, it is too simple and our task was to more accurately demonstrate this process. The TES tank works using water stratification, which is the process of water separating due to having different density values at different temperatures, meaning it doesn’t mix. With this in mind, our team developed a project that heats and cools water with different systems and uses a scale-model diffuser to diffuse water from the systems into our scale-model TES tank.</t>
  </si>
  <si>
    <t>Bryan Lopez, Mitchell Chan, Ricardo Cervantes, Tim Burton</t>
  </si>
  <si>
    <t>Wine Wise Development</t>
  </si>
  <si>
    <t>Screw Conveyance Alignment &amp; Timing</t>
  </si>
  <si>
    <t>E&amp;J Gallo Winery</t>
  </si>
  <si>
    <t>The Gallo Winery is a global leader in wine production and distribution, with an impressive production capacity of approximately 300 bottles per minute per line. Currently, frequent alignment issues and part failures disrupt operations, leading to inefficiencies and increased maintenance costs. Our project addressed this challenge by designing a modified driveshaft system tailored to the winery’s needs. Inspired by the mechanics of an automotive driveshaft, our design allows for controlled deformation of the inner rod under stress, preventing complete line shutdowns. This innovative solution maintains alignment, reduces downtime, and prolongs the lifespan of critical components. The improved driveshaft system shall enhance production efficiency and contribute to cost savings by minimizing maintenance interventions and part replacements.</t>
  </si>
  <si>
    <t>Dan Fraser, Eriverto Jimenez, Efren Lizarraga, Jesus Acevedo, Jonathan Gonzalez</t>
  </si>
  <si>
    <t>The Bobcat Scrub Crew</t>
  </si>
  <si>
    <t>Bin Washer</t>
  </si>
  <si>
    <t>Sensient Natural Ingredients</t>
  </si>
  <si>
    <t>Dedicated to the production of spices and flavor enhancers, Sensient Natural Ingredients (SNI) provides farm-to-table solutions by cultivating natural ingredients to enhance flavor, texture, color, and nutrition. SNI transports garlic bulbs, packaged in wooden bins, from the fields of Nevada, Washington, and Oregon to dehydration facilities in Livingston, California. To ensure quality, the garlic must be clean and packaged in sanitized containers. However, the current bin-cleaning process is labor-intensive, requiring two individuals to manually wash the bins. To address this challenge, our team designed and built an operational bin washing station that can be operated by a single person. This station features a self-propelling rotor arm that uses high-pressure water to remove garlic residue from the bins effectively. With this innovation, the same individual who previously handled bin washing can now also operate a forklift to load dirty bins into the station and store them after the cleaning cycle is complete. This solution maximizes operational efficiency, reduces labor costs, and ensures the cleanliness of the bins.</t>
  </si>
  <si>
    <t>Eduardo Castaneda Manzano, Erik Gramajo, Russell Mondy, Erick Modesto Aban</t>
  </si>
  <si>
    <t>Impact Innovation</t>
  </si>
  <si>
    <t>Tractor Cab Collision Detection</t>
  </si>
  <si>
    <t>The Morning Star Company, a leading tomato processor in California, experiences up to six costly collisions annually between harvesters and tractor cabs, primarily due to driver miscommunication. Each incident results in approximately $10,000 in repairs, creating a significant operational challenge. To address this, we engineered a collision mitigation system that enhances safety and reduces repair costs. The system uses an ultrasonic sensor to measure the distance and speed of approaching tractor cabs, with data processed by an Arduino. When a potential collision is detected, the system activates visual and auditory alerts, prompting the harvester driver to take corrective action. Field testing validated the system’s effectiveness at two operational heights, confirming reliable performance in real-world conditions.</t>
  </si>
  <si>
    <t>Alexander Perez, Derian Cervantes Campos, Jonathan Curiel, Kevin Kuang</t>
  </si>
  <si>
    <t>UCM Terra Team</t>
  </si>
  <si>
    <t>Flipper - Flip Re-Design</t>
  </si>
  <si>
    <t>UC Merced Experimental Farm</t>
  </si>
  <si>
    <t>The UC Merced Experimental Farm utilizes a soil sterilization chamber to eliminate organic matter, contributing to sustainable agricultural practices and advancing research. However, the current process is inefficient and labor-intensive, requiring significant manpower to operate effectively. To address these challenges, we developed an improved design for the Terra Dumper, a specialized cart engineered to optimize the soil sterilization workflow. The redesign incorporates a secure locking system to ensure stable operation by securely interfacing with the chamber, along with a trap door mechanism that enables controlled and efficient discharge of sterilized soil, reducing manual labor requirements. Constructed with lightweight yet durable materials, the Terra Dumper enhances mobility without compromising structural integrity. Additionally, custom-designed components were precision-engineered and fabricated to ensure seamless functionality and long-term reliability. This innovative redesign replaces the previous labor-intensive process with an efficient, user-friendly solution, significantly reducing labor demands while enhancing overall productivity and operational efficiency.</t>
  </si>
  <si>
    <t>Anthony Jones, Daniela Pineda, Joshua Golka, Mark Reyes</t>
  </si>
  <si>
    <t>4x4 BWC</t>
  </si>
  <si>
    <t>Battery Workforce Challenge</t>
  </si>
  <si>
    <t>UC Merced - Battery Workforce Challenge</t>
  </si>
  <si>
    <t>Education</t>
  </si>
  <si>
    <t>Stellantis, a multinational automotive corporation managing brands like Dodge, Jeep, and Ram, is advancing its electric vehicle (EV) transition under the "Dare Forward 2030" initiative, aiming to produce over 75 battery-electric vehicles by 2030. The U.S. Department of Energy (DOE), with support from Stellantis, launched the Battery Workforce Challenge (BWC) to foster innovation in scalable and efficient battery systems.  Our team, in partnership with the Castro Lab and Merced College, contributed to designing and testing a smaller-scale prototype EV battery pack. Initially a remote-controlled car, this model serves as a training platform, bridging new members' transition from small-scale projects to full-size vehicles like the 2024 Dodge EV ProMaster Van. Thermal and electrical simulations optimized efficiency, enabling students to design an enclosure that routes air effectively and accommodates batteries while minimizing obstruction from critical components.  These findings will guide the development of a full-scale battery pack, advancing Stellantis' and DOE’s goal of creating reliable, efficient EV batteries for commercial use.</t>
  </si>
  <si>
    <t>Cristopher Granados, David Gutierrez, Edwardo Aguilar</t>
  </si>
  <si>
    <t>2024-08-Fall-CSE</t>
  </si>
  <si>
    <t>CSE</t>
  </si>
  <si>
    <t>Curd Detectors</t>
  </si>
  <si>
    <t>Leak detection</t>
  </si>
  <si>
    <t>Hilmar Cheese Company, located in Hilmar, California, is a leading producer of cheese for global distribution. During production, large cheese blocks are vacuum-sealed in plastic wraps, a process prone to defects when small cheese curds become trapped in the seal. These trapped curds make the bags unusable later on in the distribution process. They are difficult to detect manually due to their small size and the speed of the production line. The team was tasked with developing a computer vision-based solution to automatically detect trapped curds and alert operators to take corrective action. Confronted with the challenge of a limited dataset, the team employed multiple approaches, including OpenCV and various detection models, to identify the most consistent and promising solution with the potential to improve as more data becomes available.</t>
  </si>
  <si>
    <t>Aadi Sharma, Amrita Vilku, Anirud Vorugu, Ivan Vargas</t>
  </si>
  <si>
    <t>Big Farma</t>
  </si>
  <si>
    <t>Crop Yield Estimation via Robotic Image Capture</t>
  </si>
  <si>
    <t>U+S+T</t>
  </si>
  <si>
    <t>SupHerb Farms, a company whose business involves herb production, experiences costly accuracy problems with its current visual inspection-based pre-harvest crop weight estimates. To solve this, the team designed an image capture system using DepthAI-powered cameras on the Farm-ng Amiga robot and collected data on cilantro crops at the UC Merced Experimental Smart Farm. Using this data, the team engineered a Python algorithm that implemented voxelization to estimate the crop volume and linear regression to predict the harvest weight. With this system, SupHerb can automate and increase the accuracy of harvest weight estimation.</t>
  </si>
  <si>
    <t>Garret Castro, Hans Guillen, Jason Yuen, Nick Mount</t>
  </si>
  <si>
    <t>Scrapercon</t>
  </si>
  <si>
    <t>Digital AI Backpack Opportunity Web Scraping</t>
  </si>
  <si>
    <t>Conectado</t>
  </si>
  <si>
    <t>Non-Profit</t>
  </si>
  <si>
    <t>Conectado is transforming the path of education with technology by developing a platform that bridges the gap between schools and students, empowering the next generation of underrepresented learners and revolutionizing pathways to success in STEM fields. At the heart of this innovation is the company’s use of web scrapers—algorithms designed to search and extract the internet for valuable resources and opportunities. However, Conectado faced significant hurdles with its initial scrapers: limited data, frequent website blocks, and an inability to capture the wide variety of opportunities students need to launch their careers. To overcome these challenges, the team enhanced their scrapers with technologies like Selenium, IP proxy rotation, and other bypass techniques, unlocking access to over 1,000 career-enhancing opportunities a month for students. This solution highlights the team’s commitment to providing underrepresented students with access to STEM career opportunities that level the playing field.</t>
  </si>
  <si>
    <t>Harshul Satija, John Tran, Kirthana Kavali, Pranav Chakilam</t>
  </si>
  <si>
    <t>404: Team Name Not Found</t>
  </si>
  <si>
    <t>Digital AI Backpack Web Application - Community Connect</t>
  </si>
  <si>
    <t>Conectado, an EdTech startup, is committed to empowering members of Latino and underrepresented communities to succeed by building safer, simpler, and more sustainable connections from the classroom, to career, to the boardroom. Conectado sought to improve their Digital AI Backpack Web Application to combat the need for better opportunities to help Conectado users further expand their professional networks and connect with others who share similar interests. The team enhanced user connectivity on the application by improving user profiles and integrating LinkedIn, enabling users to stay connected with each other. In addition, the team enhanced an AI Chatbot to better assist users in discovering and connecting with like-minded individuals and opportunities tailored to their goals. Together, these advancements are accelerating social capital development among Conectado users.</t>
  </si>
  <si>
    <t>Evan Lu, Jeffrey Peng, Kristina Wong, Tanush Maddala</t>
  </si>
  <si>
    <t>Ctrl+Alt+Schedule</t>
  </si>
  <si>
    <t>Language Learning Consultation Service Scheduler</t>
  </si>
  <si>
    <t>United States Department of State Diplomacy Lab</t>
  </si>
  <si>
    <t>Government</t>
  </si>
  <si>
    <t>The Language Learning Consultation Service (LCS), supported by the Diplomacy Lab in collaboration with the Department of State, provides personalized guidance to diplomats and their families during intensive language training, helping them navigate the language training effectively to develop the language and cultural skills they need to support diplomatic missions and foreign policy objectives. However, the current scheduling and consultation management processes rely on multiple platforms, leading to inefficient workflows and excessive back-and-forth email communication.  To address these challenges, the team developed a centralized system platform tailored to LCS's needs, ensuring smooth and reliable operations and enhancing the user experience. By simplifying scheduling, improving accessibility, and addressing issues like high turnover, the team’s solution condenses the entire process into just a few clicks, reducing inefficiencies and advancing LCS's mission to support diplomats in language training more effectively.</t>
  </si>
  <si>
    <t>Cheska Cinderella Friend, Quan Nguyen, Sergio Angulo, Tanner Jackson</t>
  </si>
  <si>
    <t>Team Polyglot</t>
  </si>
  <si>
    <t>Scheduling Progress Assessments</t>
  </si>
  <si>
    <t>The School of Language Studies (SLS), part of the U.S Department of State Diplomacy Lab initiative, prepares U.S. diplomats for work abroad by providing foreign language training and assessments. Currently the Language Training Specialists (LTS) use Microsoft Excel to manually schedule progress assessments, which is labor intensive and time consuming. The Polyglot team developed a desktop application to help the LTS view and schedule assessments via a shared calendar, automatically send confirmation emails, process student rescheduling requests through a web panel, and generate assessment reports by examiners, students, or language. This new application will make the scheduling process quicker, straightforward, and easier to track.</t>
  </si>
  <si>
    <t>Andrew Reed, Anthony Rojas, Jacob Thompson, Raul Pena Verduzco, Spencer	Stafford</t>
  </si>
  <si>
    <t>FSI Friends</t>
  </si>
  <si>
    <t>Automated Matching of Testing Raters to Language Test Examinees</t>
  </si>
  <si>
    <t xml:space="preserve">Diplomacy Lab is a U.S. Department of State initiative launched in 2013, which allows for students and faculty nationwide to tackle real-world foreign policy challenges. As a crucial part in this program, the Foreign Service Institute (FSI) handles over 5,600 language exams in 58 languages that need assigned raters and examinees to each. To streamline this process, the team developed a Python-based desktop application utilizing an algorithm to automate the rater-examinee assignment process, thus optimizing the matching process while also adhering to the department’s scheduling needs and requirements. This innovation reduces the time spent assigning the exams, balances workloads for raters, and enhances operational scalability.
</t>
  </si>
  <si>
    <t>Chris Hernandez, Ethan Chou, Emily Puente, Luis Fujarte, Nevin Jom</t>
  </si>
  <si>
    <t>M.O.P</t>
  </si>
  <si>
    <t>Private LLM Workflows</t>
  </si>
  <si>
    <t>Sweep</t>
  </si>
  <si>
    <t>Sweep specializes in designing big data workflow software to process diverse data types, including images, text, and machine data. Using the Sweep API, a cloud-based platform for scalable data storage and analysis, the team collaborates with businesses to develop tailored workflow solutions. To address the challenge of integrating AI models efficiently while minimizing costs and resource usage, this project developed a task automation system combining large language models (LLMs) with Apache Airflow. The system automates daily tasks step-by-step, triggering LLMs only when necessary, scheduling tasks, providing real-time monitoring, and securely delivering results via encrypted email, ensuring streamlined and cost-effective business operations.</t>
  </si>
  <si>
    <t>German De La Luz, Joseph Tadrous, Nawfal Abdul Khader, Yash Dhillon</t>
  </si>
  <si>
    <t>Crashouts</t>
  </si>
  <si>
    <t>Mentor and Mentee Interactions</t>
  </si>
  <si>
    <t>Western Digital</t>
  </si>
  <si>
    <t>Computers</t>
  </si>
  <si>
    <t>Western Digital had a need for a solution to tracking and logging mentor-mentee interactions in order to enhance soft-skills, facilitating engagement and professional growth within the workers of the company. The team developed a mentor-mentee progress tracking application, leveraging MySQL, Amazon Relational Database Service, React Native, and Node.js. This application allows Western Digital to efficiently monitor 1:1 sessions, set objectives, and record progress, ensuring transparent, structured, and easily schedulable mentorship. The system’s user-friendly interface and robust backend integration provide a scalable solution to improve organizational learning and development. By addressing the needed solution, the project enables Western Digital to create impactful mentor-mentee relationships while maintaining detailed interaction records.</t>
  </si>
  <si>
    <t>Fernando Campos Chavez, Hikaru Kurusu, Kyle Sulit, Shrivaikunth Krishnakumar</t>
  </si>
  <si>
    <t>Rocket's Christmas Gift</t>
  </si>
  <si>
    <t>Shuttle Truck Robotic Arm Automation: Computer and Camera Setup</t>
  </si>
  <si>
    <t>Morning Star, a leader in tomato processing, seeks to automate the manual task of connecting and disconnecting shuttle brake lines, which is currently performed by truck drivers. The team developed a foundation for this process using a UR10 robotic arm, ZED X Mini stereo camera, and the NVIDIA Jetson Orin Nano to deliver a precise system of operation. The Jetson Orin Nano serves as the computational hub, enabling real-time processing of ZED SDK-based object detection and data transfer with the ROS 2 framework. Advanced motion planning through MoveIt 2 was researched and tested in order to enable external control of the robot arm. This project demonstrates how robotics and AI, powered by cutting-edge computing platforms, can revolutionize agricultural automation and inspire advancements across industries.</t>
  </si>
  <si>
    <t>Cameron Fabela, Ethan Hom, Kobe Kimoto-Ross, Kirath Pandal, Marcelo Ramirez</t>
  </si>
  <si>
    <t>Hydro Homies</t>
  </si>
  <si>
    <t>Dashboard Improvement</t>
  </si>
  <si>
    <t>Turlock Irrigation District (TID)</t>
  </si>
  <si>
    <t>Turlock Irrigation District is the first water district in California to provide irrigation water and electrical services to the Central Valley. While providing irrigation water, water distribution operators need up-to-date information while out on the field servicing customers. Our team was tasked with generating and enhancing their set of dashboards with new, real-time graphics and figures. The project was completed by developing and deploying these figures into their existing dashboard environment.</t>
  </si>
  <si>
    <t>Adrian Navarro, Jacob Myung, James Odanga, Yuepeng Lee</t>
  </si>
  <si>
    <t>Wine Guys</t>
  </si>
  <si>
    <t>Wine Inventory Management Using Machine Vision</t>
  </si>
  <si>
    <t>Owligator</t>
  </si>
  <si>
    <t>Other</t>
  </si>
  <si>
    <t>Jack Oswald, CEO of ISOThrive and founder of Owligator, identified a challenge faced by restaurants and personal wine cellar owners: managing large wine cellars accurately is often difficult and time-consuming. To address this, he envisioned an automated solution leveraging computer vision enabling cellar owners to use an app with a live camera feed to monitor the cellar and determine whether a bottle is placed in a specific slot. The Wine Guys team developed a computer vision algorithm capable of detecting the wine cellar grid with the assistance of markers physically placed in the cellar. The algorithm identifies which grid slots are occupied by bottles. This solution is integrated into a user-friendly application that provides cellar managers an online inventory management system, allowing users to add or remove bottles while seeing real-time updates upon prompt.</t>
  </si>
  <si>
    <t>Cristian Galarza Torres, Edmond Lee, Raghav Sinha</t>
  </si>
  <si>
    <t>Sauce Seers</t>
  </si>
  <si>
    <t>Automated Identification of Paste Visual Finish - Phase 2</t>
  </si>
  <si>
    <t>The Morning Star Company is a tomato harvesting and processing company, supplying over  forty percent of national markets with their tomato paste and diced tomatoes. The tomato paste is categorized using a range of finishes, achieved using screen meshes. Variability of these finishes and potential mislabeling due to human error can affect efficiency and quality control. To address this issue, our team has developed a web application that can be easily integrated into their work space. Our application allows the quality control technician to take a picture of the tomato paste, uses an ensemble machine learning model to automate the analysis of the tomato paste, and plots the analysis on a graph for better visualization. This solution minimizes human error, enhances operational efficiency, and ensures consistent product quality, significantly improving the company's quality control process.</t>
  </si>
  <si>
    <t>Ethan On, Ryan Milstrey, Salvador Nunez, Sakayt Singh</t>
  </si>
  <si>
    <t>The Curators</t>
  </si>
  <si>
    <t>Curation and Tracking of Linked Information</t>
  </si>
  <si>
    <t>Globidea</t>
  </si>
  <si>
    <t>Globidea is a company whose mission is to make information easier to find and navigate. Our team developed a browser extension designed for "curators" to transparently log content selected from any website and the respective hyperlink.  The extension allows curators to select content and incorporate it into new digital works with the reference. To ensure curators always have up-to-date content, the extension periodically checks the sources for any changes. If a change is detected, the curator is notified and given the option to update their work with the new content.  Additionally, curators can review and organize their saved sources and hyperlinks into groups, customize the interval at which the extension checks for changes, and set preferences for notification methods and auto-updates. This ensures a seamless and efficient curation experience, keeping digital works current and relevant.</t>
  </si>
  <si>
    <t>Fernando Martinez, Genesis Vazquez, Mark Araza, Psalm Bautista</t>
  </si>
  <si>
    <t>Netlinks</t>
  </si>
  <si>
    <t>Networking Engagement - Information Capture and Aggregation App</t>
  </si>
  <si>
    <t>UC Merced I2G</t>
  </si>
  <si>
    <t>Software</t>
  </si>
  <si>
    <t>Innovate to Grow (I2G) is a unique experiential learning program where teams students to solve real-world problems, including problems and user needs that we identity to search and organize information to create new knowledge.  The team’s project builds on this foundation by addressing the inefficiencies of networking at conferences and expos, where gathering, organizing, and analyzing data from several sources is essential to success. Without satisfactory data accumulation, important insights or information can get lost, and the data remains as disjointed pieces or forgotten. To address this challenge, the team developed a web and mobile application designed to simplify the process of recording and linking digital data to the individuals you interact with. The app enables users to compile information from various sources, ensuring the data is organized and refined for better usability and more effective connections.</t>
  </si>
  <si>
    <t>Brian Gao, Christopher Huang, Kyle Shyffer, Victor Aguele, Quincy Walter-Eze</t>
  </si>
  <si>
    <t>CoachAI Health Team</t>
  </si>
  <si>
    <t>Development of an LLM model for Health Data</t>
  </si>
  <si>
    <t>X10e</t>
  </si>
  <si>
    <t>BioTech</t>
  </si>
  <si>
    <t>Current biomarker devices face challenges in translating complex health data into actionable insights due to limitations in real-time interpretation and feedback. X10e, a company specializing in biofluid analysis through advanced electronic skin sensors, has addressed this issue by developing a Large Language Model (LLM) trained on health data and scientific research. Our team utilized retrieval-augmented generation (RAG) to enable the LLM to transform complex biomarker data into clear, actionable insights and provide instant health recommendations. By employing structured prompts - including system messages, user health summaries, and medical documents - alongside a retriever interface, the system efficiently extracts information from unstructured queries. This innovative solution, now ready for deployment, offers personalized health guidance through a user-friendly platform, promoting better patient engagement and proactive health management.</t>
  </si>
  <si>
    <t>Alex Sanchez Rubio, Flor Aguilar, Jessie Mendoza, Nebyou Abebe, Ralph Sulay</t>
  </si>
  <si>
    <t>Seacoral</t>
  </si>
  <si>
    <t>Customized LLM Development for Assisting Seniors with Smartwatch and Related Device Usage</t>
  </si>
  <si>
    <t>Semcorel</t>
  </si>
  <si>
    <t>Semcorel, a company that makes smartwatches for senior citizens, needed help improving customer support for their products. Our team, (317-SeaCoral), helped address their problem using AI, we developed a fine-tuned large language model (LLM) using Llama from Meta. This LLM helps guide the elderly on using their smartwatches, reducing the need to contact Semcorel's customer support. We created a simple and accessible interface for our product. Our features include large adjustable fonts and multiple input and output options, such as speech-to-text, text-to-speech, in addition to typing. These features aim to accommodate for any needs those using the app might have. Additionally, we built a tool for Semcorel to easily add new questions to the database, allowing the LLM to handle future customer needs and making our product adaptable. These improvements make the smartwatches more accessible, helping senior users solve issues on their own.</t>
  </si>
  <si>
    <t>Berrydal Moshe, Christine Doan, Kavin Rajasekaran, Karina Zamora</t>
  </si>
  <si>
    <t>Break</t>
  </si>
  <si>
    <t>CEE</t>
  </si>
  <si>
    <t>Sedimentation Protection Consultant Services</t>
  </si>
  <si>
    <t>Sustainable Wildfire-Driven Sediment Management in Reservoirs</t>
  </si>
  <si>
    <t>CA Department of Water</t>
  </si>
  <si>
    <t>Water Resource Engineering and Water Quality</t>
  </si>
  <si>
    <t>The 2020 Creek Fire devastated the Upper San Joaquin Basin, a critical region supporting Millerton Lake and Friant Dam operations, providing water storage, recreation, flood control, and hydroelectric generation. The fire increased the soil erosion potential, influencing an increase in sediment deposits in Millerton Lake. The California Department of Water Resources (CA DWR) wanted to quantify the soil erosion and determine the best viable solution to prevent and manage sedimentation. With limited research on soil erosion caused by the fire, this study utilized Google Earth Engine to model soil loss and sediment yield using the Revised Universal Soil Loss Equation (RUSLE) under pre- and post-fire conditions. Design and analysis on the effects of seeding and mulching versus dredging were performed, including an in-depth evaluation of the economic feasibility over a 30-year period to find an optimal approach for reducing soil erosion in increasingly fire-prone watersheds around California’s reservoirs.</t>
  </si>
  <si>
    <t>Jessica Lau, Marco Nava, Manjot Singh</t>
  </si>
  <si>
    <t>Stormwater Saviors</t>
  </si>
  <si>
    <t>Bioretention for Removal of Microplastics in Stormwater</t>
  </si>
  <si>
    <t>UC Merced</t>
  </si>
  <si>
    <t>Stormwater Management</t>
  </si>
  <si>
    <t>Microplastics are an emerging pollutant that can affect our health and enter our environment through stormwater runoff. Although various types of microplastics are found in stormwater, the major contributors are rubber fragments and fibers from tires on the road. Our project consists of designing a bioretention cell that can be inserted into storm drains to filter out microplastics from roads on the UC Merced campus. UC Merced has a Triple Zero Initiative that strives for outstanding environmental goals such as zero net greenhouse gas emission, waste, and net energy consumption. Therefore, our storm drains insert address the issue of microplastic waste using organic materials like sand and pea gravel. The design structure utilizes stainless steel like that already used in storm drains to avoid using more plastics. Our research highlights the need for novel, cost-effective ways to address the issue of microplastics before they enter the stormwater system.</t>
  </si>
  <si>
    <t>Julian Bowles-Baji, Juan Martinez-Aquino, Natalie Salinas, Christopher Rodriguez</t>
  </si>
  <si>
    <t>F4 - Future-Focused Fluid Force</t>
  </si>
  <si>
    <t>Inland brackish water desalination with solar energy</t>
  </si>
  <si>
    <t>AG Water Partners</t>
  </si>
  <si>
    <t>Water Supply &amp; Desalination</t>
  </si>
  <si>
    <t>Climate change and population growth are straining California's freshwater resources. The energy demands and pollution of desalination efforts create economic and environmental strains. Our goal is to design a sustainable water supply with a target cost of $2-3 per 1,000 gallons, through an inland brackish water desalination plant paired with solar technology producing 3.5 million gallons per day of potable water, with total dissolved solids under 500 mg/L. Our research reviewed data publicly available by the United States Geological Survey, to find an ideal location, which is Gloria Valley and its surrounding communities of Soledad and Gonzales, which have a combined population of 32,000 residents. We qualitatively looked at solar potential, transportation accessibility, and brackish water availability to optimize cost and energy-efficiency. The plant will use multiple-effect distillation with concentrated solar thermal technology. To minimize environmental impact, solar evaporation ponds will be implemented for brine mitigation.</t>
  </si>
  <si>
    <t>Diana Condori, Diana Martinez-Gomez, Alex Ramirez, Christopher Rodriguez</t>
  </si>
  <si>
    <t>Safe Structure Squad</t>
  </si>
  <si>
    <t>Ronan Point Apartment Tower Case</t>
  </si>
  <si>
    <t>SY Consulting LLC</t>
  </si>
  <si>
    <t>Structural Engineering</t>
  </si>
  <si>
    <t>Modern buildings are built to withstand both internal and external forces, with the safety of the occupants as a top priority. When confronted with an unexpected force, their capacity to remain standing becomes a key test of resilience. Resilience was tested and ultimately failed on May 16, 1968 in East London when a gas explosion on the 18th story of the Ronan Point residential tower resulted in a progressive collapse that injured seventeen people and killing four. The lack of redundancy, poor material quality, and incorrect installation, current building practices and codes were brought into question nationwide. Our project evaluates the structural failure and redesigns the residential high-rise with a modular steel framework and precast concrete panels, which increases tensile strength and construction efficiency while also withstanding live, dead, wind, seismic, and instantaneous loads. Our recommendation, based on testing and structural analysis, would regularly assess new materials and construction techniques and apply them to reduce material usage, construction costs, and improve efficiency while assuring safety and code compliance.</t>
  </si>
  <si>
    <t>Eric Colomes, Jason Colomes, Eghosa Isibor</t>
  </si>
  <si>
    <t>Students-201</t>
  </si>
  <si>
    <t>Arcadio Mercado    Daniel Carranza Gomez    Hassan Imran</t>
  </si>
  <si>
    <t>Students-202</t>
  </si>
  <si>
    <t>Abdi Rodriguez Vizarretea    Carlos Rodriguez    Enrique Estrada    Manuel Ortega</t>
  </si>
  <si>
    <t>Students-203</t>
  </si>
  <si>
    <t>Alfredo Cervantes-Agabo    Alex Hernandez Chamu    Elias Moreno    Eliana Moreno    Jazmin Claros</t>
  </si>
  <si>
    <t>Students-204</t>
  </si>
  <si>
    <t>David Hoehler    Hailey Romero    Morgan Phung    Shanald Lal    Xavier Walle</t>
  </si>
  <si>
    <t>Students-205</t>
  </si>
  <si>
    <t>Favour Nnaji    Kenneth Gampol    Luis Munguia Ruiz    Ricardo Barrera    Ricardo Bueno</t>
  </si>
  <si>
    <t>Students-206</t>
  </si>
  <si>
    <t>Airam Martinez Rodriguez    Angelin Prasad    Bryan Resuleo    Maliyah Brasil</t>
  </si>
  <si>
    <t>Students-207</t>
  </si>
  <si>
    <t>Alberto Alves    Benedict-Eli Mugar    Litzy Pena    Rudy Castillo</t>
  </si>
  <si>
    <t>Students-208</t>
  </si>
  <si>
    <t>Bryan Lopez    Mitchell Chan    Michael Yokote    Ricardo Cervantes    Tim Burton</t>
  </si>
  <si>
    <t>Bryan Lopez, Mitchell Chan, Michael Yokote, Ricardo Cervantes, Tim Burton</t>
  </si>
  <si>
    <t>Students-209</t>
  </si>
  <si>
    <t>Dan Fraser    Eriverto Jimenez    Efren Lizarraga    Jesus Acevedo    Jonathan Gonzalez</t>
  </si>
  <si>
    <t>Students-210</t>
  </si>
  <si>
    <t>Eduardo Castaneda Manzano    Erik Gramajo    Russell Mondy    Erick Modesto Aban</t>
  </si>
  <si>
    <t>Students-211</t>
  </si>
  <si>
    <t>Alexander Perez    Derian Cervantes Campos    Jonathan Curiel    Kevin Kuang</t>
  </si>
  <si>
    <t>Students-212</t>
  </si>
  <si>
    <t>Anthony Jones    Daniela Pineda    Joshua Golka    Mark Reyes</t>
  </si>
  <si>
    <t>Students-213</t>
  </si>
  <si>
    <t>Cristopher Granados    David Gutierrez    Edwardo Aguilar    Nong Xiong</t>
  </si>
  <si>
    <t>Cristopher Granados, David Gutierrez, Edwardo Aguilar, Nong Xiong</t>
  </si>
  <si>
    <t>Students-301</t>
  </si>
  <si>
    <t>Aadi Sharma    Amrita Vilku    Anirud Vorugu    Ivan Vargas</t>
  </si>
  <si>
    <t>Students-302</t>
  </si>
  <si>
    <t>Garret Castro    Hans Guillen    Jason Yuen    Nick Mount</t>
  </si>
  <si>
    <t>Students-303</t>
  </si>
  <si>
    <t>Harshul Satija    John Tran    Kirthana Kavali    Pranav Chakilam</t>
  </si>
  <si>
    <t>Students-304</t>
  </si>
  <si>
    <t>Evan Lu    Jeffrey Peng    Kristina Wong    Tanush Maddala</t>
  </si>
  <si>
    <t>Students-305</t>
  </si>
  <si>
    <t>Cheska Cinderella Friend    Quan Nguyen    Sergio Angulo    Tanner Jackson</t>
  </si>
  <si>
    <t>Students-306</t>
  </si>
  <si>
    <t>Andrew Reed    Anthony Rojas    Jacob Thompson    Raul Pena Verduzco    Spencer	Stafford</t>
  </si>
  <si>
    <t>Students-307</t>
  </si>
  <si>
    <t>Chris Hernandez    Ethan Chou    Emily Puente    Luis Fujarte    Nevin Jom</t>
  </si>
  <si>
    <t>Students-308</t>
  </si>
  <si>
    <t>German De La Luz    Joseph Tadrous    Nawfal Abdul Khader    Yash Dhillon</t>
  </si>
  <si>
    <t>Students-309</t>
  </si>
  <si>
    <t>Fernando Campos Chavez    Hikaru Kurusu    Kyle Sulit    Shrivaikunth Krishnakumar</t>
  </si>
  <si>
    <t>Students-310</t>
  </si>
  <si>
    <t>Cameron Fabela    Ethan Hom    Kobe Kimoto-Ross    Kirath Pandal    Marcelo Ramirez</t>
  </si>
  <si>
    <t>Students-311</t>
  </si>
  <si>
    <t>Adrian Navarro    Jacob Myung    James Odanga    Yuepeng Lee</t>
  </si>
  <si>
    <t>Students-312</t>
  </si>
  <si>
    <t>Cristian Galarza Torres    Edmond Lee    Raghav Sinha</t>
  </si>
  <si>
    <t>Students-313</t>
  </si>
  <si>
    <t>Ethan On    Ryan Milstrey    Salvador Nunez    Sakayt Singh</t>
  </si>
  <si>
    <t>Students-314</t>
  </si>
  <si>
    <t>Fernando Martinez    Genesis Vazquez    Mark Araza    Psalm Bautista</t>
  </si>
  <si>
    <t>Students-315</t>
  </si>
  <si>
    <t>Brian Gao    Christopher Huang    Kyle Shyffer    Victor Aguele    Quincy Walter-Eze</t>
  </si>
  <si>
    <t>Students-316</t>
  </si>
  <si>
    <t>Alex Sanchez Rubio    Flor Aguilar    Jessie Mendoza    Nebyou Abebe    Ralph Sulay</t>
  </si>
  <si>
    <t>Students-317</t>
  </si>
  <si>
    <t>Berrydal Moshe    Christine Doan    Kavin Rajasekaran    Karina Zamora</t>
  </si>
  <si>
    <t>2022-01-Spring-CAP1</t>
  </si>
  <si>
    <t>Frito Lay</t>
  </si>
  <si>
    <t>2022-01-Spring-CAP2</t>
  </si>
  <si>
    <t>Dave Wilson Nursery</t>
  </si>
  <si>
    <t>2022-01-Spring-CAP3</t>
  </si>
  <si>
    <t>2022-01-Spring-CAP4</t>
  </si>
  <si>
    <t>2022-01-Spring-CAP5</t>
  </si>
  <si>
    <t>2022-01-Spring-CAP6</t>
  </si>
  <si>
    <t>2022-01-Spring-CAP7</t>
  </si>
  <si>
    <t>Omron</t>
  </si>
  <si>
    <t>2022-01-Spring-CAP8</t>
  </si>
  <si>
    <t>2022-01-Spring-CAP9</t>
  </si>
  <si>
    <t>Klingborg Enterprises</t>
  </si>
  <si>
    <t>Gemperle Orchards</t>
  </si>
  <si>
    <t>Land O' Lakes</t>
  </si>
  <si>
    <t>UC Merced - The Pi Shop</t>
  </si>
  <si>
    <t>BART</t>
  </si>
  <si>
    <t>California Transplants</t>
  </si>
  <si>
    <t>Laird Manufacturing</t>
  </si>
  <si>
    <t>Olam</t>
  </si>
  <si>
    <t>Duarte Nursery</t>
  </si>
  <si>
    <t>Neil Jones Foods (TomaTek)</t>
  </si>
  <si>
    <t>Neil Jones Foods (San Benito Foods)</t>
  </si>
  <si>
    <t>IoT4Ag</t>
  </si>
  <si>
    <t>Corigin Solutions</t>
  </si>
  <si>
    <t>2022-01-Spring-CSE</t>
  </si>
  <si>
    <t>Winston Cone Optics</t>
  </si>
  <si>
    <t>Sweep Energy</t>
  </si>
  <si>
    <t>Gemperle Family Farms</t>
  </si>
  <si>
    <t>US Cold Storage</t>
  </si>
  <si>
    <t>Veracruz Ventures</t>
  </si>
  <si>
    <t>ISSNAF</t>
  </si>
  <si>
    <t>Betts Company</t>
  </si>
  <si>
    <t>Agrecom</t>
  </si>
  <si>
    <t>SLAC National Accelerator Laboratory</t>
  </si>
  <si>
    <t>UCSF</t>
  </si>
  <si>
    <t>2022-01-Spring-CEE</t>
  </si>
  <si>
    <t>2022-01-Spring-EngSL</t>
  </si>
  <si>
    <t>Neil Jones Foods</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</si>
</sst>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9.0"/>
      <color theme="1"/>
      <name val="Arial"/>
    </font>
    <font>
      <sz val="9.0"/>
      <color theme="1"/>
      <name val="Arial"/>
    </font>
    <font>
      <sz val="9.0"/>
      <color theme="1"/>
      <name val="Arial"/>
      <scheme val="minor"/>
    </font>
    <font>
      <sz val="9.0"/>
      <color rgb="FF222222"/>
      <name val="Arial"/>
    </font>
    <font>
      <sz val="9.0"/>
      <color rgb="FF000000"/>
      <name val="Arial"/>
    </font>
    <font>
      <color theme="1"/>
      <name val="Arial"/>
      <scheme val="mino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center" wrapText="0"/>
    </xf>
    <xf borderId="0" fillId="2" fontId="2" numFmtId="0" xfId="0" applyAlignment="1" applyFont="1">
      <alignment horizontal="left" readingOrder="0" shrinkToFit="0" vertical="center" wrapText="0"/>
    </xf>
    <xf borderId="0" fillId="2" fontId="2" numFmtId="0" xfId="0" applyAlignment="1" applyFont="1">
      <alignment horizontal="left" shrinkToFit="0" vertical="center" wrapText="0"/>
    </xf>
    <xf borderId="0" fillId="2" fontId="3" numFmtId="0" xfId="0" applyAlignment="1" applyFont="1">
      <alignment horizontal="left" readingOrder="0" shrinkToFit="0" vertical="center" wrapText="0"/>
    </xf>
    <xf borderId="0" fillId="2" fontId="3" numFmtId="0" xfId="0" applyAlignment="1" applyFont="1">
      <alignment horizontal="left" shrinkToFit="0" vertical="center" wrapText="0"/>
    </xf>
    <xf borderId="0" fillId="0" fontId="3" numFmtId="0" xfId="0" applyAlignment="1" applyFont="1">
      <alignment horizontal="left" readingOrder="0" vertical="center"/>
    </xf>
    <xf borderId="0" fillId="0" fontId="2" numFmtId="0" xfId="0" applyAlignment="1" applyFont="1">
      <alignment horizontal="left" readingOrder="0" shrinkToFit="0" vertical="center" wrapText="0"/>
    </xf>
    <xf borderId="0" fillId="2" fontId="4" numFmtId="0" xfId="0" applyAlignment="1" applyFont="1">
      <alignment readingOrder="0"/>
    </xf>
    <xf borderId="0" fillId="2" fontId="4" numFmtId="0" xfId="0" applyAlignment="1" applyFont="1">
      <alignment readingOrder="0" vertical="top"/>
    </xf>
    <xf borderId="0" fillId="0" fontId="2" numFmtId="0" xfId="0" applyAlignment="1" applyFont="1">
      <alignment horizontal="left" readingOrder="0" shrinkToFit="0" vertical="center" wrapText="0"/>
    </xf>
    <xf borderId="0" fillId="0" fontId="5" numFmtId="0" xfId="0" applyAlignment="1" applyFont="1">
      <alignment horizontal="left" readingOrder="0" shrinkToFit="0" vertical="center" wrapText="0"/>
    </xf>
    <xf borderId="0" fillId="0" fontId="3" numFmtId="0" xfId="0" applyAlignment="1" applyFont="1">
      <alignment horizontal="left" shrinkToFit="0" vertical="center" wrapText="0"/>
    </xf>
    <xf borderId="0" fillId="0" fontId="6" numFmtId="0" xfId="0" applyAlignment="1" applyFont="1">
      <alignment horizontal="left" readingOrder="0" shrinkToFit="0" vertical="center" wrapText="0"/>
    </xf>
    <xf borderId="0" fillId="0" fontId="6" numFmtId="0" xfId="0" applyAlignment="1" applyFont="1">
      <alignment horizontal="left" shrinkToFit="0" vertical="center" wrapText="0"/>
    </xf>
    <xf borderId="0" fillId="0" fontId="6" numFmtId="0" xfId="0" applyAlignment="1" applyFont="1">
      <alignment horizontal="left" readingOrder="0" vertical="center"/>
    </xf>
    <xf borderId="0" fillId="0" fontId="6" numFmtId="0" xfId="0" applyAlignment="1" applyFont="1">
      <alignment horizontal="left" readingOrder="0"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6.75"/>
    <col customWidth="1" min="3" max="3" width="15.38"/>
    <col customWidth="1" min="4" max="4" width="5.75"/>
    <col customWidth="1" min="5" max="5" width="6.38"/>
    <col customWidth="1" min="6" max="6" width="14.25"/>
    <col customWidth="1" min="7" max="7" width="16.0"/>
    <col customWidth="1" min="8" max="8" width="16.5"/>
    <col customWidth="1" min="9" max="9" width="11.5"/>
    <col customWidth="1" min="10" max="10" width="52.38"/>
    <col customWidth="1" min="11" max="11" width="65.75"/>
    <col customWidth="1" min="12" max="12" width="92.75"/>
  </cols>
  <sheetData>
    <row r="1" ht="18.75" customHeight="1">
      <c r="A1" s="1" t="s">
        <v>0</v>
      </c>
      <c r="B1" s="1" t="s">
        <v>1</v>
      </c>
      <c r="C1" s="1" t="s">
        <v>2</v>
      </c>
      <c r="D1" s="1" t="s">
        <v>3</v>
      </c>
      <c r="E1" s="1" t="s">
        <v>4</v>
      </c>
      <c r="F1" s="1" t="s">
        <v>5</v>
      </c>
      <c r="G1" s="1" t="s">
        <v>6</v>
      </c>
      <c r="H1" s="1" t="s">
        <v>7</v>
      </c>
      <c r="I1" s="1" t="s">
        <v>8</v>
      </c>
      <c r="J1" s="1" t="s">
        <v>9</v>
      </c>
      <c r="K1" s="1" t="s">
        <v>10</v>
      </c>
      <c r="L1" s="1" t="s">
        <v>11</v>
      </c>
      <c r="M1" s="2"/>
      <c r="N1" s="3"/>
      <c r="O1" s="3"/>
      <c r="P1" s="3"/>
      <c r="Q1" s="3"/>
      <c r="R1" s="3"/>
      <c r="S1" s="3"/>
      <c r="T1" s="3"/>
      <c r="U1" s="3"/>
      <c r="V1" s="3"/>
      <c r="W1" s="3"/>
      <c r="X1" s="3"/>
      <c r="Y1" s="3"/>
    </row>
    <row r="2" ht="18.75" customHeight="1">
      <c r="A2" s="4">
        <v>2.0</v>
      </c>
      <c r="B2" s="2">
        <v>3.0</v>
      </c>
      <c r="C2" s="2" t="s">
        <v>12</v>
      </c>
      <c r="D2" s="2" t="s">
        <v>13</v>
      </c>
      <c r="E2" s="2">
        <v>201.0</v>
      </c>
      <c r="F2" s="2" t="s">
        <v>14</v>
      </c>
      <c r="G2" s="2" t="s">
        <v>15</v>
      </c>
      <c r="H2" s="2" t="s">
        <v>16</v>
      </c>
      <c r="I2" s="4" t="s">
        <v>17</v>
      </c>
      <c r="J2" s="2" t="s">
        <v>18</v>
      </c>
      <c r="K2" s="2" t="s">
        <v>19</v>
      </c>
      <c r="L2" s="2" t="str">
        <f t="shared" ref="L2:L38" si="1">"Team: " &amp; F2 &amp; "  -  Project: " &amp; G2</f>
        <v>Team: Almondry Trailer  -  Project: Hopper Trailer Modification to Dry and Discharge Wet Almonds</v>
      </c>
      <c r="M2" s="3"/>
      <c r="N2" s="5"/>
      <c r="O2" s="3"/>
      <c r="P2" s="3"/>
      <c r="Q2" s="3"/>
      <c r="R2" s="3"/>
      <c r="S2" s="3"/>
      <c r="T2" s="3"/>
      <c r="U2" s="3"/>
      <c r="V2" s="3"/>
      <c r="W2" s="3"/>
      <c r="X2" s="3"/>
      <c r="Y2" s="3"/>
    </row>
    <row r="3" ht="18.75" customHeight="1">
      <c r="A3" s="4">
        <v>2.0</v>
      </c>
      <c r="B3" s="2">
        <v>2.0</v>
      </c>
      <c r="C3" s="2" t="s">
        <v>12</v>
      </c>
      <c r="D3" s="2" t="s">
        <v>13</v>
      </c>
      <c r="E3" s="2">
        <v>202.0</v>
      </c>
      <c r="F3" s="2" t="s">
        <v>20</v>
      </c>
      <c r="G3" s="2" t="s">
        <v>21</v>
      </c>
      <c r="H3" s="2" t="s">
        <v>16</v>
      </c>
      <c r="I3" s="4" t="s">
        <v>17</v>
      </c>
      <c r="J3" s="2" t="s">
        <v>22</v>
      </c>
      <c r="K3" s="2" t="s">
        <v>23</v>
      </c>
      <c r="L3" s="2" t="str">
        <f t="shared" si="1"/>
        <v>Team: Almondry Stockpile  -  Project: Scaled Removable and Reusable Stockpile Aeration System for Almond Drying</v>
      </c>
      <c r="M3" s="3"/>
      <c r="N3" s="5"/>
      <c r="O3" s="3"/>
      <c r="P3" s="3"/>
      <c r="Q3" s="3"/>
      <c r="R3" s="3"/>
      <c r="S3" s="3"/>
      <c r="T3" s="3"/>
      <c r="U3" s="3"/>
      <c r="V3" s="3"/>
      <c r="W3" s="3"/>
      <c r="X3" s="3"/>
      <c r="Y3" s="3"/>
    </row>
    <row r="4" ht="18.75" customHeight="1">
      <c r="A4" s="4">
        <v>1.0</v>
      </c>
      <c r="B4" s="2">
        <v>2.0</v>
      </c>
      <c r="C4" s="2" t="s">
        <v>12</v>
      </c>
      <c r="D4" s="2" t="s">
        <v>13</v>
      </c>
      <c r="E4" s="2">
        <v>203.0</v>
      </c>
      <c r="F4" s="2" t="s">
        <v>24</v>
      </c>
      <c r="G4" s="2" t="s">
        <v>25</v>
      </c>
      <c r="H4" s="2" t="s">
        <v>26</v>
      </c>
      <c r="I4" s="4" t="s">
        <v>27</v>
      </c>
      <c r="J4" s="2" t="s">
        <v>28</v>
      </c>
      <c r="K4" s="2" t="s">
        <v>29</v>
      </c>
      <c r="L4" s="2" t="str">
        <f t="shared" si="1"/>
        <v>Team: Star Wingineers  -  Project: Shuttle Truck Connection Automation with Robotic Arm</v>
      </c>
      <c r="M4" s="3"/>
      <c r="N4" s="5"/>
      <c r="O4" s="3"/>
      <c r="P4" s="3"/>
      <c r="Q4" s="3"/>
      <c r="R4" s="3"/>
      <c r="S4" s="3"/>
      <c r="T4" s="3"/>
      <c r="U4" s="3"/>
      <c r="V4" s="3"/>
      <c r="W4" s="3"/>
      <c r="X4" s="3"/>
      <c r="Y4" s="3"/>
    </row>
    <row r="5" ht="18.75" customHeight="1">
      <c r="A5" s="4">
        <v>2.0</v>
      </c>
      <c r="B5" s="2">
        <v>1.0</v>
      </c>
      <c r="C5" s="2" t="s">
        <v>12</v>
      </c>
      <c r="D5" s="2" t="s">
        <v>13</v>
      </c>
      <c r="E5" s="2">
        <v>204.0</v>
      </c>
      <c r="F5" s="2" t="s">
        <v>30</v>
      </c>
      <c r="G5" s="2" t="s">
        <v>31</v>
      </c>
      <c r="H5" s="2" t="s">
        <v>32</v>
      </c>
      <c r="I5" s="4" t="s">
        <v>17</v>
      </c>
      <c r="J5" s="2" t="s">
        <v>33</v>
      </c>
      <c r="K5" s="2" t="s">
        <v>34</v>
      </c>
      <c r="L5" s="2" t="str">
        <f t="shared" si="1"/>
        <v>Team: Tater Techies  -  Project: Sweet Potato Planter Robotic End Effector - Phase 2</v>
      </c>
      <c r="M5" s="3"/>
      <c r="N5" s="5"/>
      <c r="O5" s="3"/>
      <c r="P5" s="3"/>
      <c r="Q5" s="3"/>
      <c r="R5" s="3"/>
      <c r="S5" s="3"/>
      <c r="T5" s="3"/>
      <c r="U5" s="3"/>
      <c r="V5" s="3"/>
      <c r="W5" s="3"/>
      <c r="X5" s="3"/>
      <c r="Y5" s="3"/>
    </row>
    <row r="6" ht="18.75" customHeight="1">
      <c r="A6" s="4">
        <v>1.0</v>
      </c>
      <c r="B6" s="2">
        <v>4.0</v>
      </c>
      <c r="C6" s="2" t="s">
        <v>12</v>
      </c>
      <c r="D6" s="2" t="s">
        <v>13</v>
      </c>
      <c r="E6" s="2">
        <v>205.0</v>
      </c>
      <c r="F6" s="2" t="s">
        <v>35</v>
      </c>
      <c r="G6" s="2" t="s">
        <v>36</v>
      </c>
      <c r="H6" s="2" t="s">
        <v>37</v>
      </c>
      <c r="I6" s="4" t="s">
        <v>27</v>
      </c>
      <c r="J6" s="2" t="s">
        <v>38</v>
      </c>
      <c r="K6" s="2" t="s">
        <v>39</v>
      </c>
      <c r="L6" s="2" t="str">
        <f t="shared" si="1"/>
        <v>Team: Sun-Maid Automation Solutions  -  Project: Product Conveyance and Quality Selection</v>
      </c>
      <c r="M6" s="3"/>
      <c r="N6" s="5"/>
      <c r="O6" s="3"/>
      <c r="P6" s="3"/>
      <c r="Q6" s="3"/>
      <c r="R6" s="3"/>
      <c r="S6" s="3"/>
      <c r="T6" s="3"/>
      <c r="U6" s="3"/>
      <c r="V6" s="3"/>
      <c r="W6" s="3"/>
      <c r="X6" s="3"/>
      <c r="Y6" s="3"/>
    </row>
    <row r="7" ht="18.75" customHeight="1">
      <c r="A7" s="4">
        <v>3.0</v>
      </c>
      <c r="B7" s="2">
        <v>1.0</v>
      </c>
      <c r="C7" s="2" t="s">
        <v>12</v>
      </c>
      <c r="D7" s="2" t="s">
        <v>13</v>
      </c>
      <c r="E7" s="2">
        <v>206.0</v>
      </c>
      <c r="F7" s="2" t="s">
        <v>40</v>
      </c>
      <c r="G7" s="2" t="s">
        <v>41</v>
      </c>
      <c r="H7" s="2" t="s">
        <v>42</v>
      </c>
      <c r="I7" s="4" t="s">
        <v>43</v>
      </c>
      <c r="J7" s="2" t="s">
        <v>44</v>
      </c>
      <c r="K7" s="2" t="s">
        <v>45</v>
      </c>
      <c r="L7" s="2" t="str">
        <f t="shared" si="1"/>
        <v>Team: Pain Away Pioneers  -  Project: Evaluating the radiolucent guide  prototypes in a cadaver model and analysis for different spine injections</v>
      </c>
      <c r="M7" s="3"/>
      <c r="N7" s="5"/>
      <c r="O7" s="3"/>
      <c r="P7" s="3"/>
      <c r="Q7" s="3"/>
      <c r="R7" s="3"/>
      <c r="S7" s="3"/>
      <c r="T7" s="3"/>
      <c r="U7" s="3"/>
      <c r="V7" s="3"/>
      <c r="W7" s="3"/>
      <c r="X7" s="3"/>
      <c r="Y7" s="3"/>
    </row>
    <row r="8" ht="18.75" customHeight="1">
      <c r="A8" s="4">
        <v>1.0</v>
      </c>
      <c r="B8" s="2">
        <v>1.0</v>
      </c>
      <c r="C8" s="2" t="s">
        <v>12</v>
      </c>
      <c r="D8" s="2" t="s">
        <v>13</v>
      </c>
      <c r="E8" s="2">
        <v>207.0</v>
      </c>
      <c r="F8" s="2" t="s">
        <v>46</v>
      </c>
      <c r="G8" s="2" t="s">
        <v>47</v>
      </c>
      <c r="H8" s="2" t="s">
        <v>48</v>
      </c>
      <c r="I8" s="4" t="s">
        <v>27</v>
      </c>
      <c r="J8" s="2" t="s">
        <v>49</v>
      </c>
      <c r="K8" s="2" t="s">
        <v>50</v>
      </c>
      <c r="L8" s="2" t="str">
        <f t="shared" si="1"/>
        <v>Team: NextGen Dairy Innovations  -  Project: Salt distribution</v>
      </c>
      <c r="M8" s="3"/>
      <c r="N8" s="5"/>
      <c r="O8" s="3"/>
      <c r="P8" s="3"/>
      <c r="Q8" s="3"/>
      <c r="R8" s="3"/>
      <c r="S8" s="3"/>
      <c r="T8" s="3"/>
      <c r="U8" s="3"/>
      <c r="V8" s="3"/>
      <c r="W8" s="3"/>
      <c r="X8" s="3"/>
      <c r="Y8" s="3"/>
    </row>
    <row r="9" ht="18.75" customHeight="1">
      <c r="A9" s="4">
        <v>3.0</v>
      </c>
      <c r="B9" s="2">
        <v>3.0</v>
      </c>
      <c r="C9" s="2" t="s">
        <v>12</v>
      </c>
      <c r="D9" s="2" t="s">
        <v>13</v>
      </c>
      <c r="E9" s="2">
        <v>208.0</v>
      </c>
      <c r="F9" s="2" t="s">
        <v>51</v>
      </c>
      <c r="G9" s="2" t="s">
        <v>52</v>
      </c>
      <c r="H9" s="2" t="s">
        <v>53</v>
      </c>
      <c r="I9" s="4" t="s">
        <v>54</v>
      </c>
      <c r="J9" s="2" t="s">
        <v>55</v>
      </c>
      <c r="K9" s="2" t="s">
        <v>56</v>
      </c>
      <c r="L9" s="2" t="str">
        <f t="shared" si="1"/>
        <v>Team: The TES Musketeers  -  Project: Thermal Energy Storage Demonstrator</v>
      </c>
      <c r="M9" s="3"/>
      <c r="N9" s="5"/>
      <c r="O9" s="3"/>
      <c r="P9" s="3"/>
      <c r="Q9" s="3"/>
      <c r="R9" s="3"/>
      <c r="S9" s="3"/>
      <c r="T9" s="3"/>
      <c r="U9" s="3"/>
      <c r="V9" s="3"/>
      <c r="W9" s="3"/>
      <c r="X9" s="3"/>
      <c r="Y9" s="3"/>
    </row>
    <row r="10" ht="18.75" customHeight="1">
      <c r="A10" s="4">
        <v>3.0</v>
      </c>
      <c r="B10" s="2">
        <v>2.0</v>
      </c>
      <c r="C10" s="2" t="s">
        <v>12</v>
      </c>
      <c r="D10" s="2" t="s">
        <v>13</v>
      </c>
      <c r="E10" s="2">
        <v>209.0</v>
      </c>
      <c r="F10" s="2" t="s">
        <v>57</v>
      </c>
      <c r="G10" s="2" t="s">
        <v>58</v>
      </c>
      <c r="H10" s="2" t="s">
        <v>59</v>
      </c>
      <c r="I10" s="4" t="s">
        <v>27</v>
      </c>
      <c r="J10" s="2" t="s">
        <v>60</v>
      </c>
      <c r="K10" s="2" t="s">
        <v>61</v>
      </c>
      <c r="L10" s="2" t="str">
        <f t="shared" si="1"/>
        <v>Team: Wine Wise Development  -  Project: Screw Conveyance Alignment &amp; Timing</v>
      </c>
      <c r="M10" s="3"/>
      <c r="N10" s="5"/>
      <c r="O10" s="3"/>
      <c r="P10" s="3"/>
      <c r="Q10" s="3"/>
      <c r="R10" s="3"/>
      <c r="S10" s="3"/>
      <c r="T10" s="3"/>
      <c r="U10" s="3"/>
      <c r="V10" s="3"/>
      <c r="W10" s="3"/>
      <c r="X10" s="3"/>
      <c r="Y10" s="3"/>
    </row>
    <row r="11" ht="18.75" customHeight="1">
      <c r="A11" s="2">
        <v>1.0</v>
      </c>
      <c r="B11" s="2">
        <v>3.0</v>
      </c>
      <c r="C11" s="2" t="s">
        <v>12</v>
      </c>
      <c r="D11" s="2" t="s">
        <v>13</v>
      </c>
      <c r="E11" s="2">
        <v>210.0</v>
      </c>
      <c r="F11" s="2" t="s">
        <v>62</v>
      </c>
      <c r="G11" s="2" t="s">
        <v>63</v>
      </c>
      <c r="H11" s="2" t="s">
        <v>64</v>
      </c>
      <c r="I11" s="4" t="s">
        <v>27</v>
      </c>
      <c r="J11" s="2" t="s">
        <v>65</v>
      </c>
      <c r="K11" s="2" t="s">
        <v>66</v>
      </c>
      <c r="L11" s="2" t="str">
        <f t="shared" si="1"/>
        <v>Team: The Bobcat Scrub Crew  -  Project: Bin Washer</v>
      </c>
      <c r="M11" s="3"/>
      <c r="N11" s="5"/>
      <c r="O11" s="3"/>
      <c r="P11" s="3"/>
      <c r="Q11" s="3"/>
      <c r="R11" s="3"/>
      <c r="S11" s="3"/>
      <c r="T11" s="3"/>
      <c r="U11" s="3"/>
      <c r="V11" s="3"/>
      <c r="W11" s="3"/>
      <c r="X11" s="3"/>
      <c r="Y11" s="3"/>
    </row>
    <row r="12" ht="18.75" customHeight="1">
      <c r="A12" s="2">
        <v>1.0</v>
      </c>
      <c r="B12" s="2">
        <v>5.0</v>
      </c>
      <c r="C12" s="2" t="s">
        <v>12</v>
      </c>
      <c r="D12" s="2" t="s">
        <v>13</v>
      </c>
      <c r="E12" s="2">
        <v>211.0</v>
      </c>
      <c r="F12" s="2" t="s">
        <v>67</v>
      </c>
      <c r="G12" s="2" t="s">
        <v>68</v>
      </c>
      <c r="H12" s="2" t="s">
        <v>26</v>
      </c>
      <c r="I12" s="4" t="s">
        <v>27</v>
      </c>
      <c r="J12" s="2" t="s">
        <v>69</v>
      </c>
      <c r="K12" s="2" t="s">
        <v>70</v>
      </c>
      <c r="L12" s="2" t="str">
        <f t="shared" si="1"/>
        <v>Team: Impact Innovation  -  Project: Tractor Cab Collision Detection</v>
      </c>
      <c r="M12" s="3"/>
      <c r="N12" s="5"/>
      <c r="O12" s="3"/>
      <c r="P12" s="3"/>
      <c r="Q12" s="3"/>
      <c r="R12" s="3"/>
      <c r="S12" s="3"/>
      <c r="T12" s="3"/>
      <c r="U12" s="3"/>
      <c r="V12" s="3"/>
      <c r="W12" s="3"/>
      <c r="X12" s="3"/>
      <c r="Y12" s="3"/>
    </row>
    <row r="13" ht="18.75" customHeight="1">
      <c r="A13" s="2">
        <v>2.0</v>
      </c>
      <c r="B13" s="2">
        <v>4.0</v>
      </c>
      <c r="C13" s="2" t="s">
        <v>12</v>
      </c>
      <c r="D13" s="2" t="s">
        <v>13</v>
      </c>
      <c r="E13" s="2">
        <v>212.0</v>
      </c>
      <c r="F13" s="2" t="s">
        <v>71</v>
      </c>
      <c r="G13" s="2" t="s">
        <v>72</v>
      </c>
      <c r="H13" s="2" t="s">
        <v>73</v>
      </c>
      <c r="I13" s="4" t="s">
        <v>17</v>
      </c>
      <c r="J13" s="2" t="s">
        <v>74</v>
      </c>
      <c r="K13" s="2" t="s">
        <v>75</v>
      </c>
      <c r="L13" s="2" t="str">
        <f t="shared" si="1"/>
        <v>Team: UCM Terra Team  -  Project: Flipper - Flip Re-Design</v>
      </c>
      <c r="M13" s="3"/>
      <c r="N13" s="5"/>
      <c r="O13" s="3"/>
      <c r="P13" s="3"/>
      <c r="Q13" s="3"/>
      <c r="R13" s="3"/>
      <c r="S13" s="3"/>
      <c r="T13" s="3"/>
      <c r="U13" s="3"/>
      <c r="V13" s="3"/>
      <c r="W13" s="3"/>
      <c r="X13" s="3"/>
      <c r="Y13" s="3"/>
    </row>
    <row r="14" ht="18.75" customHeight="1">
      <c r="A14" s="2">
        <v>3.0</v>
      </c>
      <c r="B14" s="2">
        <v>4.0</v>
      </c>
      <c r="C14" s="2" t="s">
        <v>12</v>
      </c>
      <c r="D14" s="2" t="s">
        <v>13</v>
      </c>
      <c r="E14" s="2">
        <v>213.0</v>
      </c>
      <c r="F14" s="2" t="s">
        <v>76</v>
      </c>
      <c r="G14" s="2" t="s">
        <v>77</v>
      </c>
      <c r="H14" s="2" t="s">
        <v>78</v>
      </c>
      <c r="I14" s="4" t="s">
        <v>79</v>
      </c>
      <c r="J14" s="2" t="s">
        <v>80</v>
      </c>
      <c r="K14" s="2" t="s">
        <v>81</v>
      </c>
      <c r="L14" s="2" t="str">
        <f t="shared" si="1"/>
        <v>Team: 4x4 BWC  -  Project: Battery Workforce Challenge</v>
      </c>
      <c r="M14" s="3"/>
      <c r="N14" s="5"/>
      <c r="O14" s="3"/>
      <c r="P14" s="3"/>
      <c r="Q14" s="3"/>
      <c r="R14" s="3"/>
      <c r="S14" s="3"/>
      <c r="T14" s="3"/>
      <c r="U14" s="3"/>
      <c r="V14" s="3"/>
      <c r="W14" s="3"/>
      <c r="X14" s="3"/>
      <c r="Y14" s="3"/>
    </row>
    <row r="15" ht="18.75" customHeight="1">
      <c r="A15" s="2">
        <v>5.0</v>
      </c>
      <c r="B15" s="2">
        <v>3.0</v>
      </c>
      <c r="C15" s="2" t="s">
        <v>82</v>
      </c>
      <c r="D15" s="2" t="s">
        <v>83</v>
      </c>
      <c r="E15" s="2">
        <v>301.0</v>
      </c>
      <c r="F15" s="4" t="s">
        <v>84</v>
      </c>
      <c r="G15" s="2" t="s">
        <v>85</v>
      </c>
      <c r="H15" s="2" t="s">
        <v>48</v>
      </c>
      <c r="I15" s="4" t="s">
        <v>27</v>
      </c>
      <c r="J15" s="2" t="s">
        <v>86</v>
      </c>
      <c r="K15" s="2" t="s">
        <v>87</v>
      </c>
      <c r="L15" s="2" t="str">
        <f t="shared" si="1"/>
        <v>Team: Curd Detectors  -  Project: Leak detection</v>
      </c>
      <c r="M15" s="3"/>
      <c r="N15" s="5"/>
      <c r="O15" s="3"/>
      <c r="P15" s="3"/>
      <c r="Q15" s="3"/>
      <c r="R15" s="3"/>
      <c r="S15" s="3"/>
      <c r="T15" s="3"/>
      <c r="U15" s="3"/>
      <c r="V15" s="3"/>
      <c r="W15" s="3"/>
      <c r="X15" s="3"/>
      <c r="Y15" s="3"/>
    </row>
    <row r="16" ht="18.75" customHeight="1">
      <c r="A16" s="2">
        <v>5.0</v>
      </c>
      <c r="B16" s="2">
        <v>6.0</v>
      </c>
      <c r="C16" s="2" t="s">
        <v>82</v>
      </c>
      <c r="D16" s="2" t="s">
        <v>83</v>
      </c>
      <c r="E16" s="2">
        <v>302.0</v>
      </c>
      <c r="F16" s="4" t="s">
        <v>88</v>
      </c>
      <c r="G16" s="2" t="s">
        <v>89</v>
      </c>
      <c r="H16" s="2" t="s">
        <v>90</v>
      </c>
      <c r="I16" s="4" t="s">
        <v>27</v>
      </c>
      <c r="J16" s="2" t="s">
        <v>91</v>
      </c>
      <c r="K16" s="2" t="s">
        <v>92</v>
      </c>
      <c r="L16" s="2" t="str">
        <f t="shared" si="1"/>
        <v>Team: Big Farma  -  Project: Crop Yield Estimation via Robotic Image Capture</v>
      </c>
      <c r="M16" s="3"/>
      <c r="N16" s="5"/>
      <c r="O16" s="3"/>
      <c r="P16" s="3"/>
      <c r="Q16" s="3"/>
      <c r="R16" s="3"/>
      <c r="S16" s="3"/>
      <c r="T16" s="3"/>
      <c r="U16" s="3"/>
      <c r="V16" s="3"/>
      <c r="W16" s="3"/>
      <c r="X16" s="3"/>
      <c r="Y16" s="3"/>
    </row>
    <row r="17" ht="18.75" customHeight="1">
      <c r="A17" s="2">
        <v>6.0</v>
      </c>
      <c r="B17" s="2">
        <v>2.0</v>
      </c>
      <c r="C17" s="2" t="s">
        <v>82</v>
      </c>
      <c r="D17" s="2" t="s">
        <v>83</v>
      </c>
      <c r="E17" s="2">
        <v>303.0</v>
      </c>
      <c r="F17" s="4" t="s">
        <v>93</v>
      </c>
      <c r="G17" s="2" t="s">
        <v>94</v>
      </c>
      <c r="H17" s="2" t="s">
        <v>95</v>
      </c>
      <c r="I17" s="4" t="s">
        <v>96</v>
      </c>
      <c r="J17" s="2" t="s">
        <v>97</v>
      </c>
      <c r="K17" s="2" t="s">
        <v>98</v>
      </c>
      <c r="L17" s="2" t="str">
        <f t="shared" si="1"/>
        <v>Team: Scrapercon  -  Project: Digital AI Backpack Opportunity Web Scraping</v>
      </c>
      <c r="M17" s="3"/>
      <c r="N17" s="5"/>
      <c r="O17" s="3"/>
      <c r="P17" s="3"/>
      <c r="Q17" s="3"/>
      <c r="R17" s="3"/>
      <c r="S17" s="3"/>
      <c r="T17" s="3"/>
      <c r="U17" s="3"/>
      <c r="V17" s="3"/>
      <c r="W17" s="3"/>
      <c r="X17" s="3"/>
      <c r="Y17" s="3"/>
    </row>
    <row r="18" ht="18.75" customHeight="1">
      <c r="A18" s="2">
        <v>6.0</v>
      </c>
      <c r="B18" s="2">
        <v>3.0</v>
      </c>
      <c r="C18" s="2" t="s">
        <v>82</v>
      </c>
      <c r="D18" s="2" t="s">
        <v>83</v>
      </c>
      <c r="E18" s="2">
        <v>304.0</v>
      </c>
      <c r="F18" s="4" t="s">
        <v>99</v>
      </c>
      <c r="G18" s="2" t="s">
        <v>100</v>
      </c>
      <c r="H18" s="2" t="s">
        <v>95</v>
      </c>
      <c r="I18" s="4" t="s">
        <v>96</v>
      </c>
      <c r="J18" s="2" t="s">
        <v>101</v>
      </c>
      <c r="K18" s="2" t="s">
        <v>102</v>
      </c>
      <c r="L18" s="2" t="str">
        <f t="shared" si="1"/>
        <v>Team: 404: Team Name Not Found  -  Project: Digital AI Backpack Web Application - Community Connect</v>
      </c>
      <c r="M18" s="3"/>
      <c r="N18" s="5"/>
      <c r="O18" s="3"/>
      <c r="P18" s="3"/>
      <c r="Q18" s="3"/>
      <c r="R18" s="3"/>
      <c r="S18" s="3"/>
      <c r="T18" s="3"/>
      <c r="U18" s="3"/>
      <c r="V18" s="3"/>
      <c r="W18" s="3"/>
      <c r="X18" s="3"/>
      <c r="Y18" s="3"/>
    </row>
    <row r="19" ht="18.75" customHeight="1">
      <c r="A19" s="2">
        <v>7.0</v>
      </c>
      <c r="B19" s="2">
        <v>6.0</v>
      </c>
      <c r="C19" s="2" t="s">
        <v>82</v>
      </c>
      <c r="D19" s="2" t="s">
        <v>83</v>
      </c>
      <c r="E19" s="2">
        <v>305.0</v>
      </c>
      <c r="F19" s="4" t="s">
        <v>103</v>
      </c>
      <c r="G19" s="2" t="s">
        <v>104</v>
      </c>
      <c r="H19" s="2" t="s">
        <v>105</v>
      </c>
      <c r="I19" s="4" t="s">
        <v>106</v>
      </c>
      <c r="J19" s="2" t="s">
        <v>107</v>
      </c>
      <c r="K19" s="2" t="s">
        <v>108</v>
      </c>
      <c r="L19" s="2" t="str">
        <f t="shared" si="1"/>
        <v>Team: Ctrl+Alt+Schedule  -  Project: Language Learning Consultation Service Scheduler</v>
      </c>
      <c r="M19" s="3"/>
      <c r="N19" s="5"/>
      <c r="O19" s="3"/>
      <c r="P19" s="3"/>
      <c r="Q19" s="3"/>
      <c r="R19" s="3"/>
      <c r="S19" s="3"/>
      <c r="T19" s="3"/>
      <c r="U19" s="3"/>
      <c r="V19" s="3"/>
      <c r="W19" s="3"/>
      <c r="X19" s="3"/>
      <c r="Y19" s="3"/>
    </row>
    <row r="20" ht="18.75" customHeight="1">
      <c r="A20" s="2">
        <v>6.0</v>
      </c>
      <c r="B20" s="2">
        <v>1.0</v>
      </c>
      <c r="C20" s="2" t="s">
        <v>82</v>
      </c>
      <c r="D20" s="2" t="s">
        <v>83</v>
      </c>
      <c r="E20" s="2">
        <v>306.0</v>
      </c>
      <c r="F20" s="4" t="s">
        <v>109</v>
      </c>
      <c r="G20" s="2" t="s">
        <v>110</v>
      </c>
      <c r="H20" s="2" t="s">
        <v>105</v>
      </c>
      <c r="I20" s="4" t="s">
        <v>106</v>
      </c>
      <c r="J20" s="2" t="s">
        <v>111</v>
      </c>
      <c r="K20" s="2" t="s">
        <v>112</v>
      </c>
      <c r="L20" s="2" t="str">
        <f t="shared" si="1"/>
        <v>Team: Team Polyglot  -  Project: Scheduling Progress Assessments</v>
      </c>
      <c r="M20" s="3"/>
      <c r="N20" s="5"/>
      <c r="O20" s="3"/>
      <c r="P20" s="3"/>
      <c r="Q20" s="3"/>
      <c r="R20" s="3"/>
      <c r="S20" s="3"/>
      <c r="T20" s="3"/>
      <c r="U20" s="3"/>
      <c r="V20" s="3"/>
      <c r="W20" s="3"/>
      <c r="X20" s="3"/>
      <c r="Y20" s="3"/>
    </row>
    <row r="21" ht="18.75" customHeight="1">
      <c r="A21" s="2">
        <v>7.0</v>
      </c>
      <c r="B21" s="2">
        <v>5.0</v>
      </c>
      <c r="C21" s="2" t="s">
        <v>82</v>
      </c>
      <c r="D21" s="2" t="s">
        <v>83</v>
      </c>
      <c r="E21" s="2">
        <v>307.0</v>
      </c>
      <c r="F21" s="4" t="s">
        <v>113</v>
      </c>
      <c r="G21" s="2" t="s">
        <v>114</v>
      </c>
      <c r="H21" s="2" t="s">
        <v>105</v>
      </c>
      <c r="I21" s="4" t="s">
        <v>106</v>
      </c>
      <c r="J21" s="2" t="s">
        <v>115</v>
      </c>
      <c r="K21" s="2" t="s">
        <v>116</v>
      </c>
      <c r="L21" s="2" t="str">
        <f t="shared" si="1"/>
        <v>Team: FSI Friends  -  Project: Automated Matching of Testing Raters to Language Test Examinees</v>
      </c>
      <c r="M21" s="3"/>
      <c r="N21" s="5"/>
      <c r="O21" s="3"/>
      <c r="P21" s="3"/>
      <c r="Q21" s="3"/>
      <c r="R21" s="3"/>
      <c r="S21" s="3"/>
      <c r="T21" s="3"/>
      <c r="U21" s="3"/>
      <c r="V21" s="3"/>
      <c r="W21" s="3"/>
      <c r="X21" s="3"/>
      <c r="Y21" s="3"/>
    </row>
    <row r="22" ht="18.75" customHeight="1">
      <c r="A22" s="2">
        <v>7.0</v>
      </c>
      <c r="B22" s="2">
        <v>7.0</v>
      </c>
      <c r="C22" s="2" t="s">
        <v>82</v>
      </c>
      <c r="D22" s="2" t="s">
        <v>83</v>
      </c>
      <c r="E22" s="2">
        <v>308.0</v>
      </c>
      <c r="F22" s="4" t="s">
        <v>117</v>
      </c>
      <c r="G22" s="2" t="s">
        <v>118</v>
      </c>
      <c r="H22" s="2" t="s">
        <v>119</v>
      </c>
      <c r="I22" s="4" t="s">
        <v>54</v>
      </c>
      <c r="J22" s="2" t="s">
        <v>120</v>
      </c>
      <c r="K22" s="2" t="s">
        <v>121</v>
      </c>
      <c r="L22" s="2" t="str">
        <f t="shared" si="1"/>
        <v>Team: M.O.P  -  Project: Private LLM Workflows</v>
      </c>
      <c r="M22" s="3"/>
      <c r="N22" s="5"/>
      <c r="O22" s="3"/>
      <c r="P22" s="3"/>
      <c r="Q22" s="3"/>
      <c r="R22" s="3"/>
      <c r="S22" s="3"/>
      <c r="T22" s="3"/>
      <c r="U22" s="3"/>
      <c r="V22" s="3"/>
      <c r="W22" s="3"/>
      <c r="X22" s="3"/>
      <c r="Y22" s="3"/>
    </row>
    <row r="23" ht="18.75" customHeight="1">
      <c r="A23" s="2">
        <v>7.0</v>
      </c>
      <c r="B23" s="2">
        <v>3.0</v>
      </c>
      <c r="C23" s="2" t="s">
        <v>82</v>
      </c>
      <c r="D23" s="2" t="s">
        <v>83</v>
      </c>
      <c r="E23" s="2">
        <v>309.0</v>
      </c>
      <c r="F23" s="4" t="s">
        <v>122</v>
      </c>
      <c r="G23" s="2" t="s">
        <v>123</v>
      </c>
      <c r="H23" s="2" t="s">
        <v>124</v>
      </c>
      <c r="I23" s="4" t="s">
        <v>125</v>
      </c>
      <c r="J23" s="2" t="s">
        <v>126</v>
      </c>
      <c r="K23" s="2" t="s">
        <v>127</v>
      </c>
      <c r="L23" s="2" t="str">
        <f t="shared" si="1"/>
        <v>Team: Crashouts  -  Project: Mentor and Mentee Interactions</v>
      </c>
      <c r="M23" s="3"/>
      <c r="N23" s="5"/>
      <c r="O23" s="3"/>
      <c r="P23" s="3"/>
      <c r="Q23" s="3"/>
      <c r="R23" s="3"/>
      <c r="S23" s="3"/>
      <c r="T23" s="3"/>
      <c r="U23" s="3"/>
      <c r="V23" s="3"/>
      <c r="W23" s="3"/>
      <c r="X23" s="3"/>
      <c r="Y23" s="3"/>
    </row>
    <row r="24" ht="18.75" customHeight="1">
      <c r="A24" s="2">
        <v>5.0</v>
      </c>
      <c r="B24" s="2">
        <v>5.0</v>
      </c>
      <c r="C24" s="2" t="s">
        <v>82</v>
      </c>
      <c r="D24" s="2" t="s">
        <v>83</v>
      </c>
      <c r="E24" s="2">
        <v>310.0</v>
      </c>
      <c r="F24" s="4" t="s">
        <v>128</v>
      </c>
      <c r="G24" s="2" t="s">
        <v>129</v>
      </c>
      <c r="H24" s="2" t="s">
        <v>26</v>
      </c>
      <c r="I24" s="4" t="s">
        <v>27</v>
      </c>
      <c r="J24" s="2" t="s">
        <v>130</v>
      </c>
      <c r="K24" s="2" t="s">
        <v>131</v>
      </c>
      <c r="L24" s="2" t="str">
        <f t="shared" si="1"/>
        <v>Team: Rocket's Christmas Gift  -  Project: Shuttle Truck Robotic Arm Automation: Computer and Camera Setup</v>
      </c>
      <c r="M24" s="3"/>
      <c r="N24" s="5"/>
      <c r="O24" s="3"/>
      <c r="P24" s="3"/>
      <c r="Q24" s="3"/>
      <c r="R24" s="3"/>
      <c r="S24" s="3"/>
      <c r="T24" s="3"/>
      <c r="U24" s="3"/>
      <c r="V24" s="3"/>
      <c r="W24" s="3"/>
      <c r="X24" s="3"/>
      <c r="Y24" s="3"/>
    </row>
    <row r="25" ht="18.75" customHeight="1">
      <c r="A25" s="2">
        <v>6.0</v>
      </c>
      <c r="B25" s="2">
        <v>5.0</v>
      </c>
      <c r="C25" s="2" t="s">
        <v>82</v>
      </c>
      <c r="D25" s="2" t="s">
        <v>83</v>
      </c>
      <c r="E25" s="2">
        <v>311.0</v>
      </c>
      <c r="F25" s="4" t="s">
        <v>132</v>
      </c>
      <c r="G25" s="2" t="s">
        <v>133</v>
      </c>
      <c r="H25" s="2" t="s">
        <v>134</v>
      </c>
      <c r="I25" s="4" t="s">
        <v>54</v>
      </c>
      <c r="J25" s="2" t="s">
        <v>135</v>
      </c>
      <c r="K25" s="2" t="s">
        <v>136</v>
      </c>
      <c r="L25" s="2" t="str">
        <f t="shared" si="1"/>
        <v>Team: Hydro Homies  -  Project: Dashboard Improvement</v>
      </c>
      <c r="M25" s="3"/>
      <c r="N25" s="5"/>
      <c r="O25" s="3"/>
      <c r="P25" s="3"/>
      <c r="Q25" s="3"/>
      <c r="R25" s="3"/>
      <c r="S25" s="3"/>
      <c r="T25" s="3"/>
      <c r="U25" s="3"/>
      <c r="V25" s="3"/>
      <c r="W25" s="3"/>
      <c r="X25" s="3"/>
      <c r="Y25" s="3"/>
    </row>
    <row r="26" ht="18.75" customHeight="1">
      <c r="A26" s="2">
        <v>5.0</v>
      </c>
      <c r="B26" s="2">
        <v>2.0</v>
      </c>
      <c r="C26" s="2" t="s">
        <v>82</v>
      </c>
      <c r="D26" s="2" t="s">
        <v>83</v>
      </c>
      <c r="E26" s="2">
        <v>312.0</v>
      </c>
      <c r="F26" s="4" t="s">
        <v>137</v>
      </c>
      <c r="G26" s="2" t="s">
        <v>138</v>
      </c>
      <c r="H26" s="2" t="s">
        <v>139</v>
      </c>
      <c r="I26" s="4" t="s">
        <v>140</v>
      </c>
      <c r="J26" s="2" t="s">
        <v>141</v>
      </c>
      <c r="K26" s="2" t="s">
        <v>142</v>
      </c>
      <c r="L26" s="2" t="str">
        <f t="shared" si="1"/>
        <v>Team: Wine Guys  -  Project: Wine Inventory Management Using Machine Vision</v>
      </c>
      <c r="M26" s="3"/>
      <c r="N26" s="5"/>
      <c r="O26" s="3"/>
      <c r="P26" s="3"/>
      <c r="Q26" s="3"/>
      <c r="R26" s="3"/>
      <c r="S26" s="3"/>
      <c r="T26" s="3"/>
      <c r="U26" s="3"/>
      <c r="V26" s="3"/>
      <c r="W26" s="3"/>
      <c r="X26" s="3"/>
      <c r="Y26" s="3"/>
    </row>
    <row r="27" ht="18.75" customHeight="1">
      <c r="A27" s="2">
        <v>5.0</v>
      </c>
      <c r="B27" s="2">
        <v>1.0</v>
      </c>
      <c r="C27" s="2" t="s">
        <v>82</v>
      </c>
      <c r="D27" s="2" t="s">
        <v>83</v>
      </c>
      <c r="E27" s="2">
        <v>313.0</v>
      </c>
      <c r="F27" s="4" t="s">
        <v>143</v>
      </c>
      <c r="G27" s="2" t="s">
        <v>144</v>
      </c>
      <c r="H27" s="2" t="s">
        <v>26</v>
      </c>
      <c r="I27" s="4" t="s">
        <v>27</v>
      </c>
      <c r="J27" s="2" t="s">
        <v>145</v>
      </c>
      <c r="K27" s="2" t="s">
        <v>146</v>
      </c>
      <c r="L27" s="2" t="str">
        <f t="shared" si="1"/>
        <v>Team: Sauce Seers  -  Project: Automated Identification of Paste Visual Finish - Phase 2</v>
      </c>
      <c r="M27" s="3"/>
      <c r="N27" s="5"/>
      <c r="O27" s="3"/>
      <c r="P27" s="3"/>
      <c r="Q27" s="3"/>
      <c r="R27" s="3"/>
      <c r="S27" s="3"/>
      <c r="T27" s="3"/>
      <c r="U27" s="3"/>
      <c r="V27" s="3"/>
      <c r="W27" s="3"/>
      <c r="X27" s="3"/>
      <c r="Y27" s="3"/>
    </row>
    <row r="28" ht="18.75" customHeight="1">
      <c r="A28" s="2">
        <v>6.0</v>
      </c>
      <c r="B28" s="2">
        <v>6.0</v>
      </c>
      <c r="C28" s="2" t="s">
        <v>82</v>
      </c>
      <c r="D28" s="2" t="s">
        <v>83</v>
      </c>
      <c r="E28" s="2">
        <v>314.0</v>
      </c>
      <c r="F28" s="4" t="s">
        <v>147</v>
      </c>
      <c r="G28" s="2" t="s">
        <v>148</v>
      </c>
      <c r="H28" s="2" t="s">
        <v>149</v>
      </c>
      <c r="I28" s="4" t="s">
        <v>79</v>
      </c>
      <c r="J28" s="2" t="s">
        <v>150</v>
      </c>
      <c r="K28" s="2" t="s">
        <v>151</v>
      </c>
      <c r="L28" s="2" t="str">
        <f t="shared" si="1"/>
        <v>Team: The Curators  -  Project: Curation and Tracking of Linked Information</v>
      </c>
      <c r="M28" s="3"/>
      <c r="N28" s="5"/>
      <c r="O28" s="3"/>
      <c r="P28" s="3"/>
      <c r="Q28" s="3"/>
      <c r="R28" s="3"/>
      <c r="S28" s="3"/>
      <c r="T28" s="3"/>
      <c r="U28" s="3"/>
      <c r="V28" s="3"/>
      <c r="W28" s="3"/>
      <c r="X28" s="3"/>
      <c r="Y28" s="3"/>
    </row>
    <row r="29" ht="18.75" customHeight="1">
      <c r="A29" s="2">
        <v>6.0</v>
      </c>
      <c r="B29" s="2">
        <v>7.0</v>
      </c>
      <c r="C29" s="2" t="s">
        <v>82</v>
      </c>
      <c r="D29" s="2" t="s">
        <v>83</v>
      </c>
      <c r="E29" s="2">
        <v>315.0</v>
      </c>
      <c r="F29" s="4" t="s">
        <v>152</v>
      </c>
      <c r="G29" s="2" t="s">
        <v>153</v>
      </c>
      <c r="H29" s="2" t="s">
        <v>154</v>
      </c>
      <c r="I29" s="4" t="s">
        <v>155</v>
      </c>
      <c r="J29" s="2" t="s">
        <v>156</v>
      </c>
      <c r="K29" s="2" t="s">
        <v>157</v>
      </c>
      <c r="L29" s="2" t="str">
        <f t="shared" si="1"/>
        <v>Team: Netlinks  -  Project: Networking Engagement - Information Capture and Aggregation App</v>
      </c>
      <c r="M29" s="3"/>
      <c r="N29" s="5"/>
      <c r="O29" s="3"/>
      <c r="P29" s="3"/>
      <c r="Q29" s="3"/>
      <c r="R29" s="3"/>
      <c r="S29" s="3"/>
      <c r="T29" s="3"/>
      <c r="U29" s="3"/>
      <c r="V29" s="3"/>
      <c r="W29" s="3"/>
      <c r="X29" s="3"/>
      <c r="Y29" s="3"/>
    </row>
    <row r="30" ht="18.75" customHeight="1">
      <c r="A30" s="2">
        <v>7.0</v>
      </c>
      <c r="B30" s="2">
        <v>1.0</v>
      </c>
      <c r="C30" s="2" t="s">
        <v>82</v>
      </c>
      <c r="D30" s="2" t="s">
        <v>83</v>
      </c>
      <c r="E30" s="2">
        <v>316.0</v>
      </c>
      <c r="F30" s="4" t="s">
        <v>158</v>
      </c>
      <c r="G30" s="2" t="s">
        <v>159</v>
      </c>
      <c r="H30" s="2" t="s">
        <v>160</v>
      </c>
      <c r="I30" s="4" t="s">
        <v>161</v>
      </c>
      <c r="J30" s="2" t="s">
        <v>162</v>
      </c>
      <c r="K30" s="2" t="s">
        <v>163</v>
      </c>
      <c r="L30" s="2" t="str">
        <f t="shared" si="1"/>
        <v>Team: CoachAI Health Team  -  Project: Development of an LLM model for Health Data</v>
      </c>
      <c r="M30" s="3"/>
      <c r="N30" s="5"/>
      <c r="O30" s="3"/>
      <c r="P30" s="3"/>
      <c r="Q30" s="3"/>
      <c r="R30" s="3"/>
      <c r="S30" s="3"/>
      <c r="T30" s="3"/>
      <c r="U30" s="3"/>
      <c r="V30" s="3"/>
      <c r="W30" s="3"/>
      <c r="X30" s="3"/>
      <c r="Y30" s="3"/>
    </row>
    <row r="31" ht="18.75" customHeight="1">
      <c r="A31" s="2">
        <v>7.0</v>
      </c>
      <c r="B31" s="2">
        <v>2.0</v>
      </c>
      <c r="C31" s="2" t="s">
        <v>82</v>
      </c>
      <c r="D31" s="2" t="s">
        <v>83</v>
      </c>
      <c r="E31" s="2">
        <v>317.0</v>
      </c>
      <c r="F31" s="4" t="s">
        <v>164</v>
      </c>
      <c r="G31" s="2" t="s">
        <v>165</v>
      </c>
      <c r="H31" s="2" t="s">
        <v>166</v>
      </c>
      <c r="I31" s="4" t="s">
        <v>43</v>
      </c>
      <c r="J31" s="2" t="s">
        <v>167</v>
      </c>
      <c r="K31" s="2" t="s">
        <v>168</v>
      </c>
      <c r="L31" s="2" t="str">
        <f t="shared" si="1"/>
        <v>Team: Seacoral  -  Project: Customized LLM Development for Assisting Seniors with Smartwatch and Related Device Usage</v>
      </c>
      <c r="M31" s="3"/>
      <c r="N31" s="5"/>
      <c r="O31" s="3"/>
      <c r="P31" s="3"/>
      <c r="Q31" s="3"/>
      <c r="R31" s="3"/>
      <c r="S31" s="3"/>
      <c r="T31" s="3"/>
      <c r="U31" s="3"/>
      <c r="V31" s="3"/>
      <c r="W31" s="3"/>
      <c r="X31" s="3"/>
      <c r="Y31" s="3"/>
    </row>
    <row r="32" ht="18.75" customHeight="1">
      <c r="A32" s="2">
        <v>5.0</v>
      </c>
      <c r="B32" s="2">
        <v>4.0</v>
      </c>
      <c r="C32" s="2" t="s">
        <v>82</v>
      </c>
      <c r="D32" s="2" t="s">
        <v>83</v>
      </c>
      <c r="E32" s="4"/>
      <c r="F32" s="4"/>
      <c r="G32" s="4" t="s">
        <v>169</v>
      </c>
      <c r="H32" s="4" t="s">
        <v>169</v>
      </c>
      <c r="I32" s="4"/>
      <c r="J32" s="4"/>
      <c r="K32" s="2" t="s">
        <v>169</v>
      </c>
      <c r="L32" s="2" t="str">
        <f t="shared" si="1"/>
        <v>Team:   -  Project: Break</v>
      </c>
      <c r="M32" s="3"/>
      <c r="N32" s="5"/>
      <c r="O32" s="3"/>
      <c r="P32" s="3"/>
      <c r="Q32" s="3"/>
      <c r="R32" s="3"/>
      <c r="S32" s="3"/>
      <c r="T32" s="3"/>
      <c r="U32" s="3"/>
      <c r="V32" s="3"/>
      <c r="W32" s="3"/>
      <c r="X32" s="3"/>
      <c r="Y32" s="3"/>
    </row>
    <row r="33" ht="18.75" customHeight="1">
      <c r="A33" s="2">
        <v>6.0</v>
      </c>
      <c r="B33" s="2">
        <v>4.0</v>
      </c>
      <c r="C33" s="2" t="s">
        <v>82</v>
      </c>
      <c r="D33" s="2" t="s">
        <v>83</v>
      </c>
      <c r="E33" s="4"/>
      <c r="F33" s="4"/>
      <c r="G33" s="4" t="s">
        <v>169</v>
      </c>
      <c r="H33" s="4" t="s">
        <v>169</v>
      </c>
      <c r="I33" s="4"/>
      <c r="J33" s="4"/>
      <c r="K33" s="2" t="s">
        <v>169</v>
      </c>
      <c r="L33" s="2" t="str">
        <f t="shared" si="1"/>
        <v>Team:   -  Project: Break</v>
      </c>
      <c r="M33" s="3"/>
      <c r="N33" s="5"/>
      <c r="O33" s="3"/>
      <c r="P33" s="3"/>
      <c r="Q33" s="3"/>
      <c r="R33" s="3"/>
      <c r="S33" s="3"/>
      <c r="T33" s="3"/>
      <c r="U33" s="3"/>
      <c r="V33" s="3"/>
      <c r="W33" s="3"/>
      <c r="X33" s="3"/>
      <c r="Y33" s="3"/>
    </row>
    <row r="34" ht="18.75" customHeight="1">
      <c r="A34" s="2">
        <v>7.0</v>
      </c>
      <c r="B34" s="2">
        <v>4.0</v>
      </c>
      <c r="C34" s="2" t="s">
        <v>82</v>
      </c>
      <c r="D34" s="2" t="s">
        <v>83</v>
      </c>
      <c r="E34" s="4"/>
      <c r="F34" s="4"/>
      <c r="G34" s="4" t="s">
        <v>169</v>
      </c>
      <c r="H34" s="4" t="s">
        <v>169</v>
      </c>
      <c r="I34" s="4"/>
      <c r="J34" s="4"/>
      <c r="K34" s="2" t="s">
        <v>169</v>
      </c>
      <c r="L34" s="2" t="str">
        <f t="shared" si="1"/>
        <v>Team:   -  Project: Break</v>
      </c>
      <c r="M34" s="3"/>
      <c r="N34" s="5"/>
      <c r="O34" s="3"/>
      <c r="P34" s="3"/>
      <c r="Q34" s="3"/>
      <c r="R34" s="3"/>
      <c r="S34" s="3"/>
      <c r="T34" s="3"/>
      <c r="U34" s="3"/>
      <c r="V34" s="3"/>
      <c r="W34" s="3"/>
      <c r="X34" s="3"/>
      <c r="Y34" s="3"/>
    </row>
    <row r="35" ht="18.75" customHeight="1">
      <c r="A35" s="2">
        <v>4.0</v>
      </c>
      <c r="B35" s="2">
        <v>1.0</v>
      </c>
      <c r="C35" s="2" t="s">
        <v>12</v>
      </c>
      <c r="D35" s="2" t="s">
        <v>170</v>
      </c>
      <c r="E35" s="2">
        <v>401.0</v>
      </c>
      <c r="F35" s="2" t="s">
        <v>171</v>
      </c>
      <c r="G35" s="6" t="s">
        <v>172</v>
      </c>
      <c r="H35" s="2" t="s">
        <v>173</v>
      </c>
      <c r="I35" s="4" t="s">
        <v>174</v>
      </c>
      <c r="J35" s="2" t="s">
        <v>175</v>
      </c>
      <c r="K35" s="2" t="s">
        <v>176</v>
      </c>
      <c r="L35" s="2" t="str">
        <f t="shared" si="1"/>
        <v>Team: Sedimentation Protection Consultant Services  -  Project: Sustainable Wildfire-Driven Sediment Management in Reservoirs</v>
      </c>
      <c r="M35" s="3"/>
      <c r="N35" s="5"/>
      <c r="O35" s="3"/>
      <c r="P35" s="3"/>
      <c r="Q35" s="3"/>
      <c r="R35" s="3"/>
      <c r="S35" s="3"/>
      <c r="T35" s="3"/>
      <c r="U35" s="3"/>
      <c r="V35" s="3"/>
      <c r="W35" s="3"/>
      <c r="X35" s="3"/>
      <c r="Y35" s="3"/>
    </row>
    <row r="36" ht="18.75" customHeight="1">
      <c r="A36" s="2">
        <v>4.0</v>
      </c>
      <c r="B36" s="2">
        <v>2.0</v>
      </c>
      <c r="C36" s="2" t="s">
        <v>12</v>
      </c>
      <c r="D36" s="2" t="s">
        <v>170</v>
      </c>
      <c r="E36" s="2">
        <v>402.0</v>
      </c>
      <c r="F36" s="2" t="s">
        <v>177</v>
      </c>
      <c r="G36" s="6" t="s">
        <v>178</v>
      </c>
      <c r="H36" s="2" t="s">
        <v>179</v>
      </c>
      <c r="I36" s="4" t="s">
        <v>180</v>
      </c>
      <c r="J36" s="2" t="s">
        <v>181</v>
      </c>
      <c r="K36" s="2" t="s">
        <v>182</v>
      </c>
      <c r="L36" s="2" t="str">
        <f t="shared" si="1"/>
        <v>Team: Stormwater Saviors  -  Project: Bioretention for Removal of Microplastics in Stormwater</v>
      </c>
      <c r="M36" s="3"/>
      <c r="N36" s="5"/>
      <c r="O36" s="3"/>
      <c r="P36" s="3"/>
      <c r="Q36" s="3"/>
      <c r="R36" s="3"/>
      <c r="S36" s="3"/>
      <c r="T36" s="3"/>
      <c r="U36" s="3"/>
      <c r="V36" s="3"/>
      <c r="W36" s="3"/>
      <c r="X36" s="3"/>
      <c r="Y36" s="3"/>
    </row>
    <row r="37" ht="18.75" customHeight="1">
      <c r="A37" s="2">
        <v>4.0</v>
      </c>
      <c r="B37" s="2">
        <v>3.0</v>
      </c>
      <c r="C37" s="2" t="s">
        <v>12</v>
      </c>
      <c r="D37" s="2" t="s">
        <v>170</v>
      </c>
      <c r="E37" s="2">
        <v>403.0</v>
      </c>
      <c r="F37" s="2" t="s">
        <v>183</v>
      </c>
      <c r="G37" s="6" t="s">
        <v>184</v>
      </c>
      <c r="H37" s="2" t="s">
        <v>185</v>
      </c>
      <c r="I37" s="4" t="s">
        <v>186</v>
      </c>
      <c r="J37" s="2" t="s">
        <v>187</v>
      </c>
      <c r="K37" s="2" t="s">
        <v>188</v>
      </c>
      <c r="L37" s="2" t="str">
        <f t="shared" si="1"/>
        <v>Team: F4 - Future-Focused Fluid Force  -  Project: Inland brackish water desalination with solar energy</v>
      </c>
      <c r="M37" s="3"/>
      <c r="N37" s="5"/>
      <c r="O37" s="3"/>
      <c r="P37" s="3"/>
      <c r="Q37" s="3"/>
      <c r="R37" s="3"/>
      <c r="S37" s="3"/>
      <c r="T37" s="3"/>
      <c r="U37" s="3"/>
      <c r="V37" s="3"/>
      <c r="W37" s="3"/>
      <c r="X37" s="3"/>
      <c r="Y37" s="3"/>
    </row>
    <row r="38" ht="18.75" customHeight="1">
      <c r="A38" s="2">
        <v>4.0</v>
      </c>
      <c r="B38" s="2">
        <v>4.0</v>
      </c>
      <c r="C38" s="2" t="s">
        <v>12</v>
      </c>
      <c r="D38" s="2" t="s">
        <v>170</v>
      </c>
      <c r="E38" s="2">
        <v>404.0</v>
      </c>
      <c r="F38" s="2" t="s">
        <v>189</v>
      </c>
      <c r="G38" s="6" t="s">
        <v>190</v>
      </c>
      <c r="H38" s="2" t="s">
        <v>191</v>
      </c>
      <c r="I38" s="4" t="s">
        <v>192</v>
      </c>
      <c r="J38" s="2" t="s">
        <v>193</v>
      </c>
      <c r="K38" s="2" t="s">
        <v>194</v>
      </c>
      <c r="L38" s="2" t="str">
        <f t="shared" si="1"/>
        <v>Team: Safe Structure Squad  -  Project: Ronan Point Apartment Tower Case</v>
      </c>
      <c r="M38" s="3"/>
      <c r="N38" s="5"/>
      <c r="O38" s="3"/>
      <c r="P38" s="3"/>
      <c r="Q38" s="3"/>
      <c r="R38" s="3"/>
      <c r="S38" s="3"/>
      <c r="T38" s="3"/>
      <c r="U38" s="3"/>
      <c r="V38" s="3"/>
      <c r="W38" s="3"/>
      <c r="X38" s="3"/>
      <c r="Y38"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0"/>
    <col customWidth="1" min="2" max="2" width="84.0"/>
    <col customWidth="1" min="3" max="3" width="104.5"/>
    <col customWidth="1" min="4" max="7" width="23.75"/>
    <col customWidth="1" min="8" max="8" width="37.38"/>
    <col customWidth="1" min="9" max="19" width="23.75"/>
  </cols>
  <sheetData>
    <row r="1" ht="14.25" customHeight="1">
      <c r="A1" s="7" t="s">
        <v>195</v>
      </c>
      <c r="B1" s="8" t="s">
        <v>196</v>
      </c>
      <c r="C1" s="8" t="s">
        <v>19</v>
      </c>
      <c r="D1" s="9"/>
      <c r="J1" s="10"/>
      <c r="K1" s="10"/>
      <c r="L1" s="10"/>
      <c r="M1" s="10"/>
      <c r="N1" s="10"/>
      <c r="O1" s="10"/>
      <c r="P1" s="10"/>
      <c r="Q1" s="10"/>
      <c r="R1" s="10"/>
      <c r="S1" s="10"/>
    </row>
    <row r="2" ht="14.25" customHeight="1">
      <c r="A2" s="7" t="s">
        <v>197</v>
      </c>
      <c r="B2" s="8" t="s">
        <v>198</v>
      </c>
      <c r="C2" s="8" t="s">
        <v>23</v>
      </c>
      <c r="D2" s="9"/>
      <c r="J2" s="10"/>
      <c r="K2" s="10"/>
      <c r="L2" s="10"/>
      <c r="M2" s="10"/>
      <c r="N2" s="10"/>
      <c r="O2" s="10"/>
      <c r="P2" s="10"/>
      <c r="Q2" s="10"/>
      <c r="R2" s="10"/>
      <c r="S2" s="10"/>
    </row>
    <row r="3" ht="14.25" customHeight="1">
      <c r="A3" s="7" t="s">
        <v>199</v>
      </c>
      <c r="B3" s="11" t="s">
        <v>200</v>
      </c>
      <c r="C3" s="11" t="s">
        <v>29</v>
      </c>
      <c r="D3" s="10"/>
      <c r="E3" s="10"/>
      <c r="F3" s="10"/>
      <c r="G3" s="10"/>
      <c r="H3" s="10"/>
      <c r="I3" s="10"/>
      <c r="J3" s="10"/>
      <c r="K3" s="10"/>
      <c r="L3" s="10"/>
      <c r="M3" s="10"/>
      <c r="N3" s="10"/>
      <c r="O3" s="10"/>
      <c r="P3" s="10"/>
      <c r="Q3" s="10"/>
      <c r="R3" s="10"/>
      <c r="S3" s="10"/>
    </row>
    <row r="4" ht="14.25" customHeight="1">
      <c r="A4" s="7" t="s">
        <v>201</v>
      </c>
      <c r="B4" s="11" t="s">
        <v>202</v>
      </c>
      <c r="C4" s="11" t="s">
        <v>34</v>
      </c>
      <c r="D4" s="10"/>
      <c r="E4" s="10"/>
      <c r="F4" s="10"/>
      <c r="G4" s="10"/>
      <c r="H4" s="10"/>
      <c r="I4" s="10"/>
      <c r="J4" s="10"/>
      <c r="K4" s="10"/>
      <c r="L4" s="10"/>
      <c r="M4" s="10"/>
      <c r="N4" s="10"/>
      <c r="O4" s="10"/>
      <c r="P4" s="10"/>
      <c r="Q4" s="10"/>
      <c r="R4" s="10"/>
      <c r="S4" s="10"/>
    </row>
    <row r="5" ht="14.25" customHeight="1">
      <c r="A5" s="7" t="s">
        <v>203</v>
      </c>
      <c r="B5" s="11" t="s">
        <v>204</v>
      </c>
      <c r="C5" s="11" t="s">
        <v>39</v>
      </c>
      <c r="D5" s="10"/>
      <c r="E5" s="10"/>
      <c r="F5" s="10"/>
      <c r="G5" s="10"/>
      <c r="H5" s="10"/>
      <c r="I5" s="10"/>
      <c r="J5" s="10"/>
      <c r="K5" s="10"/>
      <c r="L5" s="10"/>
      <c r="M5" s="10"/>
      <c r="N5" s="10"/>
      <c r="O5" s="10"/>
      <c r="P5" s="10"/>
      <c r="Q5" s="10"/>
      <c r="R5" s="10"/>
      <c r="S5" s="10"/>
    </row>
    <row r="6" ht="14.25" customHeight="1">
      <c r="A6" s="7" t="s">
        <v>205</v>
      </c>
      <c r="B6" s="11" t="s">
        <v>206</v>
      </c>
      <c r="C6" s="11" t="s">
        <v>45</v>
      </c>
      <c r="D6" s="10"/>
      <c r="E6" s="10"/>
      <c r="F6" s="10"/>
      <c r="G6" s="10"/>
      <c r="H6" s="10"/>
      <c r="I6" s="10"/>
      <c r="J6" s="10"/>
      <c r="K6" s="10"/>
      <c r="L6" s="10"/>
      <c r="M6" s="10"/>
      <c r="N6" s="10"/>
      <c r="O6" s="10"/>
      <c r="P6" s="10"/>
      <c r="Q6" s="10"/>
      <c r="R6" s="10"/>
      <c r="S6" s="10"/>
    </row>
    <row r="7" ht="14.25" customHeight="1">
      <c r="A7" s="7" t="s">
        <v>207</v>
      </c>
      <c r="B7" s="11" t="s">
        <v>208</v>
      </c>
      <c r="C7" s="11" t="s">
        <v>50</v>
      </c>
      <c r="D7" s="10"/>
      <c r="E7" s="10"/>
      <c r="F7" s="10"/>
      <c r="G7" s="10"/>
      <c r="H7" s="10"/>
      <c r="I7" s="10"/>
      <c r="J7" s="10"/>
      <c r="K7" s="10"/>
      <c r="L7" s="10"/>
      <c r="M7" s="10"/>
      <c r="N7" s="10"/>
      <c r="O7" s="10"/>
      <c r="P7" s="10"/>
      <c r="Q7" s="10"/>
      <c r="R7" s="10"/>
      <c r="S7" s="10"/>
    </row>
    <row r="8" ht="14.25" customHeight="1">
      <c r="A8" s="7" t="s">
        <v>209</v>
      </c>
      <c r="B8" s="11" t="s">
        <v>210</v>
      </c>
      <c r="C8" s="11" t="s">
        <v>211</v>
      </c>
      <c r="D8" s="10"/>
      <c r="E8" s="10"/>
      <c r="F8" s="10"/>
      <c r="G8" s="10"/>
      <c r="H8" s="10"/>
      <c r="I8" s="10"/>
      <c r="J8" s="10"/>
      <c r="K8" s="10"/>
      <c r="L8" s="10"/>
      <c r="M8" s="10"/>
      <c r="N8" s="10"/>
      <c r="O8" s="10"/>
      <c r="P8" s="10"/>
      <c r="Q8" s="10"/>
      <c r="R8" s="10"/>
      <c r="S8" s="10"/>
    </row>
    <row r="9" ht="14.25" customHeight="1">
      <c r="A9" s="7" t="s">
        <v>212</v>
      </c>
      <c r="B9" s="11" t="s">
        <v>213</v>
      </c>
      <c r="C9" s="11" t="s">
        <v>61</v>
      </c>
      <c r="D9" s="10"/>
      <c r="E9" s="10"/>
      <c r="F9" s="10"/>
      <c r="G9" s="10"/>
      <c r="H9" s="10"/>
      <c r="I9" s="10"/>
      <c r="J9" s="10"/>
      <c r="K9" s="10"/>
      <c r="L9" s="10"/>
      <c r="M9" s="10"/>
      <c r="N9" s="10"/>
      <c r="O9" s="10"/>
      <c r="P9" s="10"/>
      <c r="Q9" s="10"/>
      <c r="R9" s="10"/>
      <c r="S9" s="10"/>
    </row>
    <row r="10" ht="14.25" customHeight="1">
      <c r="A10" s="7" t="s">
        <v>214</v>
      </c>
      <c r="B10" s="11" t="s">
        <v>215</v>
      </c>
      <c r="C10" s="11" t="s">
        <v>66</v>
      </c>
      <c r="D10" s="10"/>
      <c r="E10" s="10"/>
      <c r="F10" s="10"/>
      <c r="G10" s="10"/>
      <c r="H10" s="10"/>
      <c r="I10" s="10"/>
      <c r="J10" s="10"/>
      <c r="K10" s="10"/>
      <c r="L10" s="10"/>
      <c r="M10" s="10"/>
      <c r="N10" s="10"/>
      <c r="O10" s="10"/>
      <c r="P10" s="10"/>
      <c r="Q10" s="10"/>
      <c r="R10" s="10"/>
      <c r="S10" s="10"/>
    </row>
    <row r="11" ht="14.25" customHeight="1">
      <c r="A11" s="7" t="s">
        <v>216</v>
      </c>
      <c r="B11" s="11" t="s">
        <v>217</v>
      </c>
      <c r="C11" s="11" t="s">
        <v>70</v>
      </c>
      <c r="D11" s="12"/>
      <c r="E11" s="12"/>
      <c r="F11" s="10"/>
      <c r="G11" s="10"/>
      <c r="H11" s="10"/>
      <c r="I11" s="10"/>
      <c r="J11" s="10"/>
      <c r="K11" s="10"/>
      <c r="L11" s="10"/>
      <c r="M11" s="10"/>
      <c r="N11" s="10"/>
      <c r="O11" s="10"/>
      <c r="P11" s="10"/>
      <c r="Q11" s="10"/>
      <c r="R11" s="10"/>
      <c r="S11" s="10"/>
    </row>
    <row r="12" ht="14.25" customHeight="1">
      <c r="A12" s="7" t="s">
        <v>218</v>
      </c>
      <c r="B12" s="11" t="s">
        <v>219</v>
      </c>
      <c r="C12" s="11" t="s">
        <v>75</v>
      </c>
      <c r="D12" s="12"/>
      <c r="E12" s="12"/>
      <c r="F12" s="10"/>
      <c r="G12" s="10"/>
      <c r="H12" s="10"/>
      <c r="I12" s="10"/>
      <c r="J12" s="10"/>
      <c r="K12" s="10"/>
      <c r="L12" s="10"/>
      <c r="M12" s="10"/>
      <c r="N12" s="10"/>
      <c r="O12" s="10"/>
      <c r="P12" s="10"/>
      <c r="Q12" s="10"/>
      <c r="R12" s="10"/>
      <c r="S12" s="10"/>
    </row>
    <row r="13" ht="14.25" customHeight="1">
      <c r="A13" s="7" t="s">
        <v>220</v>
      </c>
      <c r="B13" s="11" t="s">
        <v>221</v>
      </c>
      <c r="C13" s="11" t="s">
        <v>222</v>
      </c>
      <c r="D13" s="12"/>
      <c r="E13" s="12"/>
      <c r="F13" s="10"/>
      <c r="G13" s="10"/>
      <c r="H13" s="10"/>
      <c r="I13" s="10"/>
      <c r="J13" s="10"/>
      <c r="K13" s="10"/>
      <c r="L13" s="10"/>
      <c r="M13" s="10"/>
      <c r="N13" s="10"/>
      <c r="O13" s="10"/>
      <c r="P13" s="10"/>
      <c r="Q13" s="10"/>
      <c r="R13" s="10"/>
      <c r="S13" s="10"/>
    </row>
    <row r="14" ht="14.25" customHeight="1">
      <c r="A14" s="7" t="s">
        <v>223</v>
      </c>
      <c r="B14" s="11" t="s">
        <v>224</v>
      </c>
      <c r="C14" s="11" t="s">
        <v>87</v>
      </c>
      <c r="D14" s="12"/>
      <c r="E14" s="12"/>
      <c r="F14" s="10"/>
      <c r="G14" s="10"/>
      <c r="H14" s="10"/>
      <c r="I14" s="10"/>
      <c r="J14" s="10"/>
      <c r="K14" s="10"/>
      <c r="L14" s="10"/>
      <c r="M14" s="10"/>
      <c r="N14" s="10"/>
      <c r="O14" s="10"/>
      <c r="P14" s="10"/>
      <c r="Q14" s="10"/>
      <c r="R14" s="10"/>
      <c r="S14" s="10"/>
    </row>
    <row r="15" ht="14.25" customHeight="1">
      <c r="A15" s="7" t="s">
        <v>225</v>
      </c>
      <c r="B15" s="11" t="s">
        <v>226</v>
      </c>
      <c r="C15" s="11" t="s">
        <v>92</v>
      </c>
      <c r="D15" s="12"/>
      <c r="E15" s="12"/>
      <c r="F15" s="10"/>
      <c r="G15" s="10"/>
      <c r="H15" s="10"/>
      <c r="I15" s="10"/>
      <c r="J15" s="10"/>
      <c r="K15" s="10"/>
      <c r="L15" s="10"/>
      <c r="M15" s="10"/>
      <c r="N15" s="10"/>
      <c r="O15" s="10"/>
      <c r="P15" s="10"/>
      <c r="Q15" s="10"/>
      <c r="R15" s="10"/>
      <c r="S15" s="10"/>
    </row>
    <row r="16" ht="14.25" customHeight="1">
      <c r="A16" s="7" t="s">
        <v>227</v>
      </c>
      <c r="B16" s="11" t="s">
        <v>228</v>
      </c>
      <c r="C16" s="11" t="s">
        <v>98</v>
      </c>
      <c r="D16" s="12"/>
      <c r="E16" s="12"/>
      <c r="F16" s="10"/>
      <c r="G16" s="10"/>
      <c r="H16" s="10"/>
      <c r="I16" s="10"/>
      <c r="J16" s="10"/>
      <c r="K16" s="10"/>
      <c r="L16" s="10"/>
      <c r="M16" s="10"/>
      <c r="N16" s="10"/>
      <c r="O16" s="10"/>
      <c r="P16" s="10"/>
      <c r="Q16" s="10"/>
      <c r="R16" s="10"/>
      <c r="S16" s="10"/>
    </row>
    <row r="17" ht="14.25" customHeight="1">
      <c r="A17" s="7" t="s">
        <v>229</v>
      </c>
      <c r="B17" s="11" t="s">
        <v>230</v>
      </c>
      <c r="C17" s="11" t="s">
        <v>102</v>
      </c>
      <c r="D17" s="12"/>
      <c r="E17" s="12"/>
      <c r="F17" s="10"/>
      <c r="G17" s="10"/>
      <c r="H17" s="10"/>
      <c r="I17" s="10"/>
      <c r="J17" s="10"/>
      <c r="K17" s="10"/>
      <c r="L17" s="10"/>
      <c r="M17" s="10"/>
      <c r="N17" s="10"/>
      <c r="O17" s="10"/>
      <c r="P17" s="10"/>
      <c r="Q17" s="10"/>
      <c r="R17" s="10"/>
      <c r="S17" s="10"/>
    </row>
    <row r="18" ht="14.25" customHeight="1">
      <c r="A18" s="7" t="s">
        <v>231</v>
      </c>
      <c r="B18" s="11" t="s">
        <v>232</v>
      </c>
      <c r="C18" s="11" t="s">
        <v>108</v>
      </c>
      <c r="D18" s="12"/>
      <c r="E18" s="12"/>
      <c r="F18" s="10"/>
      <c r="G18" s="10"/>
      <c r="H18" s="10"/>
      <c r="I18" s="10"/>
      <c r="J18" s="10"/>
      <c r="K18" s="10"/>
      <c r="L18" s="10"/>
      <c r="M18" s="10"/>
      <c r="N18" s="10"/>
      <c r="O18" s="10"/>
      <c r="P18" s="10"/>
      <c r="Q18" s="10"/>
      <c r="R18" s="10"/>
      <c r="S18" s="10"/>
    </row>
    <row r="19" ht="14.25" customHeight="1">
      <c r="A19" s="7" t="s">
        <v>233</v>
      </c>
      <c r="B19" s="11" t="s">
        <v>234</v>
      </c>
      <c r="C19" s="11" t="s">
        <v>112</v>
      </c>
      <c r="D19" s="12"/>
      <c r="E19" s="12"/>
      <c r="F19" s="10"/>
      <c r="G19" s="10"/>
      <c r="H19" s="10"/>
      <c r="I19" s="10"/>
      <c r="J19" s="10"/>
      <c r="K19" s="10"/>
      <c r="L19" s="10"/>
      <c r="M19" s="10"/>
      <c r="N19" s="10"/>
      <c r="O19" s="10"/>
      <c r="P19" s="10"/>
      <c r="Q19" s="10"/>
      <c r="R19" s="10"/>
      <c r="S19" s="10"/>
    </row>
    <row r="20" ht="14.25" customHeight="1">
      <c r="A20" s="7" t="s">
        <v>235</v>
      </c>
      <c r="B20" s="11" t="s">
        <v>236</v>
      </c>
      <c r="C20" s="11" t="s">
        <v>116</v>
      </c>
      <c r="D20" s="12"/>
      <c r="E20" s="12"/>
      <c r="F20" s="10"/>
      <c r="G20" s="10"/>
      <c r="H20" s="10"/>
      <c r="I20" s="10"/>
      <c r="J20" s="10"/>
      <c r="K20" s="10"/>
      <c r="L20" s="10"/>
      <c r="M20" s="10"/>
      <c r="N20" s="10"/>
      <c r="O20" s="10"/>
      <c r="P20" s="10"/>
      <c r="Q20" s="10"/>
      <c r="R20" s="10"/>
      <c r="S20" s="10"/>
    </row>
    <row r="21" ht="14.25" customHeight="1">
      <c r="A21" s="7" t="s">
        <v>237</v>
      </c>
      <c r="B21" s="11" t="s">
        <v>238</v>
      </c>
      <c r="C21" s="11" t="s">
        <v>121</v>
      </c>
      <c r="D21" s="12"/>
      <c r="E21" s="12"/>
      <c r="F21" s="10"/>
      <c r="G21" s="10"/>
      <c r="H21" s="10"/>
      <c r="I21" s="10"/>
      <c r="J21" s="10"/>
      <c r="K21" s="10"/>
      <c r="L21" s="10"/>
      <c r="M21" s="10"/>
      <c r="N21" s="10"/>
      <c r="O21" s="10"/>
      <c r="P21" s="10"/>
      <c r="Q21" s="10"/>
      <c r="R21" s="10"/>
      <c r="S21" s="10"/>
    </row>
    <row r="22" ht="14.25" customHeight="1">
      <c r="A22" s="7" t="s">
        <v>239</v>
      </c>
      <c r="B22" s="11" t="s">
        <v>240</v>
      </c>
      <c r="C22" s="11" t="s">
        <v>127</v>
      </c>
      <c r="D22" s="12"/>
      <c r="E22" s="12"/>
      <c r="F22" s="10"/>
      <c r="G22" s="10"/>
      <c r="H22" s="10"/>
      <c r="I22" s="10"/>
      <c r="J22" s="10"/>
      <c r="K22" s="10"/>
      <c r="L22" s="10"/>
      <c r="M22" s="10"/>
      <c r="N22" s="10"/>
      <c r="O22" s="10"/>
      <c r="P22" s="10"/>
      <c r="Q22" s="10"/>
      <c r="R22" s="10"/>
      <c r="S22" s="10"/>
    </row>
    <row r="23" ht="14.25" customHeight="1">
      <c r="A23" s="7" t="s">
        <v>241</v>
      </c>
      <c r="B23" s="11" t="s">
        <v>242</v>
      </c>
      <c r="C23" s="11" t="s">
        <v>131</v>
      </c>
      <c r="D23" s="12"/>
      <c r="E23" s="12"/>
      <c r="F23" s="10"/>
      <c r="G23" s="10"/>
      <c r="H23" s="10"/>
      <c r="I23" s="10"/>
      <c r="J23" s="10"/>
      <c r="K23" s="10"/>
      <c r="L23" s="10"/>
      <c r="M23" s="10"/>
      <c r="N23" s="10"/>
      <c r="O23" s="10"/>
      <c r="P23" s="10"/>
      <c r="Q23" s="10"/>
      <c r="R23" s="10"/>
      <c r="S23" s="10"/>
    </row>
    <row r="24" ht="14.25" customHeight="1">
      <c r="A24" s="7" t="s">
        <v>243</v>
      </c>
      <c r="B24" s="11" t="s">
        <v>244</v>
      </c>
      <c r="C24" s="11" t="s">
        <v>136</v>
      </c>
      <c r="D24" s="12"/>
      <c r="E24" s="12"/>
      <c r="F24" s="10"/>
      <c r="G24" s="10"/>
      <c r="H24" s="10"/>
      <c r="I24" s="10"/>
      <c r="J24" s="10"/>
      <c r="K24" s="10"/>
      <c r="L24" s="10"/>
      <c r="M24" s="10"/>
      <c r="N24" s="10"/>
      <c r="O24" s="10"/>
      <c r="P24" s="10"/>
      <c r="Q24" s="10"/>
      <c r="R24" s="10"/>
      <c r="S24" s="10"/>
    </row>
    <row r="25" ht="14.25" customHeight="1">
      <c r="A25" s="7" t="s">
        <v>245</v>
      </c>
      <c r="B25" s="11" t="s">
        <v>246</v>
      </c>
      <c r="C25" s="11" t="s">
        <v>142</v>
      </c>
      <c r="D25" s="12"/>
      <c r="E25" s="12"/>
      <c r="F25" s="10"/>
      <c r="G25" s="10"/>
      <c r="H25" s="10"/>
      <c r="I25" s="10"/>
      <c r="J25" s="10"/>
      <c r="K25" s="10"/>
      <c r="L25" s="10"/>
      <c r="M25" s="10"/>
      <c r="N25" s="10"/>
      <c r="O25" s="10"/>
      <c r="P25" s="10"/>
      <c r="Q25" s="10"/>
      <c r="R25" s="10"/>
      <c r="S25" s="10"/>
    </row>
    <row r="26" ht="14.25" customHeight="1">
      <c r="A26" s="7" t="s">
        <v>247</v>
      </c>
      <c r="B26" s="11" t="s">
        <v>248</v>
      </c>
      <c r="C26" s="11" t="s">
        <v>146</v>
      </c>
      <c r="D26" s="12"/>
      <c r="E26" s="12"/>
      <c r="F26" s="10"/>
      <c r="G26" s="10"/>
      <c r="H26" s="10"/>
      <c r="I26" s="10"/>
      <c r="J26" s="10"/>
      <c r="K26" s="10"/>
      <c r="L26" s="10"/>
      <c r="M26" s="10"/>
      <c r="N26" s="10"/>
      <c r="O26" s="10"/>
      <c r="P26" s="10"/>
      <c r="Q26" s="10"/>
      <c r="R26" s="10"/>
      <c r="S26" s="10"/>
    </row>
    <row r="27" ht="14.25" customHeight="1">
      <c r="A27" s="7" t="s">
        <v>249</v>
      </c>
      <c r="B27" s="11" t="s">
        <v>250</v>
      </c>
      <c r="C27" s="11" t="s">
        <v>151</v>
      </c>
      <c r="D27" s="12"/>
      <c r="E27" s="12"/>
      <c r="F27" s="10"/>
      <c r="G27" s="10"/>
      <c r="H27" s="10"/>
      <c r="I27" s="10"/>
      <c r="J27" s="10"/>
      <c r="K27" s="10"/>
      <c r="L27" s="10"/>
      <c r="M27" s="10"/>
      <c r="N27" s="10"/>
      <c r="O27" s="10"/>
      <c r="P27" s="10"/>
      <c r="Q27" s="10"/>
      <c r="R27" s="10"/>
      <c r="S27" s="10"/>
    </row>
    <row r="28" ht="14.25" customHeight="1">
      <c r="A28" s="7" t="s">
        <v>251</v>
      </c>
      <c r="B28" s="11" t="s">
        <v>252</v>
      </c>
      <c r="C28" s="11" t="s">
        <v>157</v>
      </c>
      <c r="D28" s="12"/>
      <c r="E28" s="12"/>
      <c r="F28" s="10"/>
      <c r="G28" s="10"/>
      <c r="H28" s="10"/>
      <c r="I28" s="10"/>
      <c r="J28" s="10"/>
      <c r="K28" s="10"/>
      <c r="L28" s="10"/>
      <c r="M28" s="10"/>
      <c r="N28" s="10"/>
      <c r="O28" s="10"/>
      <c r="P28" s="10"/>
      <c r="Q28" s="10"/>
      <c r="R28" s="10"/>
      <c r="S28" s="10"/>
    </row>
    <row r="29" ht="14.25" customHeight="1">
      <c r="A29" s="7" t="s">
        <v>253</v>
      </c>
      <c r="B29" s="11" t="s">
        <v>254</v>
      </c>
      <c r="C29" s="11" t="s">
        <v>163</v>
      </c>
      <c r="D29" s="12"/>
      <c r="E29" s="12"/>
      <c r="F29" s="10"/>
      <c r="G29" s="10"/>
      <c r="H29" s="10"/>
      <c r="I29" s="10"/>
      <c r="J29" s="10"/>
      <c r="K29" s="10"/>
      <c r="L29" s="10"/>
      <c r="M29" s="10"/>
      <c r="N29" s="10"/>
      <c r="O29" s="10"/>
      <c r="P29" s="10"/>
      <c r="Q29" s="10"/>
      <c r="R29" s="10"/>
      <c r="S29" s="10"/>
    </row>
    <row r="30" ht="14.25" customHeight="1">
      <c r="A30" s="7" t="s">
        <v>255</v>
      </c>
      <c r="B30" s="11" t="s">
        <v>256</v>
      </c>
      <c r="C30" s="11" t="s">
        <v>168</v>
      </c>
      <c r="D30" s="12"/>
      <c r="E30" s="12"/>
      <c r="F30" s="10"/>
      <c r="G30" s="10"/>
      <c r="H30" s="10"/>
      <c r="I30" s="10"/>
      <c r="J30" s="10"/>
      <c r="K30" s="10"/>
      <c r="L30" s="10"/>
      <c r="M30" s="10"/>
      <c r="N30" s="10"/>
      <c r="O30" s="10"/>
      <c r="P30" s="10"/>
      <c r="Q30" s="10"/>
      <c r="R30" s="10"/>
      <c r="S30" s="10"/>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25"/>
    <col customWidth="1" min="2" max="2" width="7.13"/>
    <col customWidth="1" min="3" max="3" width="38.38"/>
    <col customWidth="1" min="6" max="6" width="46.88"/>
  </cols>
  <sheetData>
    <row r="1">
      <c r="A1" s="13" t="s">
        <v>257</v>
      </c>
      <c r="B1" s="13">
        <v>101.0</v>
      </c>
      <c r="C1" s="13" t="s">
        <v>258</v>
      </c>
      <c r="D1" s="14"/>
      <c r="E1" s="14"/>
      <c r="G1" s="14"/>
      <c r="H1" s="14"/>
      <c r="I1" s="14"/>
      <c r="J1" s="14"/>
      <c r="K1" s="14"/>
      <c r="L1" s="14"/>
      <c r="M1" s="14"/>
      <c r="N1" s="14"/>
      <c r="O1" s="14"/>
      <c r="P1" s="14"/>
      <c r="Q1" s="14"/>
      <c r="R1" s="14"/>
      <c r="S1" s="14"/>
      <c r="T1" s="14"/>
      <c r="U1" s="14"/>
      <c r="V1" s="14"/>
      <c r="W1" s="14"/>
      <c r="X1" s="14"/>
      <c r="Y1" s="14"/>
      <c r="Z1" s="14"/>
    </row>
    <row r="2">
      <c r="A2" s="13" t="s">
        <v>259</v>
      </c>
      <c r="B2" s="13">
        <v>102.0</v>
      </c>
      <c r="C2" s="13" t="s">
        <v>260</v>
      </c>
      <c r="D2" s="14"/>
      <c r="E2" s="14"/>
      <c r="G2" s="14"/>
      <c r="H2" s="14"/>
      <c r="I2" s="14"/>
      <c r="J2" s="14"/>
      <c r="K2" s="14"/>
      <c r="L2" s="14"/>
      <c r="M2" s="14"/>
      <c r="N2" s="14"/>
      <c r="O2" s="14"/>
      <c r="P2" s="14"/>
      <c r="Q2" s="14"/>
      <c r="R2" s="14"/>
      <c r="S2" s="14"/>
      <c r="T2" s="14"/>
      <c r="U2" s="14"/>
      <c r="V2" s="14"/>
      <c r="W2" s="14"/>
      <c r="X2" s="14"/>
      <c r="Y2" s="14"/>
      <c r="Z2" s="14"/>
    </row>
    <row r="3">
      <c r="A3" s="13" t="s">
        <v>261</v>
      </c>
      <c r="B3" s="13">
        <v>103.0</v>
      </c>
      <c r="C3" s="13" t="s">
        <v>59</v>
      </c>
      <c r="D3" s="14"/>
      <c r="E3" s="14"/>
      <c r="G3" s="14"/>
      <c r="H3" s="14"/>
      <c r="I3" s="14"/>
      <c r="J3" s="14"/>
      <c r="K3" s="14"/>
      <c r="L3" s="14"/>
      <c r="M3" s="14"/>
      <c r="N3" s="14"/>
      <c r="O3" s="14"/>
      <c r="P3" s="14"/>
      <c r="Q3" s="14"/>
      <c r="R3" s="14"/>
      <c r="S3" s="14"/>
      <c r="T3" s="14"/>
      <c r="U3" s="14"/>
      <c r="V3" s="14"/>
      <c r="W3" s="14"/>
      <c r="X3" s="14"/>
      <c r="Y3" s="14"/>
      <c r="Z3" s="14"/>
    </row>
    <row r="4">
      <c r="A4" s="13" t="s">
        <v>262</v>
      </c>
      <c r="B4" s="13">
        <v>104.0</v>
      </c>
      <c r="C4" s="13" t="s">
        <v>59</v>
      </c>
      <c r="D4" s="14"/>
      <c r="E4" s="14"/>
      <c r="G4" s="14"/>
      <c r="H4" s="14"/>
      <c r="I4" s="14"/>
      <c r="J4" s="14"/>
      <c r="K4" s="14"/>
      <c r="L4" s="14"/>
      <c r="M4" s="14"/>
      <c r="N4" s="14"/>
      <c r="O4" s="14"/>
      <c r="P4" s="14"/>
      <c r="Q4" s="14"/>
      <c r="R4" s="14"/>
      <c r="S4" s="14"/>
      <c r="T4" s="14"/>
      <c r="U4" s="14"/>
      <c r="V4" s="14"/>
      <c r="W4" s="14"/>
      <c r="X4" s="14"/>
      <c r="Y4" s="14"/>
      <c r="Z4" s="14"/>
    </row>
    <row r="5">
      <c r="A5" s="13" t="s">
        <v>263</v>
      </c>
      <c r="B5" s="13">
        <v>105.0</v>
      </c>
      <c r="C5" s="13" t="s">
        <v>64</v>
      </c>
      <c r="D5" s="14"/>
      <c r="E5" s="14"/>
      <c r="G5" s="14"/>
      <c r="H5" s="14"/>
      <c r="I5" s="14"/>
      <c r="J5" s="14"/>
      <c r="K5" s="14"/>
      <c r="L5" s="14"/>
      <c r="M5" s="14"/>
      <c r="N5" s="14"/>
      <c r="O5" s="14"/>
      <c r="P5" s="14"/>
      <c r="Q5" s="14"/>
      <c r="R5" s="14"/>
      <c r="S5" s="14"/>
      <c r="T5" s="14"/>
      <c r="U5" s="14"/>
      <c r="V5" s="14"/>
      <c r="W5" s="14"/>
      <c r="X5" s="14"/>
      <c r="Y5" s="14"/>
      <c r="Z5" s="14"/>
    </row>
    <row r="6">
      <c r="A6" s="13" t="s">
        <v>264</v>
      </c>
      <c r="B6" s="13">
        <v>106.0</v>
      </c>
      <c r="C6" s="13" t="s">
        <v>64</v>
      </c>
      <c r="D6" s="14"/>
      <c r="E6" s="14"/>
      <c r="G6" s="14"/>
      <c r="H6" s="14"/>
      <c r="I6" s="14"/>
      <c r="J6" s="14"/>
      <c r="K6" s="14"/>
      <c r="L6" s="14"/>
      <c r="M6" s="14"/>
      <c r="N6" s="14"/>
      <c r="O6" s="14"/>
      <c r="P6" s="14"/>
      <c r="Q6" s="14"/>
      <c r="R6" s="14"/>
      <c r="S6" s="14"/>
      <c r="T6" s="14"/>
      <c r="U6" s="14"/>
      <c r="V6" s="14"/>
      <c r="W6" s="14"/>
      <c r="X6" s="14"/>
      <c r="Y6" s="14"/>
      <c r="Z6" s="14"/>
    </row>
    <row r="7">
      <c r="A7" s="13" t="s">
        <v>265</v>
      </c>
      <c r="B7" s="13">
        <v>107.0</v>
      </c>
      <c r="C7" s="13" t="s">
        <v>266</v>
      </c>
      <c r="D7" s="14"/>
      <c r="E7" s="14"/>
      <c r="G7" s="14"/>
      <c r="H7" s="14"/>
      <c r="I7" s="14"/>
      <c r="J7" s="14"/>
      <c r="K7" s="14"/>
      <c r="L7" s="14"/>
      <c r="M7" s="14"/>
      <c r="N7" s="14"/>
      <c r="O7" s="14"/>
      <c r="P7" s="14"/>
      <c r="Q7" s="14"/>
      <c r="R7" s="14"/>
      <c r="S7" s="14"/>
      <c r="T7" s="14"/>
      <c r="U7" s="14"/>
      <c r="V7" s="14"/>
      <c r="W7" s="14"/>
      <c r="X7" s="14"/>
      <c r="Y7" s="14"/>
      <c r="Z7" s="14"/>
    </row>
    <row r="8">
      <c r="A8" s="13" t="s">
        <v>267</v>
      </c>
      <c r="B8" s="13">
        <v>108.0</v>
      </c>
      <c r="C8" s="13" t="s">
        <v>266</v>
      </c>
      <c r="D8" s="14"/>
      <c r="E8" s="14"/>
      <c r="G8" s="14"/>
      <c r="H8" s="14"/>
      <c r="I8" s="14"/>
      <c r="J8" s="14"/>
      <c r="K8" s="14"/>
      <c r="L8" s="14"/>
      <c r="M8" s="14"/>
      <c r="N8" s="14"/>
      <c r="O8" s="14"/>
      <c r="P8" s="14"/>
      <c r="Q8" s="14"/>
      <c r="R8" s="14"/>
      <c r="S8" s="14"/>
      <c r="T8" s="14"/>
      <c r="U8" s="14"/>
      <c r="V8" s="14"/>
      <c r="W8" s="14"/>
      <c r="X8" s="14"/>
      <c r="Y8" s="14"/>
      <c r="Z8" s="14"/>
    </row>
    <row r="9">
      <c r="A9" s="13" t="s">
        <v>268</v>
      </c>
      <c r="B9" s="13">
        <v>109.0</v>
      </c>
      <c r="C9" s="13" t="s">
        <v>59</v>
      </c>
      <c r="D9" s="14"/>
      <c r="E9" s="14"/>
      <c r="G9" s="14"/>
      <c r="H9" s="14"/>
      <c r="I9" s="14"/>
      <c r="J9" s="14"/>
      <c r="K9" s="14"/>
      <c r="L9" s="14"/>
      <c r="M9" s="14"/>
      <c r="N9" s="14"/>
      <c r="O9" s="14"/>
      <c r="P9" s="14"/>
      <c r="Q9" s="14"/>
      <c r="R9" s="14"/>
      <c r="S9" s="14"/>
      <c r="T9" s="14"/>
      <c r="U9" s="14"/>
      <c r="V9" s="14"/>
      <c r="W9" s="14"/>
      <c r="X9" s="14"/>
      <c r="Y9" s="14"/>
      <c r="Z9" s="14"/>
    </row>
    <row r="10">
      <c r="A10" s="13" t="s">
        <v>257</v>
      </c>
      <c r="B10" s="13">
        <v>110.0</v>
      </c>
      <c r="C10" s="13" t="s">
        <v>266</v>
      </c>
      <c r="D10" s="14"/>
      <c r="E10" s="14"/>
      <c r="G10" s="14"/>
      <c r="H10" s="14"/>
      <c r="I10" s="14"/>
      <c r="J10" s="14"/>
      <c r="K10" s="14"/>
      <c r="L10" s="14"/>
      <c r="M10" s="14"/>
      <c r="N10" s="14"/>
      <c r="O10" s="14"/>
      <c r="P10" s="14"/>
      <c r="Q10" s="14"/>
      <c r="R10" s="14"/>
      <c r="S10" s="14"/>
      <c r="T10" s="14"/>
      <c r="U10" s="14"/>
      <c r="V10" s="14"/>
      <c r="W10" s="14"/>
      <c r="X10" s="14"/>
      <c r="Y10" s="14"/>
      <c r="Z10" s="14"/>
    </row>
    <row r="11">
      <c r="A11" s="13" t="s">
        <v>257</v>
      </c>
      <c r="B11" s="13">
        <v>111.0</v>
      </c>
      <c r="C11" s="13" t="s">
        <v>269</v>
      </c>
      <c r="D11" s="14"/>
      <c r="E11" s="14"/>
      <c r="G11" s="14"/>
      <c r="H11" s="14"/>
      <c r="I11" s="14"/>
      <c r="J11" s="14"/>
      <c r="K11" s="14"/>
      <c r="L11" s="14"/>
      <c r="M11" s="14"/>
      <c r="N11" s="14"/>
      <c r="O11" s="14"/>
      <c r="P11" s="14"/>
      <c r="Q11" s="14"/>
      <c r="R11" s="14"/>
      <c r="S11" s="14"/>
      <c r="T11" s="14"/>
      <c r="U11" s="14"/>
      <c r="V11" s="14"/>
      <c r="W11" s="14"/>
      <c r="X11" s="14"/>
      <c r="Y11" s="14"/>
      <c r="Z11" s="14"/>
    </row>
    <row r="12">
      <c r="A12" s="13" t="s">
        <v>257</v>
      </c>
      <c r="B12" s="13">
        <v>112.0</v>
      </c>
      <c r="C12" s="13" t="s">
        <v>270</v>
      </c>
      <c r="D12" s="14"/>
      <c r="E12" s="14"/>
      <c r="G12" s="14"/>
      <c r="H12" s="14"/>
      <c r="I12" s="14"/>
      <c r="J12" s="14"/>
      <c r="K12" s="14"/>
      <c r="L12" s="14"/>
      <c r="M12" s="14"/>
      <c r="N12" s="14"/>
      <c r="O12" s="14"/>
      <c r="P12" s="14"/>
      <c r="Q12" s="14"/>
      <c r="R12" s="14"/>
      <c r="S12" s="14"/>
      <c r="T12" s="14"/>
      <c r="U12" s="14"/>
      <c r="V12" s="14"/>
      <c r="W12" s="14"/>
      <c r="X12" s="14"/>
      <c r="Y12" s="14"/>
      <c r="Z12" s="14"/>
    </row>
    <row r="13">
      <c r="A13" s="13" t="s">
        <v>257</v>
      </c>
      <c r="B13" s="13">
        <v>113.0</v>
      </c>
      <c r="C13" s="13" t="s">
        <v>271</v>
      </c>
      <c r="D13" s="14"/>
      <c r="E13" s="14"/>
      <c r="G13" s="14"/>
      <c r="H13" s="14"/>
      <c r="I13" s="14"/>
      <c r="J13" s="14"/>
      <c r="K13" s="14"/>
      <c r="L13" s="14"/>
      <c r="M13" s="14"/>
      <c r="N13" s="14"/>
      <c r="O13" s="14"/>
      <c r="P13" s="14"/>
      <c r="Q13" s="14"/>
      <c r="R13" s="14"/>
      <c r="S13" s="14"/>
      <c r="T13" s="14"/>
      <c r="U13" s="14"/>
      <c r="V13" s="14"/>
      <c r="W13" s="14"/>
      <c r="X13" s="14"/>
      <c r="Y13" s="14"/>
      <c r="Z13" s="14"/>
    </row>
    <row r="14">
      <c r="A14" s="13" t="s">
        <v>257</v>
      </c>
      <c r="B14" s="13">
        <v>114.0</v>
      </c>
      <c r="C14" s="13" t="s">
        <v>271</v>
      </c>
      <c r="D14" s="14"/>
      <c r="E14" s="14"/>
      <c r="G14" s="14"/>
      <c r="H14" s="14"/>
      <c r="I14" s="14"/>
      <c r="J14" s="14"/>
      <c r="K14" s="14"/>
      <c r="L14" s="14"/>
      <c r="M14" s="14"/>
      <c r="N14" s="14"/>
      <c r="O14" s="14"/>
      <c r="P14" s="14"/>
      <c r="Q14" s="14"/>
      <c r="R14" s="14"/>
      <c r="S14" s="14"/>
      <c r="T14" s="14"/>
      <c r="U14" s="14"/>
      <c r="V14" s="14"/>
      <c r="W14" s="14"/>
      <c r="X14" s="14"/>
      <c r="Y14" s="14"/>
      <c r="Z14" s="14"/>
    </row>
    <row r="15">
      <c r="A15" s="13" t="s">
        <v>257</v>
      </c>
      <c r="B15" s="13">
        <v>115.0</v>
      </c>
      <c r="C15" s="13" t="s">
        <v>272</v>
      </c>
      <c r="D15" s="14"/>
      <c r="E15" s="14"/>
      <c r="G15" s="14"/>
      <c r="H15" s="14"/>
      <c r="I15" s="14"/>
      <c r="J15" s="14"/>
      <c r="K15" s="14"/>
      <c r="L15" s="14"/>
      <c r="M15" s="14"/>
      <c r="N15" s="14"/>
      <c r="O15" s="14"/>
      <c r="P15" s="14"/>
      <c r="Q15" s="14"/>
      <c r="R15" s="14"/>
      <c r="S15" s="14"/>
      <c r="T15" s="14"/>
      <c r="U15" s="14"/>
      <c r="V15" s="14"/>
      <c r="W15" s="14"/>
      <c r="X15" s="14"/>
      <c r="Y15" s="14"/>
      <c r="Z15" s="14"/>
    </row>
    <row r="16">
      <c r="A16" s="13" t="s">
        <v>257</v>
      </c>
      <c r="B16" s="13">
        <v>116.0</v>
      </c>
      <c r="C16" s="13" t="s">
        <v>273</v>
      </c>
      <c r="D16" s="14"/>
      <c r="E16" s="14"/>
      <c r="G16" s="14"/>
      <c r="H16" s="14"/>
      <c r="I16" s="14"/>
      <c r="J16" s="14"/>
      <c r="K16" s="14"/>
      <c r="L16" s="14"/>
      <c r="M16" s="14"/>
      <c r="N16" s="14"/>
      <c r="O16" s="14"/>
      <c r="P16" s="14"/>
      <c r="Q16" s="14"/>
      <c r="R16" s="14"/>
      <c r="S16" s="14"/>
      <c r="T16" s="14"/>
      <c r="U16" s="14"/>
      <c r="V16" s="14"/>
      <c r="W16" s="14"/>
      <c r="X16" s="14"/>
      <c r="Y16" s="14"/>
      <c r="Z16" s="14"/>
    </row>
    <row r="17">
      <c r="A17" s="13" t="s">
        <v>257</v>
      </c>
      <c r="B17" s="13">
        <v>117.0</v>
      </c>
      <c r="C17" s="13" t="s">
        <v>274</v>
      </c>
      <c r="D17" s="14"/>
      <c r="E17" s="14"/>
      <c r="G17" s="14"/>
      <c r="H17" s="14"/>
      <c r="I17" s="14"/>
      <c r="J17" s="14"/>
      <c r="K17" s="14"/>
      <c r="L17" s="14"/>
      <c r="M17" s="14"/>
      <c r="N17" s="14"/>
      <c r="O17" s="14"/>
      <c r="P17" s="14"/>
      <c r="Q17" s="14"/>
      <c r="R17" s="14"/>
      <c r="S17" s="14"/>
      <c r="T17" s="14"/>
      <c r="U17" s="14"/>
      <c r="V17" s="14"/>
      <c r="W17" s="14"/>
      <c r="X17" s="14"/>
      <c r="Y17" s="14"/>
      <c r="Z17" s="14"/>
    </row>
    <row r="18">
      <c r="A18" s="13" t="s">
        <v>257</v>
      </c>
      <c r="B18" s="13">
        <v>118.0</v>
      </c>
      <c r="C18" s="13" t="s">
        <v>275</v>
      </c>
      <c r="D18" s="14"/>
      <c r="E18" s="14"/>
      <c r="G18" s="14"/>
      <c r="H18" s="14"/>
      <c r="I18" s="14"/>
      <c r="J18" s="14"/>
      <c r="K18" s="14"/>
      <c r="L18" s="14"/>
      <c r="M18" s="14"/>
      <c r="N18" s="14"/>
      <c r="O18" s="14"/>
      <c r="P18" s="14"/>
      <c r="Q18" s="14"/>
      <c r="R18" s="14"/>
      <c r="S18" s="14"/>
      <c r="T18" s="14"/>
      <c r="U18" s="14"/>
      <c r="V18" s="14"/>
      <c r="W18" s="14"/>
      <c r="X18" s="14"/>
      <c r="Y18" s="14"/>
      <c r="Z18" s="14"/>
    </row>
    <row r="19">
      <c r="A19" s="13" t="s">
        <v>257</v>
      </c>
      <c r="B19" s="13">
        <v>119.0</v>
      </c>
      <c r="C19" s="13" t="s">
        <v>276</v>
      </c>
      <c r="D19" s="14"/>
      <c r="E19" s="14"/>
      <c r="G19" s="14"/>
      <c r="H19" s="14"/>
      <c r="I19" s="14"/>
      <c r="J19" s="14"/>
      <c r="K19" s="14"/>
      <c r="L19" s="14"/>
      <c r="M19" s="14"/>
      <c r="N19" s="14"/>
      <c r="O19" s="14"/>
      <c r="P19" s="14"/>
      <c r="Q19" s="14"/>
      <c r="R19" s="14"/>
      <c r="S19" s="14"/>
      <c r="T19" s="14"/>
      <c r="U19" s="14"/>
      <c r="V19" s="14"/>
      <c r="W19" s="14"/>
      <c r="X19" s="14"/>
      <c r="Y19" s="14"/>
      <c r="Z19" s="14"/>
    </row>
    <row r="20">
      <c r="A20" s="13" t="s">
        <v>257</v>
      </c>
      <c r="B20" s="13">
        <v>120.0</v>
      </c>
      <c r="C20" s="13" t="s">
        <v>276</v>
      </c>
      <c r="D20" s="14"/>
      <c r="E20" s="14"/>
      <c r="G20" s="14"/>
      <c r="H20" s="14"/>
      <c r="I20" s="14"/>
      <c r="J20" s="14"/>
      <c r="K20" s="14"/>
      <c r="L20" s="14"/>
      <c r="M20" s="14"/>
      <c r="N20" s="14"/>
      <c r="O20" s="14"/>
      <c r="P20" s="14"/>
      <c r="Q20" s="14"/>
      <c r="R20" s="14"/>
      <c r="S20" s="14"/>
      <c r="T20" s="14"/>
      <c r="U20" s="14"/>
      <c r="V20" s="14"/>
      <c r="W20" s="14"/>
      <c r="X20" s="14"/>
      <c r="Y20" s="14"/>
      <c r="Z20" s="14"/>
    </row>
    <row r="21">
      <c r="A21" s="13" t="s">
        <v>257</v>
      </c>
      <c r="B21" s="13">
        <v>121.0</v>
      </c>
      <c r="C21" s="15" t="s">
        <v>276</v>
      </c>
      <c r="D21" s="14"/>
      <c r="E21" s="14"/>
      <c r="G21" s="14"/>
      <c r="H21" s="14"/>
      <c r="I21" s="14"/>
      <c r="J21" s="14"/>
      <c r="K21" s="14"/>
      <c r="L21" s="14"/>
      <c r="M21" s="14"/>
      <c r="N21" s="14"/>
      <c r="O21" s="14"/>
      <c r="P21" s="14"/>
      <c r="Q21" s="14"/>
      <c r="R21" s="14"/>
      <c r="S21" s="14"/>
      <c r="T21" s="14"/>
      <c r="U21" s="14"/>
      <c r="V21" s="14"/>
      <c r="W21" s="14"/>
      <c r="X21" s="14"/>
      <c r="Y21" s="14"/>
      <c r="Z21" s="14"/>
    </row>
    <row r="22">
      <c r="A22" s="13" t="s">
        <v>257</v>
      </c>
      <c r="B22" s="13">
        <v>122.0</v>
      </c>
      <c r="C22" s="15" t="s">
        <v>26</v>
      </c>
      <c r="D22" s="14"/>
      <c r="E22" s="14"/>
      <c r="G22" s="14"/>
      <c r="H22" s="14"/>
      <c r="I22" s="14"/>
      <c r="J22" s="14"/>
      <c r="K22" s="14"/>
      <c r="L22" s="14"/>
      <c r="M22" s="14"/>
      <c r="N22" s="14"/>
      <c r="O22" s="14"/>
      <c r="P22" s="14"/>
      <c r="Q22" s="14"/>
      <c r="R22" s="14"/>
      <c r="S22" s="14"/>
      <c r="T22" s="14"/>
      <c r="U22" s="14"/>
      <c r="V22" s="14"/>
      <c r="W22" s="14"/>
      <c r="X22" s="14"/>
      <c r="Y22" s="14"/>
      <c r="Z22" s="14"/>
    </row>
    <row r="23">
      <c r="A23" s="13" t="s">
        <v>257</v>
      </c>
      <c r="B23" s="13">
        <v>123.0</v>
      </c>
      <c r="C23" s="15" t="s">
        <v>26</v>
      </c>
      <c r="D23" s="14"/>
      <c r="E23" s="14"/>
      <c r="G23" s="14"/>
      <c r="H23" s="14"/>
      <c r="I23" s="14"/>
      <c r="J23" s="14"/>
      <c r="K23" s="14"/>
      <c r="L23" s="14"/>
      <c r="M23" s="14"/>
      <c r="N23" s="14"/>
      <c r="O23" s="14"/>
      <c r="P23" s="14"/>
      <c r="Q23" s="14"/>
      <c r="R23" s="14"/>
      <c r="S23" s="14"/>
      <c r="T23" s="14"/>
      <c r="U23" s="14"/>
      <c r="V23" s="14"/>
      <c r="W23" s="14"/>
      <c r="X23" s="14"/>
      <c r="Y23" s="14"/>
      <c r="Z23" s="14"/>
    </row>
    <row r="24">
      <c r="A24" s="13" t="s">
        <v>257</v>
      </c>
      <c r="B24" s="13">
        <v>124.0</v>
      </c>
      <c r="C24" s="13" t="s">
        <v>26</v>
      </c>
      <c r="D24" s="14"/>
      <c r="E24" s="14"/>
      <c r="G24" s="14"/>
      <c r="H24" s="14"/>
      <c r="I24" s="14"/>
      <c r="J24" s="14"/>
      <c r="K24" s="14"/>
      <c r="L24" s="14"/>
      <c r="M24" s="14"/>
      <c r="N24" s="14"/>
      <c r="O24" s="14"/>
      <c r="P24" s="14"/>
      <c r="Q24" s="14"/>
      <c r="R24" s="14"/>
      <c r="S24" s="14"/>
      <c r="T24" s="14"/>
      <c r="U24" s="14"/>
      <c r="V24" s="14"/>
      <c r="W24" s="14"/>
      <c r="X24" s="14"/>
      <c r="Y24" s="14"/>
      <c r="Z24" s="14"/>
    </row>
    <row r="25">
      <c r="A25" s="13" t="s">
        <v>257</v>
      </c>
      <c r="B25" s="13">
        <v>125.0</v>
      </c>
      <c r="C25" s="13" t="s">
        <v>277</v>
      </c>
      <c r="D25" s="14"/>
      <c r="E25" s="14"/>
      <c r="G25" s="14"/>
      <c r="H25" s="14"/>
      <c r="I25" s="14"/>
      <c r="J25" s="14"/>
      <c r="K25" s="14"/>
      <c r="L25" s="14"/>
      <c r="M25" s="14"/>
      <c r="N25" s="14"/>
      <c r="O25" s="14"/>
      <c r="P25" s="14"/>
      <c r="Q25" s="14"/>
      <c r="R25" s="14"/>
      <c r="S25" s="14"/>
      <c r="T25" s="14"/>
      <c r="U25" s="14"/>
      <c r="V25" s="14"/>
      <c r="W25" s="14"/>
      <c r="X25" s="14"/>
      <c r="Y25" s="14"/>
      <c r="Z25" s="14"/>
    </row>
    <row r="26">
      <c r="A26" s="13" t="s">
        <v>257</v>
      </c>
      <c r="B26" s="13">
        <v>126.0</v>
      </c>
      <c r="C26" s="13" t="s">
        <v>277</v>
      </c>
      <c r="D26" s="14"/>
      <c r="E26" s="14"/>
      <c r="G26" s="14"/>
      <c r="H26" s="14"/>
      <c r="I26" s="14"/>
      <c r="J26" s="14"/>
      <c r="K26" s="14"/>
      <c r="L26" s="14"/>
      <c r="M26" s="14"/>
      <c r="N26" s="14"/>
      <c r="O26" s="14"/>
      <c r="P26" s="14"/>
      <c r="Q26" s="14"/>
      <c r="R26" s="14"/>
      <c r="S26" s="14"/>
      <c r="T26" s="14"/>
      <c r="U26" s="14"/>
      <c r="V26" s="14"/>
      <c r="W26" s="14"/>
      <c r="X26" s="14"/>
      <c r="Y26" s="14"/>
      <c r="Z26" s="14"/>
    </row>
    <row r="27">
      <c r="A27" s="13" t="s">
        <v>257</v>
      </c>
      <c r="B27" s="13">
        <v>127.0</v>
      </c>
      <c r="C27" s="13" t="s">
        <v>278</v>
      </c>
      <c r="D27" s="14"/>
      <c r="E27" s="14"/>
      <c r="G27" s="14"/>
      <c r="H27" s="14"/>
      <c r="I27" s="14"/>
      <c r="J27" s="14"/>
      <c r="K27" s="14"/>
      <c r="L27" s="14"/>
      <c r="M27" s="14"/>
      <c r="N27" s="14"/>
      <c r="O27" s="14"/>
      <c r="P27" s="14"/>
      <c r="Q27" s="14"/>
      <c r="R27" s="14"/>
      <c r="S27" s="14"/>
      <c r="T27" s="14"/>
      <c r="U27" s="14"/>
      <c r="V27" s="14"/>
      <c r="W27" s="14"/>
      <c r="X27" s="14"/>
      <c r="Y27" s="14"/>
      <c r="Z27" s="14"/>
    </row>
    <row r="28">
      <c r="A28" s="13" t="s">
        <v>257</v>
      </c>
      <c r="B28" s="13">
        <v>128.0</v>
      </c>
      <c r="C28" s="13" t="s">
        <v>279</v>
      </c>
      <c r="D28" s="14"/>
      <c r="E28" s="14"/>
      <c r="G28" s="14"/>
      <c r="H28" s="14"/>
      <c r="I28" s="14"/>
      <c r="J28" s="14"/>
      <c r="K28" s="14"/>
      <c r="L28" s="14"/>
      <c r="M28" s="14"/>
      <c r="N28" s="14"/>
      <c r="O28" s="14"/>
      <c r="P28" s="14"/>
      <c r="Q28" s="14"/>
      <c r="R28" s="14"/>
      <c r="S28" s="14"/>
      <c r="T28" s="14"/>
      <c r="U28" s="14"/>
      <c r="V28" s="14"/>
      <c r="W28" s="14"/>
      <c r="X28" s="14"/>
      <c r="Y28" s="14"/>
      <c r="Z28" s="14"/>
    </row>
    <row r="29">
      <c r="A29" s="13" t="s">
        <v>257</v>
      </c>
      <c r="B29" s="13">
        <v>129.0</v>
      </c>
      <c r="C29" s="13" t="s">
        <v>280</v>
      </c>
      <c r="D29" s="14"/>
      <c r="E29" s="14"/>
      <c r="G29" s="14"/>
      <c r="H29" s="14"/>
      <c r="I29" s="14"/>
      <c r="J29" s="14"/>
      <c r="K29" s="14"/>
      <c r="L29" s="14"/>
      <c r="M29" s="14"/>
      <c r="N29" s="14"/>
      <c r="O29" s="14"/>
      <c r="P29" s="14"/>
      <c r="Q29" s="14"/>
      <c r="R29" s="14"/>
      <c r="S29" s="14"/>
      <c r="T29" s="14"/>
      <c r="U29" s="14"/>
      <c r="V29" s="14"/>
      <c r="W29" s="14"/>
      <c r="X29" s="14"/>
      <c r="Y29" s="14"/>
      <c r="Z29" s="14"/>
    </row>
    <row r="30">
      <c r="A30" s="13" t="s">
        <v>257</v>
      </c>
      <c r="B30" s="13">
        <v>130.0</v>
      </c>
      <c r="C30" s="13" t="s">
        <v>281</v>
      </c>
      <c r="D30" s="14"/>
      <c r="E30" s="14"/>
      <c r="G30" s="14"/>
      <c r="H30" s="14"/>
      <c r="I30" s="14"/>
      <c r="J30" s="14"/>
      <c r="K30" s="14"/>
      <c r="L30" s="14"/>
      <c r="M30" s="14"/>
      <c r="N30" s="14"/>
      <c r="O30" s="14"/>
      <c r="P30" s="14"/>
      <c r="Q30" s="14"/>
      <c r="R30" s="14"/>
      <c r="S30" s="14"/>
      <c r="T30" s="14"/>
      <c r="U30" s="14"/>
      <c r="V30" s="14"/>
      <c r="W30" s="14"/>
      <c r="X30" s="14"/>
      <c r="Y30" s="14"/>
      <c r="Z30" s="14"/>
    </row>
    <row r="31">
      <c r="A31" s="13"/>
      <c r="B31" s="13">
        <v>150.0</v>
      </c>
      <c r="C31" s="13"/>
      <c r="D31" s="14"/>
      <c r="E31" s="14"/>
      <c r="G31" s="14"/>
      <c r="H31" s="14"/>
      <c r="I31" s="14"/>
      <c r="J31" s="14"/>
      <c r="K31" s="14"/>
      <c r="L31" s="14"/>
      <c r="M31" s="14"/>
      <c r="N31" s="14"/>
      <c r="O31" s="14"/>
      <c r="P31" s="14"/>
      <c r="Q31" s="14"/>
      <c r="R31" s="14"/>
      <c r="S31" s="14"/>
      <c r="T31" s="14"/>
      <c r="U31" s="14"/>
      <c r="V31" s="14"/>
      <c r="W31" s="14"/>
      <c r="X31" s="14"/>
      <c r="Y31" s="14"/>
      <c r="Z31" s="14"/>
    </row>
    <row r="32">
      <c r="A32" s="13" t="s">
        <v>282</v>
      </c>
      <c r="B32" s="13">
        <v>301.0</v>
      </c>
      <c r="C32" s="13" t="s">
        <v>283</v>
      </c>
      <c r="D32" s="14"/>
      <c r="E32" s="14"/>
      <c r="G32" s="14"/>
      <c r="H32" s="14"/>
      <c r="I32" s="14"/>
      <c r="J32" s="14"/>
      <c r="K32" s="14"/>
      <c r="L32" s="14"/>
      <c r="M32" s="14"/>
      <c r="N32" s="14"/>
      <c r="O32" s="14"/>
      <c r="P32" s="14"/>
      <c r="Q32" s="14"/>
      <c r="R32" s="14"/>
      <c r="S32" s="14"/>
      <c r="T32" s="14"/>
      <c r="U32" s="14"/>
      <c r="V32" s="14"/>
      <c r="W32" s="14"/>
      <c r="X32" s="14"/>
      <c r="Y32" s="14"/>
      <c r="Z32" s="14"/>
    </row>
    <row r="33">
      <c r="A33" s="13" t="s">
        <v>282</v>
      </c>
      <c r="B33" s="13">
        <v>302.0</v>
      </c>
      <c r="C33" s="13" t="s">
        <v>283</v>
      </c>
      <c r="D33" s="14"/>
      <c r="E33" s="14"/>
      <c r="G33" s="14"/>
      <c r="H33" s="14"/>
      <c r="I33" s="14"/>
      <c r="J33" s="14"/>
      <c r="K33" s="14"/>
      <c r="L33" s="14"/>
      <c r="M33" s="14"/>
      <c r="N33" s="14"/>
      <c r="O33" s="14"/>
      <c r="P33" s="14"/>
      <c r="Q33" s="14"/>
      <c r="R33" s="14"/>
      <c r="S33" s="14"/>
      <c r="T33" s="14"/>
      <c r="U33" s="14"/>
      <c r="V33" s="14"/>
      <c r="W33" s="14"/>
      <c r="X33" s="14"/>
      <c r="Y33" s="14"/>
      <c r="Z33" s="14"/>
    </row>
    <row r="34">
      <c r="A34" s="13" t="s">
        <v>282</v>
      </c>
      <c r="B34" s="13">
        <v>303.0</v>
      </c>
      <c r="C34" s="13" t="s">
        <v>284</v>
      </c>
      <c r="D34" s="14"/>
      <c r="E34" s="14"/>
      <c r="G34" s="14"/>
      <c r="H34" s="14"/>
      <c r="I34" s="14"/>
      <c r="J34" s="14"/>
      <c r="K34" s="14"/>
      <c r="L34" s="14"/>
      <c r="M34" s="14"/>
      <c r="N34" s="14"/>
      <c r="O34" s="14"/>
      <c r="P34" s="14"/>
      <c r="Q34" s="14"/>
      <c r="R34" s="14"/>
      <c r="S34" s="14"/>
      <c r="T34" s="14"/>
      <c r="U34" s="14"/>
      <c r="V34" s="14"/>
      <c r="W34" s="14"/>
      <c r="X34" s="14"/>
      <c r="Y34" s="14"/>
      <c r="Z34" s="14"/>
    </row>
    <row r="35">
      <c r="A35" s="13" t="s">
        <v>282</v>
      </c>
      <c r="B35" s="13">
        <v>304.0</v>
      </c>
      <c r="C35" s="13" t="s">
        <v>284</v>
      </c>
      <c r="D35" s="14"/>
      <c r="E35" s="14"/>
      <c r="G35" s="14"/>
      <c r="H35" s="14"/>
      <c r="I35" s="14"/>
      <c r="J35" s="14"/>
      <c r="K35" s="14"/>
      <c r="L35" s="14"/>
      <c r="M35" s="14"/>
      <c r="N35" s="14"/>
      <c r="O35" s="14"/>
      <c r="P35" s="14"/>
      <c r="Q35" s="14"/>
      <c r="R35" s="14"/>
      <c r="S35" s="14"/>
      <c r="T35" s="14"/>
      <c r="U35" s="14"/>
      <c r="V35" s="14"/>
      <c r="W35" s="14"/>
      <c r="X35" s="14"/>
      <c r="Y35" s="14"/>
      <c r="Z35" s="14"/>
    </row>
    <row r="36">
      <c r="A36" s="13" t="s">
        <v>282</v>
      </c>
      <c r="B36" s="13">
        <v>305.0</v>
      </c>
      <c r="C36" s="13" t="s">
        <v>284</v>
      </c>
      <c r="D36" s="14"/>
      <c r="E36" s="14"/>
      <c r="G36" s="14"/>
      <c r="H36" s="14"/>
      <c r="I36" s="14"/>
      <c r="J36" s="14"/>
      <c r="K36" s="14"/>
      <c r="L36" s="14"/>
      <c r="M36" s="14"/>
      <c r="N36" s="14"/>
      <c r="O36" s="14"/>
      <c r="P36" s="14"/>
      <c r="Q36" s="14"/>
      <c r="R36" s="14"/>
      <c r="S36" s="14"/>
      <c r="T36" s="14"/>
      <c r="U36" s="14"/>
      <c r="V36" s="14"/>
      <c r="W36" s="14"/>
      <c r="X36" s="14"/>
      <c r="Y36" s="14"/>
      <c r="Z36" s="14"/>
    </row>
    <row r="37">
      <c r="A37" s="13" t="s">
        <v>282</v>
      </c>
      <c r="B37" s="13">
        <v>306.0</v>
      </c>
      <c r="C37" s="13" t="s">
        <v>284</v>
      </c>
      <c r="D37" s="14"/>
      <c r="E37" s="14"/>
      <c r="G37" s="14"/>
      <c r="H37" s="14"/>
      <c r="I37" s="14"/>
      <c r="J37" s="14"/>
      <c r="K37" s="14"/>
      <c r="L37" s="14"/>
      <c r="M37" s="14"/>
      <c r="N37" s="14"/>
      <c r="O37" s="14"/>
      <c r="P37" s="14"/>
      <c r="Q37" s="14"/>
      <c r="R37" s="14"/>
      <c r="S37" s="14"/>
      <c r="T37" s="14"/>
      <c r="U37" s="14"/>
      <c r="V37" s="14"/>
      <c r="W37" s="14"/>
      <c r="X37" s="14"/>
      <c r="Y37" s="14"/>
      <c r="Z37" s="14"/>
    </row>
    <row r="38">
      <c r="A38" s="13" t="s">
        <v>282</v>
      </c>
      <c r="B38" s="13">
        <v>307.0</v>
      </c>
      <c r="C38" s="13" t="s">
        <v>285</v>
      </c>
      <c r="D38" s="14"/>
      <c r="E38" s="14"/>
      <c r="G38" s="14"/>
      <c r="H38" s="14"/>
      <c r="I38" s="14"/>
      <c r="J38" s="14"/>
      <c r="K38" s="14"/>
      <c r="L38" s="14"/>
      <c r="M38" s="14"/>
      <c r="N38" s="14"/>
      <c r="O38" s="14"/>
      <c r="P38" s="14"/>
      <c r="Q38" s="14"/>
      <c r="R38" s="14"/>
      <c r="S38" s="14"/>
      <c r="T38" s="14"/>
      <c r="U38" s="14"/>
      <c r="V38" s="14"/>
      <c r="W38" s="14"/>
      <c r="X38" s="14"/>
      <c r="Y38" s="14"/>
      <c r="Z38" s="14"/>
    </row>
    <row r="39">
      <c r="A39" s="13" t="s">
        <v>282</v>
      </c>
      <c r="B39" s="13">
        <v>308.0</v>
      </c>
      <c r="C39" s="13" t="s">
        <v>285</v>
      </c>
      <c r="D39" s="14"/>
      <c r="E39" s="14"/>
      <c r="G39" s="14"/>
      <c r="H39" s="14"/>
      <c r="I39" s="14"/>
      <c r="J39" s="14"/>
      <c r="K39" s="14"/>
      <c r="L39" s="14"/>
      <c r="M39" s="14"/>
      <c r="N39" s="14"/>
      <c r="O39" s="14"/>
      <c r="P39" s="14"/>
      <c r="Q39" s="14"/>
      <c r="R39" s="14"/>
      <c r="S39" s="14"/>
      <c r="T39" s="14"/>
      <c r="U39" s="14"/>
      <c r="V39" s="14"/>
      <c r="W39" s="14"/>
      <c r="X39" s="14"/>
      <c r="Y39" s="14"/>
      <c r="Z39" s="14"/>
    </row>
    <row r="40">
      <c r="A40" s="13" t="s">
        <v>282</v>
      </c>
      <c r="B40" s="13">
        <v>309.0</v>
      </c>
      <c r="C40" s="13" t="s">
        <v>266</v>
      </c>
      <c r="D40" s="14"/>
      <c r="E40" s="14"/>
      <c r="G40" s="14"/>
      <c r="H40" s="14"/>
      <c r="I40" s="14"/>
      <c r="J40" s="14"/>
      <c r="K40" s="14"/>
      <c r="L40" s="14"/>
      <c r="M40" s="14"/>
      <c r="N40" s="14"/>
      <c r="O40" s="14"/>
      <c r="P40" s="14"/>
      <c r="Q40" s="14"/>
      <c r="R40" s="14"/>
      <c r="S40" s="14"/>
      <c r="T40" s="14"/>
      <c r="U40" s="14"/>
      <c r="V40" s="14"/>
      <c r="W40" s="14"/>
      <c r="X40" s="14"/>
      <c r="Y40" s="14"/>
      <c r="Z40" s="14"/>
    </row>
    <row r="41">
      <c r="A41" s="13" t="s">
        <v>282</v>
      </c>
      <c r="B41" s="13">
        <v>310.0</v>
      </c>
      <c r="C41" s="13" t="s">
        <v>266</v>
      </c>
      <c r="D41" s="14"/>
      <c r="E41" s="14"/>
      <c r="G41" s="14"/>
      <c r="H41" s="14"/>
      <c r="I41" s="14"/>
      <c r="J41" s="14"/>
      <c r="K41" s="14"/>
      <c r="L41" s="14"/>
      <c r="M41" s="14"/>
      <c r="N41" s="14"/>
      <c r="O41" s="14"/>
      <c r="P41" s="14"/>
      <c r="Q41" s="14"/>
      <c r="R41" s="14"/>
      <c r="S41" s="14"/>
      <c r="T41" s="14"/>
      <c r="U41" s="14"/>
      <c r="V41" s="14"/>
      <c r="W41" s="14"/>
      <c r="X41" s="14"/>
      <c r="Y41" s="14"/>
      <c r="Z41" s="14"/>
    </row>
    <row r="42">
      <c r="A42" s="13" t="s">
        <v>282</v>
      </c>
      <c r="B42" s="13">
        <v>311.0</v>
      </c>
      <c r="C42" s="13" t="s">
        <v>266</v>
      </c>
      <c r="D42" s="14"/>
      <c r="E42" s="14"/>
      <c r="G42" s="14"/>
      <c r="H42" s="14"/>
      <c r="I42" s="14"/>
      <c r="J42" s="14"/>
      <c r="K42" s="14"/>
      <c r="L42" s="14"/>
      <c r="M42" s="14"/>
      <c r="N42" s="14"/>
      <c r="O42" s="14"/>
      <c r="P42" s="14"/>
      <c r="Q42" s="14"/>
      <c r="R42" s="14"/>
      <c r="S42" s="14"/>
      <c r="T42" s="14"/>
      <c r="U42" s="14"/>
      <c r="V42" s="14"/>
      <c r="W42" s="14"/>
      <c r="X42" s="14"/>
      <c r="Y42" s="14"/>
      <c r="Z42" s="14"/>
    </row>
    <row r="43">
      <c r="A43" s="13" t="s">
        <v>282</v>
      </c>
      <c r="B43" s="13">
        <v>312.0</v>
      </c>
      <c r="C43" s="13" t="s">
        <v>266</v>
      </c>
      <c r="D43" s="14"/>
      <c r="E43" s="14"/>
      <c r="G43" s="14"/>
      <c r="H43" s="14"/>
      <c r="I43" s="14"/>
      <c r="J43" s="14"/>
      <c r="K43" s="14"/>
      <c r="L43" s="14"/>
      <c r="M43" s="14"/>
      <c r="N43" s="14"/>
      <c r="O43" s="14"/>
      <c r="P43" s="14"/>
      <c r="Q43" s="14"/>
      <c r="R43" s="14"/>
      <c r="S43" s="14"/>
      <c r="T43" s="14"/>
      <c r="U43" s="14"/>
      <c r="V43" s="14"/>
      <c r="W43" s="14"/>
      <c r="X43" s="14"/>
      <c r="Y43" s="14"/>
      <c r="Z43" s="14"/>
    </row>
    <row r="44">
      <c r="A44" s="13" t="s">
        <v>282</v>
      </c>
      <c r="B44" s="13">
        <v>313.0</v>
      </c>
      <c r="C44" s="13" t="s">
        <v>286</v>
      </c>
      <c r="D44" s="14"/>
      <c r="E44" s="14"/>
      <c r="G44" s="14"/>
      <c r="H44" s="14"/>
      <c r="I44" s="14"/>
      <c r="J44" s="14"/>
      <c r="K44" s="14"/>
      <c r="L44" s="14"/>
      <c r="M44" s="14"/>
      <c r="N44" s="14"/>
      <c r="O44" s="14"/>
      <c r="P44" s="14"/>
      <c r="Q44" s="14"/>
      <c r="R44" s="14"/>
      <c r="S44" s="14"/>
      <c r="T44" s="14"/>
      <c r="U44" s="14"/>
      <c r="V44" s="14"/>
      <c r="W44" s="14"/>
      <c r="X44" s="14"/>
      <c r="Y44" s="14"/>
      <c r="Z44" s="14"/>
    </row>
    <row r="45">
      <c r="A45" s="13" t="s">
        <v>282</v>
      </c>
      <c r="B45" s="13">
        <v>314.0</v>
      </c>
      <c r="C45" s="13" t="s">
        <v>286</v>
      </c>
      <c r="D45" s="14"/>
      <c r="E45" s="14"/>
      <c r="G45" s="14"/>
      <c r="H45" s="14"/>
      <c r="I45" s="14"/>
      <c r="J45" s="14"/>
      <c r="K45" s="14"/>
      <c r="L45" s="14"/>
      <c r="M45" s="14"/>
      <c r="N45" s="14"/>
      <c r="O45" s="14"/>
      <c r="P45" s="14"/>
      <c r="Q45" s="14"/>
      <c r="R45" s="14"/>
      <c r="S45" s="14"/>
      <c r="T45" s="14"/>
      <c r="U45" s="14"/>
      <c r="V45" s="14"/>
      <c r="W45" s="14"/>
      <c r="X45" s="14"/>
      <c r="Y45" s="14"/>
      <c r="Z45" s="14"/>
    </row>
    <row r="46">
      <c r="A46" s="13" t="s">
        <v>282</v>
      </c>
      <c r="B46" s="13">
        <v>315.0</v>
      </c>
      <c r="C46" s="13" t="s">
        <v>287</v>
      </c>
      <c r="D46" s="14"/>
      <c r="E46" s="14"/>
      <c r="G46" s="14"/>
      <c r="H46" s="14"/>
      <c r="I46" s="14"/>
      <c r="J46" s="14"/>
      <c r="K46" s="14"/>
      <c r="L46" s="14"/>
      <c r="M46" s="14"/>
      <c r="N46" s="14"/>
      <c r="O46" s="14"/>
      <c r="P46" s="14"/>
      <c r="Q46" s="14"/>
      <c r="R46" s="14"/>
      <c r="S46" s="14"/>
      <c r="T46" s="14"/>
      <c r="U46" s="14"/>
      <c r="V46" s="14"/>
      <c r="W46" s="14"/>
      <c r="X46" s="14"/>
      <c r="Y46" s="14"/>
      <c r="Z46" s="14"/>
    </row>
    <row r="47">
      <c r="A47" s="13" t="s">
        <v>282</v>
      </c>
      <c r="B47" s="13">
        <v>316.0</v>
      </c>
      <c r="C47" s="13" t="s">
        <v>287</v>
      </c>
      <c r="D47" s="14"/>
      <c r="E47" s="14"/>
      <c r="G47" s="14"/>
      <c r="H47" s="14"/>
      <c r="I47" s="14"/>
      <c r="J47" s="14"/>
      <c r="K47" s="14"/>
      <c r="L47" s="14"/>
      <c r="M47" s="14"/>
      <c r="N47" s="14"/>
      <c r="O47" s="14"/>
      <c r="P47" s="14"/>
      <c r="Q47" s="14"/>
      <c r="R47" s="14"/>
      <c r="S47" s="14"/>
      <c r="T47" s="14"/>
      <c r="U47" s="14"/>
      <c r="V47" s="14"/>
      <c r="W47" s="14"/>
      <c r="X47" s="14"/>
      <c r="Y47" s="14"/>
      <c r="Z47" s="14"/>
    </row>
    <row r="48">
      <c r="A48" s="13" t="s">
        <v>282</v>
      </c>
      <c r="B48" s="13">
        <v>317.0</v>
      </c>
      <c r="C48" s="13" t="s">
        <v>287</v>
      </c>
      <c r="D48" s="14"/>
      <c r="E48" s="14"/>
      <c r="G48" s="14"/>
      <c r="H48" s="14"/>
      <c r="I48" s="14"/>
      <c r="J48" s="14"/>
      <c r="K48" s="14"/>
      <c r="L48" s="14"/>
      <c r="M48" s="14"/>
      <c r="N48" s="14"/>
      <c r="O48" s="14"/>
      <c r="P48" s="14"/>
      <c r="Q48" s="14"/>
      <c r="R48" s="14"/>
      <c r="S48" s="14"/>
      <c r="T48" s="14"/>
      <c r="U48" s="14"/>
      <c r="V48" s="14"/>
      <c r="W48" s="14"/>
      <c r="X48" s="14"/>
      <c r="Y48" s="14"/>
      <c r="Z48" s="14"/>
    </row>
    <row r="49">
      <c r="A49" s="13" t="s">
        <v>282</v>
      </c>
      <c r="B49" s="13">
        <v>318.0</v>
      </c>
      <c r="C49" s="13" t="s">
        <v>288</v>
      </c>
      <c r="D49" s="14"/>
      <c r="E49" s="14"/>
      <c r="G49" s="14"/>
      <c r="H49" s="14"/>
      <c r="I49" s="14"/>
      <c r="J49" s="14"/>
      <c r="K49" s="14"/>
      <c r="L49" s="14"/>
      <c r="M49" s="14"/>
      <c r="N49" s="14"/>
      <c r="O49" s="14"/>
      <c r="P49" s="14"/>
      <c r="Q49" s="14"/>
      <c r="R49" s="14"/>
      <c r="S49" s="14"/>
      <c r="T49" s="14"/>
      <c r="U49" s="14"/>
      <c r="V49" s="14"/>
      <c r="W49" s="14"/>
      <c r="X49" s="14"/>
      <c r="Y49" s="14"/>
      <c r="Z49" s="14"/>
    </row>
    <row r="50">
      <c r="A50" s="13" t="s">
        <v>282</v>
      </c>
      <c r="B50" s="13">
        <v>319.0</v>
      </c>
      <c r="C50" s="13" t="s">
        <v>288</v>
      </c>
      <c r="D50" s="14"/>
      <c r="E50" s="14"/>
      <c r="G50" s="14"/>
      <c r="H50" s="14"/>
      <c r="I50" s="14"/>
      <c r="J50" s="14"/>
      <c r="K50" s="14"/>
      <c r="L50" s="14"/>
      <c r="M50" s="14"/>
      <c r="N50" s="14"/>
      <c r="O50" s="14"/>
      <c r="P50" s="14"/>
      <c r="Q50" s="14"/>
      <c r="R50" s="14"/>
      <c r="S50" s="14"/>
      <c r="T50" s="14"/>
      <c r="U50" s="14"/>
      <c r="V50" s="14"/>
      <c r="W50" s="14"/>
      <c r="X50" s="14"/>
      <c r="Y50" s="14"/>
      <c r="Z50" s="14"/>
    </row>
    <row r="51">
      <c r="A51" s="13" t="s">
        <v>282</v>
      </c>
      <c r="B51" s="13">
        <v>320.0</v>
      </c>
      <c r="C51" s="13" t="s">
        <v>124</v>
      </c>
      <c r="D51" s="14"/>
      <c r="E51" s="14"/>
      <c r="G51" s="14"/>
      <c r="H51" s="14"/>
      <c r="I51" s="14"/>
      <c r="J51" s="14"/>
      <c r="K51" s="14"/>
      <c r="L51" s="14"/>
      <c r="M51" s="14"/>
      <c r="N51" s="14"/>
      <c r="O51" s="14"/>
      <c r="P51" s="14"/>
      <c r="Q51" s="14"/>
      <c r="R51" s="14"/>
      <c r="S51" s="14"/>
      <c r="T51" s="14"/>
      <c r="U51" s="14"/>
      <c r="V51" s="14"/>
      <c r="W51" s="14"/>
      <c r="X51" s="14"/>
      <c r="Y51" s="14"/>
      <c r="Z51" s="14"/>
    </row>
    <row r="52">
      <c r="A52" s="13" t="s">
        <v>282</v>
      </c>
      <c r="B52" s="13">
        <v>321.0</v>
      </c>
      <c r="C52" s="13" t="s">
        <v>124</v>
      </c>
      <c r="D52" s="14"/>
      <c r="E52" s="14"/>
      <c r="G52" s="14"/>
      <c r="H52" s="14"/>
      <c r="I52" s="14"/>
      <c r="J52" s="14"/>
      <c r="K52" s="14"/>
      <c r="L52" s="14"/>
      <c r="M52" s="14"/>
      <c r="N52" s="14"/>
      <c r="O52" s="14"/>
      <c r="P52" s="14"/>
      <c r="Q52" s="14"/>
      <c r="R52" s="14"/>
      <c r="S52" s="14"/>
      <c r="T52" s="14"/>
      <c r="U52" s="14"/>
      <c r="V52" s="14"/>
      <c r="W52" s="14"/>
      <c r="X52" s="14"/>
      <c r="Y52" s="14"/>
      <c r="Z52" s="14"/>
    </row>
    <row r="53">
      <c r="A53" s="13" t="s">
        <v>282</v>
      </c>
      <c r="B53" s="13">
        <v>322.0</v>
      </c>
      <c r="C53" s="13" t="s">
        <v>26</v>
      </c>
      <c r="D53" s="14"/>
      <c r="E53" s="14"/>
      <c r="G53" s="14"/>
      <c r="H53" s="14"/>
      <c r="I53" s="14"/>
      <c r="J53" s="14"/>
      <c r="K53" s="14"/>
      <c r="L53" s="14"/>
      <c r="M53" s="14"/>
      <c r="N53" s="14"/>
      <c r="O53" s="14"/>
      <c r="P53" s="14"/>
      <c r="Q53" s="14"/>
      <c r="R53" s="14"/>
      <c r="S53" s="14"/>
      <c r="T53" s="14"/>
      <c r="U53" s="14"/>
      <c r="V53" s="14"/>
      <c r="W53" s="14"/>
      <c r="X53" s="14"/>
      <c r="Y53" s="14"/>
      <c r="Z53" s="14"/>
    </row>
    <row r="54">
      <c r="A54" s="13" t="s">
        <v>282</v>
      </c>
      <c r="B54" s="13">
        <v>323.0</v>
      </c>
      <c r="C54" s="13" t="s">
        <v>26</v>
      </c>
      <c r="D54" s="14"/>
      <c r="E54" s="14"/>
      <c r="G54" s="14"/>
      <c r="H54" s="14"/>
      <c r="I54" s="14"/>
      <c r="J54" s="14"/>
      <c r="K54" s="14"/>
      <c r="L54" s="14"/>
      <c r="M54" s="14"/>
      <c r="N54" s="14"/>
      <c r="O54" s="14"/>
      <c r="P54" s="14"/>
      <c r="Q54" s="14"/>
      <c r="R54" s="14"/>
      <c r="S54" s="14"/>
      <c r="T54" s="14"/>
      <c r="U54" s="14"/>
      <c r="V54" s="14"/>
      <c r="W54" s="14"/>
      <c r="X54" s="14"/>
      <c r="Y54" s="14"/>
      <c r="Z54" s="14"/>
    </row>
    <row r="55">
      <c r="A55" s="13" t="s">
        <v>282</v>
      </c>
      <c r="B55" s="13">
        <v>324.0</v>
      </c>
      <c r="C55" s="13" t="s">
        <v>289</v>
      </c>
      <c r="D55" s="14"/>
      <c r="E55" s="14"/>
      <c r="G55" s="14"/>
      <c r="H55" s="14"/>
      <c r="I55" s="14"/>
      <c r="J55" s="14"/>
      <c r="K55" s="14"/>
      <c r="L55" s="14"/>
      <c r="M55" s="14"/>
      <c r="N55" s="14"/>
      <c r="O55" s="14"/>
      <c r="P55" s="14"/>
      <c r="Q55" s="14"/>
      <c r="R55" s="14"/>
      <c r="S55" s="14"/>
      <c r="T55" s="14"/>
      <c r="U55" s="14"/>
      <c r="V55" s="14"/>
      <c r="W55" s="14"/>
      <c r="X55" s="14"/>
      <c r="Y55" s="14"/>
      <c r="Z55" s="14"/>
    </row>
    <row r="56">
      <c r="A56" s="13" t="s">
        <v>282</v>
      </c>
      <c r="B56" s="13">
        <v>325.0</v>
      </c>
      <c r="C56" s="13" t="s">
        <v>289</v>
      </c>
      <c r="D56" s="14"/>
      <c r="E56" s="14"/>
      <c r="G56" s="14"/>
      <c r="H56" s="14"/>
      <c r="I56" s="14"/>
      <c r="J56" s="14"/>
      <c r="K56" s="14"/>
      <c r="L56" s="14"/>
      <c r="M56" s="14"/>
      <c r="N56" s="14"/>
      <c r="O56" s="14"/>
      <c r="P56" s="14"/>
      <c r="Q56" s="14"/>
      <c r="R56" s="14"/>
      <c r="S56" s="14"/>
      <c r="T56" s="14"/>
      <c r="U56" s="14"/>
      <c r="V56" s="14"/>
      <c r="W56" s="14"/>
      <c r="X56" s="14"/>
      <c r="Y56" s="14"/>
      <c r="Z56" s="14"/>
    </row>
    <row r="57">
      <c r="A57" s="13" t="s">
        <v>282</v>
      </c>
      <c r="B57" s="13">
        <v>326.0</v>
      </c>
      <c r="C57" s="13" t="s">
        <v>290</v>
      </c>
      <c r="D57" s="14"/>
      <c r="E57" s="14"/>
      <c r="G57" s="14"/>
      <c r="H57" s="14"/>
      <c r="I57" s="14"/>
      <c r="J57" s="14"/>
      <c r="K57" s="14"/>
      <c r="L57" s="14"/>
      <c r="M57" s="14"/>
      <c r="N57" s="14"/>
      <c r="O57" s="14"/>
      <c r="P57" s="14"/>
      <c r="Q57" s="14"/>
      <c r="R57" s="14"/>
      <c r="S57" s="14"/>
      <c r="T57" s="14"/>
      <c r="U57" s="14"/>
      <c r="V57" s="14"/>
      <c r="W57" s="14"/>
      <c r="X57" s="14"/>
      <c r="Y57" s="14"/>
      <c r="Z57" s="14"/>
    </row>
    <row r="58">
      <c r="A58" s="13" t="s">
        <v>282</v>
      </c>
      <c r="B58" s="13">
        <v>327.0</v>
      </c>
      <c r="C58" s="13" t="s">
        <v>291</v>
      </c>
      <c r="D58" s="14"/>
      <c r="E58" s="14"/>
      <c r="G58" s="14"/>
      <c r="H58" s="14"/>
      <c r="I58" s="14"/>
      <c r="J58" s="14"/>
      <c r="K58" s="14"/>
      <c r="L58" s="14"/>
      <c r="M58" s="14"/>
      <c r="N58" s="14"/>
      <c r="O58" s="14"/>
      <c r="P58" s="14"/>
      <c r="Q58" s="14"/>
      <c r="R58" s="14"/>
      <c r="S58" s="14"/>
      <c r="T58" s="14"/>
      <c r="U58" s="14"/>
      <c r="V58" s="14"/>
      <c r="W58" s="14"/>
      <c r="X58" s="14"/>
      <c r="Y58" s="14"/>
      <c r="Z58" s="14"/>
    </row>
    <row r="59">
      <c r="A59" s="13" t="s">
        <v>282</v>
      </c>
      <c r="B59" s="13">
        <v>328.0</v>
      </c>
      <c r="C59" s="13" t="s">
        <v>291</v>
      </c>
      <c r="D59" s="14"/>
      <c r="E59" s="14"/>
      <c r="G59" s="14"/>
      <c r="H59" s="14"/>
      <c r="I59" s="14"/>
      <c r="J59" s="14"/>
      <c r="K59" s="14"/>
      <c r="L59" s="14"/>
      <c r="M59" s="14"/>
      <c r="N59" s="14"/>
      <c r="O59" s="14"/>
      <c r="P59" s="14"/>
      <c r="Q59" s="14"/>
      <c r="R59" s="14"/>
      <c r="S59" s="14"/>
      <c r="T59" s="14"/>
      <c r="U59" s="14"/>
      <c r="V59" s="14"/>
      <c r="W59" s="14"/>
      <c r="X59" s="14"/>
      <c r="Y59" s="14"/>
      <c r="Z59" s="14"/>
    </row>
    <row r="60">
      <c r="A60" s="13" t="s">
        <v>282</v>
      </c>
      <c r="B60" s="13">
        <v>329.0</v>
      </c>
      <c r="C60" s="13" t="s">
        <v>292</v>
      </c>
      <c r="D60" s="14"/>
      <c r="E60" s="14"/>
      <c r="G60" s="14"/>
      <c r="H60" s="14"/>
      <c r="I60" s="14"/>
      <c r="J60" s="14"/>
      <c r="K60" s="14"/>
      <c r="L60" s="14"/>
      <c r="M60" s="14"/>
      <c r="N60" s="14"/>
      <c r="O60" s="14"/>
      <c r="P60" s="14"/>
      <c r="Q60" s="14"/>
      <c r="R60" s="14"/>
      <c r="S60" s="14"/>
      <c r="T60" s="14"/>
      <c r="U60" s="14"/>
      <c r="V60" s="14"/>
      <c r="W60" s="14"/>
      <c r="X60" s="14"/>
      <c r="Y60" s="14"/>
      <c r="Z60" s="14"/>
    </row>
    <row r="61">
      <c r="A61" s="13" t="s">
        <v>282</v>
      </c>
      <c r="B61" s="13">
        <v>330.0</v>
      </c>
      <c r="C61" s="13" t="s">
        <v>292</v>
      </c>
      <c r="D61" s="14"/>
      <c r="E61" s="14"/>
      <c r="G61" s="14"/>
      <c r="H61" s="14"/>
      <c r="I61" s="14"/>
      <c r="J61" s="14"/>
      <c r="K61" s="14"/>
      <c r="L61" s="14"/>
      <c r="M61" s="14"/>
      <c r="N61" s="14"/>
      <c r="O61" s="14"/>
      <c r="P61" s="14"/>
      <c r="Q61" s="14"/>
      <c r="R61" s="14"/>
      <c r="S61" s="14"/>
      <c r="T61" s="14"/>
      <c r="U61" s="14"/>
      <c r="V61" s="14"/>
      <c r="W61" s="14"/>
      <c r="X61" s="14"/>
      <c r="Y61" s="14"/>
      <c r="Z61" s="14"/>
    </row>
    <row r="62">
      <c r="A62" s="13"/>
      <c r="B62" s="13">
        <v>350.0</v>
      </c>
      <c r="C62" s="13"/>
      <c r="D62" s="14"/>
      <c r="E62" s="14"/>
      <c r="F62" s="14"/>
      <c r="G62" s="14"/>
      <c r="H62" s="14"/>
      <c r="I62" s="14"/>
      <c r="J62" s="14"/>
      <c r="K62" s="14"/>
      <c r="L62" s="14"/>
      <c r="M62" s="14"/>
      <c r="N62" s="14"/>
      <c r="O62" s="14"/>
      <c r="P62" s="14"/>
      <c r="Q62" s="14"/>
      <c r="R62" s="14"/>
      <c r="S62" s="14"/>
      <c r="T62" s="14"/>
      <c r="U62" s="14"/>
      <c r="V62" s="14"/>
      <c r="W62" s="14"/>
      <c r="X62" s="14"/>
      <c r="Y62" s="14"/>
      <c r="Z62" s="14"/>
    </row>
    <row r="63">
      <c r="A63" s="13" t="s">
        <v>293</v>
      </c>
      <c r="B63" s="13">
        <v>401.0</v>
      </c>
      <c r="C63" s="13"/>
      <c r="D63" s="14"/>
      <c r="E63" s="14"/>
      <c r="F63" s="14"/>
      <c r="G63" s="14"/>
      <c r="H63" s="14"/>
      <c r="I63" s="14"/>
      <c r="J63" s="14"/>
      <c r="K63" s="14"/>
      <c r="L63" s="14"/>
      <c r="M63" s="14"/>
      <c r="N63" s="14"/>
      <c r="O63" s="14"/>
      <c r="P63" s="14"/>
      <c r="Q63" s="14"/>
      <c r="R63" s="14"/>
      <c r="S63" s="14"/>
      <c r="T63" s="14"/>
      <c r="U63" s="14"/>
      <c r="V63" s="14"/>
      <c r="W63" s="14"/>
      <c r="X63" s="14"/>
      <c r="Y63" s="14"/>
      <c r="Z63" s="14"/>
    </row>
    <row r="64">
      <c r="A64" s="13" t="s">
        <v>293</v>
      </c>
      <c r="B64" s="13">
        <v>402.0</v>
      </c>
      <c r="C64" s="13"/>
      <c r="D64" s="14"/>
      <c r="E64" s="14"/>
      <c r="F64" s="14"/>
      <c r="G64" s="14"/>
      <c r="H64" s="14"/>
      <c r="I64" s="14"/>
      <c r="J64" s="14"/>
      <c r="K64" s="14"/>
      <c r="L64" s="14"/>
      <c r="M64" s="14"/>
      <c r="N64" s="14"/>
      <c r="O64" s="14"/>
      <c r="P64" s="14"/>
      <c r="Q64" s="14"/>
      <c r="R64" s="14"/>
      <c r="S64" s="14"/>
      <c r="T64" s="14"/>
      <c r="U64" s="14"/>
      <c r="V64" s="14"/>
      <c r="W64" s="14"/>
      <c r="X64" s="14"/>
      <c r="Y64" s="14"/>
      <c r="Z64" s="14"/>
    </row>
    <row r="65">
      <c r="A65" s="13" t="s">
        <v>293</v>
      </c>
      <c r="B65" s="13">
        <v>403.0</v>
      </c>
      <c r="C65" s="13"/>
      <c r="D65" s="14"/>
      <c r="E65" s="14"/>
      <c r="F65" s="14"/>
      <c r="G65" s="14"/>
      <c r="H65" s="14"/>
      <c r="I65" s="14"/>
      <c r="J65" s="14"/>
      <c r="K65" s="14"/>
      <c r="L65" s="14"/>
      <c r="M65" s="14"/>
      <c r="N65" s="14"/>
      <c r="O65" s="14"/>
      <c r="P65" s="14"/>
      <c r="Q65" s="14"/>
      <c r="R65" s="14"/>
      <c r="S65" s="14"/>
      <c r="T65" s="14"/>
      <c r="U65" s="14"/>
      <c r="V65" s="14"/>
      <c r="W65" s="14"/>
      <c r="X65" s="14"/>
      <c r="Y65" s="14"/>
      <c r="Z65" s="14"/>
    </row>
    <row r="66">
      <c r="A66" s="13"/>
      <c r="B66" s="13">
        <v>450.0</v>
      </c>
      <c r="C66" s="16"/>
      <c r="D66" s="14"/>
      <c r="E66" s="14"/>
      <c r="F66" s="13"/>
      <c r="G66" s="14"/>
      <c r="H66" s="14"/>
      <c r="I66" s="14"/>
      <c r="J66" s="14"/>
      <c r="K66" s="14"/>
      <c r="L66" s="14"/>
      <c r="M66" s="14"/>
      <c r="N66" s="14"/>
      <c r="O66" s="14"/>
      <c r="P66" s="14"/>
      <c r="Q66" s="14"/>
      <c r="R66" s="14"/>
      <c r="S66" s="14"/>
      <c r="T66" s="14"/>
      <c r="U66" s="14"/>
      <c r="V66" s="14"/>
      <c r="W66" s="14"/>
      <c r="X66" s="14"/>
      <c r="Y66" s="14"/>
      <c r="Z66" s="14"/>
    </row>
    <row r="67">
      <c r="A67" s="13" t="s">
        <v>294</v>
      </c>
      <c r="B67" s="13">
        <v>501.0</v>
      </c>
      <c r="C67" s="16"/>
      <c r="D67" s="14"/>
      <c r="E67" s="14"/>
      <c r="F67" s="13"/>
      <c r="G67" s="14"/>
      <c r="H67" s="14"/>
      <c r="I67" s="14"/>
      <c r="J67" s="14"/>
      <c r="K67" s="14"/>
      <c r="L67" s="14"/>
      <c r="M67" s="14"/>
      <c r="N67" s="14"/>
      <c r="O67" s="14"/>
      <c r="P67" s="14"/>
      <c r="Q67" s="14"/>
      <c r="R67" s="14"/>
      <c r="S67" s="14"/>
      <c r="T67" s="14"/>
      <c r="U67" s="14"/>
      <c r="V67" s="14"/>
      <c r="W67" s="14"/>
      <c r="X67" s="14"/>
      <c r="Y67" s="14"/>
      <c r="Z67" s="14"/>
    </row>
    <row r="68">
      <c r="A68" s="13" t="s">
        <v>294</v>
      </c>
      <c r="B68" s="13">
        <v>502.0</v>
      </c>
      <c r="C68" s="16"/>
      <c r="D68" s="14"/>
      <c r="E68" s="14"/>
      <c r="F68" s="14"/>
      <c r="G68" s="14"/>
      <c r="H68" s="14"/>
      <c r="I68" s="14"/>
      <c r="J68" s="14"/>
      <c r="K68" s="14"/>
      <c r="L68" s="14"/>
      <c r="M68" s="14"/>
      <c r="N68" s="14"/>
      <c r="O68" s="14"/>
      <c r="P68" s="14"/>
      <c r="Q68" s="14"/>
      <c r="R68" s="14"/>
      <c r="S68" s="14"/>
      <c r="T68" s="14"/>
      <c r="U68" s="14"/>
      <c r="V68" s="14"/>
      <c r="W68" s="14"/>
      <c r="X68" s="14"/>
      <c r="Y68" s="14"/>
      <c r="Z68" s="14"/>
    </row>
    <row r="69">
      <c r="A69" s="13" t="s">
        <v>294</v>
      </c>
      <c r="B69" s="13">
        <v>503.0</v>
      </c>
      <c r="C69" s="16"/>
      <c r="D69" s="14"/>
      <c r="E69" s="14"/>
      <c r="F69" s="14"/>
      <c r="G69" s="14"/>
      <c r="H69" s="14"/>
      <c r="I69" s="14"/>
      <c r="J69" s="14"/>
      <c r="K69" s="14"/>
      <c r="L69" s="14"/>
      <c r="M69" s="14"/>
      <c r="N69" s="14"/>
      <c r="O69" s="14"/>
      <c r="P69" s="14"/>
      <c r="Q69" s="14"/>
      <c r="R69" s="14"/>
      <c r="S69" s="14"/>
      <c r="T69" s="14"/>
      <c r="U69" s="14"/>
      <c r="V69" s="14"/>
      <c r="W69" s="14"/>
      <c r="X69" s="14"/>
      <c r="Y69" s="14"/>
      <c r="Z69" s="14"/>
    </row>
    <row r="70">
      <c r="A70" s="14"/>
      <c r="B70" s="14"/>
      <c r="C70" s="14"/>
      <c r="D70" s="14"/>
      <c r="E70" s="14"/>
      <c r="G70" s="14"/>
      <c r="H70" s="14"/>
      <c r="I70" s="14"/>
      <c r="J70" s="14"/>
      <c r="K70" s="14"/>
      <c r="L70" s="14"/>
      <c r="M70" s="14"/>
      <c r="N70" s="14"/>
      <c r="O70" s="14"/>
      <c r="P70" s="14"/>
      <c r="Q70" s="14"/>
      <c r="R70" s="14"/>
      <c r="S70" s="14"/>
      <c r="T70" s="14"/>
      <c r="U70" s="14"/>
      <c r="V70" s="14"/>
      <c r="W70" s="14"/>
      <c r="X70" s="14"/>
      <c r="Y70" s="14"/>
      <c r="Z70" s="14"/>
    </row>
    <row r="71">
      <c r="A71" s="14"/>
      <c r="B71" s="14"/>
      <c r="C71" s="14"/>
      <c r="D71" s="14"/>
      <c r="E71" s="14"/>
      <c r="G71" s="14"/>
      <c r="H71" s="14"/>
      <c r="I71" s="14"/>
      <c r="J71" s="14"/>
      <c r="K71" s="14"/>
      <c r="L71" s="14"/>
      <c r="M71" s="14"/>
      <c r="N71" s="14"/>
      <c r="O71" s="14"/>
      <c r="P71" s="14"/>
      <c r="Q71" s="14"/>
      <c r="R71" s="14"/>
      <c r="S71" s="14"/>
      <c r="T71" s="14"/>
      <c r="U71" s="14"/>
      <c r="V71" s="14"/>
      <c r="W71" s="14"/>
      <c r="X71" s="14"/>
      <c r="Y71" s="14"/>
      <c r="Z71" s="14"/>
    </row>
    <row r="72">
      <c r="A72" s="14"/>
      <c r="B72" s="14"/>
      <c r="C72" s="13" t="s">
        <v>290</v>
      </c>
      <c r="D72" s="14"/>
      <c r="E72" s="14"/>
      <c r="G72" s="14"/>
      <c r="H72" s="14"/>
      <c r="I72" s="14"/>
      <c r="J72" s="14"/>
      <c r="K72" s="14"/>
      <c r="L72" s="14"/>
      <c r="M72" s="14"/>
      <c r="N72" s="14"/>
      <c r="O72" s="14"/>
      <c r="P72" s="14"/>
      <c r="Q72" s="14"/>
      <c r="R72" s="14"/>
      <c r="S72" s="14"/>
      <c r="T72" s="14"/>
      <c r="U72" s="14"/>
      <c r="V72" s="14"/>
      <c r="W72" s="14"/>
      <c r="X72" s="14"/>
      <c r="Y72" s="14"/>
      <c r="Z72" s="14"/>
    </row>
    <row r="73">
      <c r="A73" s="14"/>
      <c r="B73" s="14"/>
      <c r="C73" s="13" t="s">
        <v>273</v>
      </c>
      <c r="D73" s="14"/>
      <c r="E73" s="14"/>
      <c r="G73" s="14"/>
      <c r="H73" s="14"/>
      <c r="I73" s="14"/>
      <c r="J73" s="14"/>
      <c r="K73" s="14"/>
      <c r="L73" s="14"/>
      <c r="M73" s="14"/>
      <c r="N73" s="14"/>
      <c r="O73" s="14"/>
      <c r="P73" s="14"/>
      <c r="Q73" s="14"/>
      <c r="R73" s="14"/>
      <c r="S73" s="14"/>
      <c r="T73" s="14"/>
      <c r="U73" s="14"/>
      <c r="V73" s="14"/>
      <c r="W73" s="14"/>
      <c r="X73" s="14"/>
      <c r="Y73" s="14"/>
      <c r="Z73" s="14"/>
    </row>
    <row r="74">
      <c r="A74" s="14"/>
      <c r="B74" s="14"/>
      <c r="C74" s="13" t="s">
        <v>289</v>
      </c>
      <c r="D74" s="14"/>
      <c r="E74" s="14"/>
      <c r="G74" s="14"/>
      <c r="H74" s="14"/>
      <c r="I74" s="14"/>
      <c r="J74" s="14"/>
      <c r="K74" s="14"/>
      <c r="L74" s="14"/>
      <c r="M74" s="14"/>
      <c r="N74" s="14"/>
      <c r="O74" s="14"/>
      <c r="P74" s="14"/>
      <c r="Q74" s="14"/>
      <c r="R74" s="14"/>
      <c r="S74" s="14"/>
      <c r="T74" s="14"/>
      <c r="U74" s="14"/>
      <c r="V74" s="14"/>
      <c r="W74" s="14"/>
      <c r="X74" s="14"/>
      <c r="Y74" s="14"/>
      <c r="Z74" s="14"/>
    </row>
    <row r="75">
      <c r="A75" s="14"/>
      <c r="B75" s="14"/>
      <c r="C75" s="13" t="s">
        <v>274</v>
      </c>
      <c r="D75" s="14"/>
      <c r="E75" s="14"/>
      <c r="G75" s="14"/>
      <c r="H75" s="14"/>
      <c r="I75" s="14"/>
      <c r="J75" s="14"/>
      <c r="K75" s="14"/>
      <c r="L75" s="14"/>
      <c r="M75" s="14"/>
      <c r="N75" s="14"/>
      <c r="O75" s="14"/>
      <c r="P75" s="14"/>
      <c r="Q75" s="14"/>
      <c r="R75" s="14"/>
      <c r="S75" s="14"/>
      <c r="T75" s="14"/>
      <c r="U75" s="14"/>
      <c r="V75" s="14"/>
      <c r="W75" s="14"/>
      <c r="X75" s="14"/>
      <c r="Y75" s="14"/>
      <c r="Z75" s="14"/>
    </row>
    <row r="76">
      <c r="A76" s="14"/>
      <c r="B76" s="14"/>
      <c r="C76" s="13" t="s">
        <v>281</v>
      </c>
      <c r="D76" s="14"/>
      <c r="E76" s="14"/>
      <c r="G76" s="14"/>
      <c r="H76" s="14"/>
      <c r="I76" s="14"/>
      <c r="J76" s="14"/>
      <c r="K76" s="14"/>
      <c r="L76" s="14"/>
      <c r="M76" s="14"/>
      <c r="N76" s="14"/>
      <c r="O76" s="14"/>
      <c r="P76" s="14"/>
      <c r="Q76" s="14"/>
      <c r="R76" s="14"/>
      <c r="S76" s="14"/>
      <c r="T76" s="14"/>
      <c r="U76" s="14"/>
      <c r="V76" s="14"/>
      <c r="W76" s="14"/>
      <c r="X76" s="14"/>
      <c r="Y76" s="14"/>
      <c r="Z76" s="14"/>
    </row>
    <row r="77">
      <c r="A77" s="14"/>
      <c r="B77" s="14"/>
      <c r="C77" s="13" t="s">
        <v>260</v>
      </c>
      <c r="D77" s="14"/>
      <c r="E77" s="14"/>
      <c r="G77" s="14"/>
      <c r="H77" s="14"/>
      <c r="I77" s="14"/>
      <c r="J77" s="14"/>
      <c r="K77" s="14"/>
      <c r="L77" s="14"/>
      <c r="M77" s="14"/>
      <c r="N77" s="14"/>
      <c r="O77" s="14"/>
      <c r="P77" s="14"/>
      <c r="Q77" s="14"/>
      <c r="R77" s="14"/>
      <c r="S77" s="14"/>
      <c r="T77" s="14"/>
      <c r="U77" s="14"/>
      <c r="V77" s="14"/>
      <c r="W77" s="14"/>
      <c r="X77" s="14"/>
      <c r="Y77" s="14"/>
      <c r="Z77" s="14"/>
    </row>
    <row r="78">
      <c r="A78" s="14"/>
      <c r="B78" s="14"/>
      <c r="C78" s="13" t="s">
        <v>277</v>
      </c>
      <c r="D78" s="14"/>
      <c r="E78" s="14"/>
      <c r="G78" s="14"/>
      <c r="H78" s="14"/>
      <c r="I78" s="14"/>
      <c r="J78" s="14"/>
      <c r="K78" s="14"/>
      <c r="L78" s="14"/>
      <c r="M78" s="14"/>
      <c r="N78" s="14"/>
      <c r="O78" s="14"/>
      <c r="P78" s="14"/>
      <c r="Q78" s="14"/>
      <c r="R78" s="14"/>
      <c r="S78" s="14"/>
      <c r="T78" s="14"/>
      <c r="U78" s="14"/>
      <c r="V78" s="14"/>
      <c r="W78" s="14"/>
      <c r="X78" s="14"/>
      <c r="Y78" s="14"/>
      <c r="Z78" s="14"/>
    </row>
    <row r="79">
      <c r="A79" s="14"/>
      <c r="B79" s="14"/>
      <c r="C79" s="13" t="s">
        <v>59</v>
      </c>
      <c r="D79" s="14"/>
      <c r="E79" s="14"/>
      <c r="G79" s="14"/>
      <c r="H79" s="14"/>
      <c r="I79" s="14"/>
      <c r="J79" s="14"/>
      <c r="K79" s="14"/>
      <c r="L79" s="14"/>
      <c r="M79" s="14"/>
      <c r="N79" s="14"/>
      <c r="O79" s="14"/>
      <c r="P79" s="14"/>
      <c r="Q79" s="14"/>
      <c r="R79" s="14"/>
      <c r="S79" s="14"/>
      <c r="T79" s="14"/>
      <c r="U79" s="14"/>
      <c r="V79" s="14"/>
      <c r="W79" s="14"/>
      <c r="X79" s="14"/>
      <c r="Y79" s="14"/>
      <c r="Z79" s="14"/>
    </row>
    <row r="80">
      <c r="A80" s="14"/>
      <c r="B80" s="14"/>
      <c r="C80" s="13" t="s">
        <v>258</v>
      </c>
      <c r="D80" s="14"/>
      <c r="E80" s="14"/>
      <c r="G80" s="14"/>
      <c r="H80" s="14"/>
      <c r="I80" s="14"/>
      <c r="J80" s="14"/>
      <c r="K80" s="14"/>
      <c r="L80" s="14"/>
      <c r="M80" s="14"/>
      <c r="N80" s="14"/>
      <c r="O80" s="14"/>
      <c r="P80" s="14"/>
      <c r="Q80" s="14"/>
      <c r="R80" s="14"/>
      <c r="S80" s="14"/>
      <c r="T80" s="14"/>
      <c r="U80" s="14"/>
      <c r="V80" s="14"/>
      <c r="W80" s="14"/>
      <c r="X80" s="14"/>
      <c r="Y80" s="14"/>
      <c r="Z80" s="14"/>
    </row>
    <row r="81">
      <c r="A81" s="14"/>
      <c r="B81" s="14"/>
      <c r="C81" s="13" t="s">
        <v>285</v>
      </c>
      <c r="D81" s="14"/>
      <c r="E81" s="14"/>
      <c r="G81" s="14"/>
      <c r="H81" s="14"/>
      <c r="I81" s="14"/>
      <c r="J81" s="14"/>
      <c r="K81" s="14"/>
      <c r="L81" s="14"/>
      <c r="M81" s="14"/>
      <c r="N81" s="14"/>
      <c r="O81" s="14"/>
      <c r="P81" s="14"/>
      <c r="Q81" s="14"/>
      <c r="R81" s="14"/>
      <c r="S81" s="14"/>
      <c r="T81" s="14"/>
      <c r="U81" s="14"/>
      <c r="V81" s="14"/>
      <c r="W81" s="14"/>
      <c r="X81" s="14"/>
      <c r="Y81" s="14"/>
      <c r="Z81" s="14"/>
    </row>
    <row r="82">
      <c r="A82" s="14"/>
      <c r="B82" s="14"/>
      <c r="C82" s="13" t="s">
        <v>270</v>
      </c>
      <c r="D82" s="14"/>
      <c r="E82" s="14"/>
      <c r="G82" s="14"/>
      <c r="H82" s="14"/>
      <c r="I82" s="14"/>
      <c r="J82" s="14"/>
      <c r="K82" s="14"/>
      <c r="L82" s="14"/>
      <c r="M82" s="14"/>
      <c r="N82" s="14"/>
      <c r="O82" s="14"/>
      <c r="P82" s="14"/>
      <c r="Q82" s="14"/>
      <c r="R82" s="14"/>
      <c r="S82" s="14"/>
      <c r="T82" s="14"/>
      <c r="U82" s="14"/>
      <c r="V82" s="14"/>
      <c r="W82" s="14"/>
      <c r="X82" s="14"/>
      <c r="Y82" s="14"/>
      <c r="Z82" s="14"/>
    </row>
    <row r="83">
      <c r="A83" s="14"/>
      <c r="B83" s="14"/>
      <c r="C83" s="13" t="s">
        <v>280</v>
      </c>
      <c r="D83" s="14"/>
      <c r="E83" s="14"/>
      <c r="G83" s="14"/>
      <c r="H83" s="14"/>
      <c r="I83" s="14"/>
      <c r="J83" s="14"/>
      <c r="K83" s="14"/>
      <c r="L83" s="14"/>
      <c r="M83" s="14"/>
      <c r="N83" s="14"/>
      <c r="O83" s="14"/>
      <c r="P83" s="14"/>
      <c r="Q83" s="14"/>
      <c r="R83" s="14"/>
      <c r="S83" s="14"/>
      <c r="T83" s="14"/>
      <c r="U83" s="14"/>
      <c r="V83" s="14"/>
      <c r="W83" s="14"/>
      <c r="X83" s="14"/>
      <c r="Y83" s="14"/>
      <c r="Z83" s="14"/>
    </row>
    <row r="84">
      <c r="A84" s="14"/>
      <c r="B84" s="14"/>
      <c r="C84" s="13" t="s">
        <v>288</v>
      </c>
      <c r="D84" s="14"/>
      <c r="E84" s="14"/>
      <c r="G84" s="14"/>
      <c r="H84" s="14"/>
      <c r="I84" s="14"/>
      <c r="J84" s="14"/>
      <c r="K84" s="14"/>
      <c r="L84" s="14"/>
      <c r="M84" s="14"/>
      <c r="N84" s="14"/>
      <c r="O84" s="14"/>
      <c r="P84" s="14"/>
      <c r="Q84" s="14"/>
      <c r="R84" s="14"/>
      <c r="S84" s="14"/>
      <c r="T84" s="14"/>
      <c r="U84" s="14"/>
      <c r="V84" s="14"/>
      <c r="W84" s="14"/>
      <c r="X84" s="14"/>
      <c r="Y84" s="14"/>
      <c r="Z84" s="14"/>
    </row>
    <row r="85">
      <c r="A85" s="14"/>
      <c r="B85" s="14"/>
      <c r="C85" s="13" t="s">
        <v>269</v>
      </c>
      <c r="D85" s="14"/>
      <c r="E85" s="14"/>
      <c r="G85" s="14"/>
      <c r="H85" s="14"/>
      <c r="I85" s="14"/>
      <c r="J85" s="14"/>
      <c r="K85" s="14"/>
      <c r="L85" s="14"/>
      <c r="M85" s="14"/>
      <c r="N85" s="14"/>
      <c r="O85" s="14"/>
      <c r="P85" s="14"/>
      <c r="Q85" s="14"/>
      <c r="R85" s="14"/>
      <c r="S85" s="14"/>
      <c r="T85" s="14"/>
      <c r="U85" s="14"/>
      <c r="V85" s="14"/>
      <c r="W85" s="14"/>
      <c r="X85" s="14"/>
      <c r="Y85" s="14"/>
      <c r="Z85" s="14"/>
    </row>
    <row r="86">
      <c r="A86" s="14"/>
      <c r="B86" s="14"/>
      <c r="C86" s="13" t="s">
        <v>275</v>
      </c>
      <c r="D86" s="14"/>
      <c r="E86" s="14"/>
      <c r="G86" s="14"/>
      <c r="H86" s="14"/>
      <c r="I86" s="14"/>
      <c r="J86" s="14"/>
      <c r="K86" s="14"/>
      <c r="L86" s="14"/>
      <c r="M86" s="14"/>
      <c r="N86" s="14"/>
      <c r="O86" s="14"/>
      <c r="P86" s="14"/>
      <c r="Q86" s="14"/>
      <c r="R86" s="14"/>
      <c r="S86" s="14"/>
      <c r="T86" s="14"/>
      <c r="U86" s="14"/>
      <c r="V86" s="14"/>
      <c r="W86" s="14"/>
      <c r="X86" s="14"/>
      <c r="Y86" s="14"/>
      <c r="Z86" s="14"/>
    </row>
    <row r="87">
      <c r="A87" s="14"/>
      <c r="B87" s="14"/>
      <c r="C87" s="13" t="s">
        <v>271</v>
      </c>
      <c r="D87" s="14"/>
      <c r="E87" s="14"/>
      <c r="G87" s="14"/>
      <c r="H87" s="14"/>
      <c r="I87" s="14"/>
      <c r="J87" s="14"/>
      <c r="K87" s="14"/>
      <c r="L87" s="14"/>
      <c r="M87" s="14"/>
      <c r="N87" s="14"/>
      <c r="O87" s="14"/>
      <c r="P87" s="14"/>
      <c r="Q87" s="14"/>
      <c r="R87" s="14"/>
      <c r="S87" s="14"/>
      <c r="T87" s="14"/>
      <c r="U87" s="14"/>
      <c r="V87" s="14"/>
      <c r="W87" s="14"/>
      <c r="X87" s="14"/>
      <c r="Y87" s="14"/>
      <c r="Z87" s="14"/>
    </row>
    <row r="88">
      <c r="A88" s="14"/>
      <c r="B88" s="14"/>
      <c r="C88" s="13" t="s">
        <v>295</v>
      </c>
      <c r="D88" s="14"/>
      <c r="E88" s="14"/>
      <c r="G88" s="14"/>
      <c r="H88" s="14"/>
      <c r="I88" s="14"/>
      <c r="J88" s="14"/>
      <c r="K88" s="14"/>
      <c r="L88" s="14"/>
      <c r="M88" s="14"/>
      <c r="N88" s="14"/>
      <c r="O88" s="14"/>
      <c r="P88" s="14"/>
      <c r="Q88" s="14"/>
      <c r="R88" s="14"/>
      <c r="S88" s="14"/>
      <c r="T88" s="14"/>
      <c r="U88" s="14"/>
      <c r="V88" s="14"/>
      <c r="W88" s="14"/>
      <c r="X88" s="14"/>
      <c r="Y88" s="14"/>
      <c r="Z88" s="14"/>
    </row>
    <row r="89">
      <c r="A89" s="14"/>
      <c r="B89" s="14"/>
      <c r="C89" s="15" t="s">
        <v>276</v>
      </c>
      <c r="D89" s="14"/>
      <c r="E89" s="14"/>
      <c r="G89" s="14"/>
      <c r="H89" s="14"/>
      <c r="I89" s="14"/>
      <c r="J89" s="14"/>
      <c r="K89" s="14"/>
      <c r="L89" s="14"/>
      <c r="M89" s="14"/>
      <c r="N89" s="14"/>
      <c r="O89" s="14"/>
      <c r="P89" s="14"/>
      <c r="Q89" s="14"/>
      <c r="R89" s="14"/>
      <c r="S89" s="14"/>
      <c r="T89" s="14"/>
      <c r="U89" s="14"/>
      <c r="V89" s="14"/>
      <c r="W89" s="14"/>
      <c r="X89" s="14"/>
      <c r="Y89" s="14"/>
      <c r="Z89" s="14"/>
    </row>
    <row r="90">
      <c r="A90" s="14"/>
      <c r="B90" s="14"/>
      <c r="C90" s="13" t="s">
        <v>266</v>
      </c>
      <c r="D90" s="14"/>
      <c r="E90" s="14"/>
      <c r="G90" s="14"/>
      <c r="H90" s="14"/>
      <c r="I90" s="14"/>
      <c r="J90" s="14"/>
      <c r="K90" s="14"/>
      <c r="L90" s="14"/>
      <c r="M90" s="14"/>
      <c r="N90" s="14"/>
      <c r="O90" s="14"/>
      <c r="P90" s="14"/>
      <c r="Q90" s="14"/>
      <c r="R90" s="14"/>
      <c r="S90" s="14"/>
      <c r="T90" s="14"/>
      <c r="U90" s="14"/>
      <c r="V90" s="14"/>
      <c r="W90" s="14"/>
      <c r="X90" s="14"/>
      <c r="Y90" s="14"/>
      <c r="Z90" s="14"/>
    </row>
    <row r="91">
      <c r="A91" s="14"/>
      <c r="B91" s="14"/>
      <c r="C91" s="13" t="s">
        <v>64</v>
      </c>
      <c r="D91" s="14"/>
      <c r="E91" s="14"/>
      <c r="G91" s="14"/>
      <c r="H91" s="14"/>
      <c r="I91" s="14"/>
      <c r="J91" s="14"/>
      <c r="K91" s="14"/>
      <c r="L91" s="14"/>
      <c r="M91" s="14"/>
      <c r="N91" s="14"/>
      <c r="O91" s="14"/>
      <c r="P91" s="14"/>
      <c r="Q91" s="14"/>
      <c r="R91" s="14"/>
      <c r="S91" s="14"/>
      <c r="T91" s="14"/>
      <c r="U91" s="14"/>
      <c r="V91" s="14"/>
      <c r="W91" s="14"/>
      <c r="X91" s="14"/>
      <c r="Y91" s="14"/>
      <c r="Z91" s="14"/>
    </row>
    <row r="92">
      <c r="A92" s="14"/>
      <c r="B92" s="14"/>
      <c r="C92" s="13" t="s">
        <v>291</v>
      </c>
      <c r="D92" s="14"/>
      <c r="E92" s="14"/>
      <c r="G92" s="14"/>
      <c r="H92" s="14"/>
      <c r="I92" s="14"/>
      <c r="J92" s="14"/>
      <c r="K92" s="14"/>
      <c r="L92" s="14"/>
      <c r="M92" s="14"/>
      <c r="N92" s="14"/>
      <c r="O92" s="14"/>
      <c r="P92" s="14"/>
      <c r="Q92" s="14"/>
      <c r="R92" s="14"/>
      <c r="S92" s="14"/>
      <c r="T92" s="14"/>
      <c r="U92" s="14"/>
      <c r="V92" s="14"/>
      <c r="W92" s="14"/>
      <c r="X92" s="14"/>
      <c r="Y92" s="14"/>
      <c r="Z92" s="14"/>
    </row>
    <row r="93">
      <c r="A93" s="14"/>
      <c r="B93" s="14"/>
      <c r="C93" s="13" t="s">
        <v>284</v>
      </c>
      <c r="D93" s="14"/>
      <c r="E93" s="14"/>
      <c r="G93" s="14"/>
      <c r="H93" s="14"/>
      <c r="I93" s="14"/>
      <c r="J93" s="14"/>
      <c r="K93" s="14"/>
      <c r="L93" s="14"/>
      <c r="M93" s="14"/>
      <c r="N93" s="14"/>
      <c r="O93" s="14"/>
      <c r="P93" s="14"/>
      <c r="Q93" s="14"/>
      <c r="R93" s="14"/>
      <c r="S93" s="14"/>
      <c r="T93" s="14"/>
      <c r="U93" s="14"/>
      <c r="V93" s="14"/>
      <c r="W93" s="14"/>
      <c r="X93" s="14"/>
      <c r="Y93" s="14"/>
      <c r="Z93" s="14"/>
    </row>
    <row r="94">
      <c r="A94" s="14"/>
      <c r="B94" s="14"/>
      <c r="C94" s="13" t="s">
        <v>26</v>
      </c>
      <c r="D94" s="14"/>
      <c r="E94" s="14"/>
      <c r="G94" s="14"/>
      <c r="H94" s="14"/>
      <c r="I94" s="14"/>
      <c r="J94" s="14"/>
      <c r="K94" s="14"/>
      <c r="L94" s="14"/>
      <c r="M94" s="14"/>
      <c r="N94" s="14"/>
      <c r="O94" s="14"/>
      <c r="P94" s="14"/>
      <c r="Q94" s="14"/>
      <c r="R94" s="14"/>
      <c r="S94" s="14"/>
      <c r="T94" s="14"/>
      <c r="U94" s="14"/>
      <c r="V94" s="14"/>
      <c r="W94" s="14"/>
      <c r="X94" s="14"/>
      <c r="Y94" s="14"/>
      <c r="Z94" s="14"/>
    </row>
    <row r="95">
      <c r="A95" s="14"/>
      <c r="B95" s="14"/>
      <c r="C95" s="13" t="s">
        <v>272</v>
      </c>
      <c r="D95" s="14"/>
      <c r="E95" s="14"/>
      <c r="G95" s="14"/>
      <c r="H95" s="14"/>
      <c r="I95" s="14"/>
      <c r="J95" s="14"/>
      <c r="K95" s="14"/>
      <c r="L95" s="14"/>
      <c r="M95" s="14"/>
      <c r="N95" s="14"/>
      <c r="O95" s="14"/>
      <c r="P95" s="14"/>
      <c r="Q95" s="14"/>
      <c r="R95" s="14"/>
      <c r="S95" s="14"/>
      <c r="T95" s="14"/>
      <c r="U95" s="14"/>
      <c r="V95" s="14"/>
      <c r="W95" s="14"/>
      <c r="X95" s="14"/>
      <c r="Y95" s="14"/>
      <c r="Z95" s="14"/>
    </row>
    <row r="96">
      <c r="A96" s="14"/>
      <c r="B96" s="14"/>
      <c r="C96" s="13" t="s">
        <v>292</v>
      </c>
      <c r="D96" s="14"/>
      <c r="E96" s="14"/>
      <c r="G96" s="14"/>
      <c r="H96" s="14"/>
      <c r="I96" s="14"/>
      <c r="J96" s="14"/>
      <c r="K96" s="14"/>
      <c r="L96" s="14"/>
      <c r="M96" s="14"/>
      <c r="N96" s="14"/>
      <c r="O96" s="14"/>
      <c r="P96" s="14"/>
      <c r="Q96" s="14"/>
      <c r="R96" s="14"/>
      <c r="S96" s="14"/>
      <c r="T96" s="14"/>
      <c r="U96" s="14"/>
      <c r="V96" s="14"/>
      <c r="W96" s="14"/>
      <c r="X96" s="14"/>
      <c r="Y96" s="14"/>
      <c r="Z96" s="14"/>
    </row>
    <row r="97">
      <c r="A97" s="14"/>
      <c r="B97" s="14"/>
      <c r="C97" s="13" t="s">
        <v>286</v>
      </c>
      <c r="D97" s="14"/>
      <c r="E97" s="14"/>
      <c r="G97" s="14"/>
      <c r="H97" s="14"/>
      <c r="I97" s="14"/>
      <c r="J97" s="14"/>
      <c r="K97" s="14"/>
      <c r="L97" s="14"/>
      <c r="M97" s="14"/>
      <c r="N97" s="14"/>
      <c r="O97" s="14"/>
      <c r="P97" s="14"/>
      <c r="Q97" s="14"/>
      <c r="R97" s="14"/>
      <c r="S97" s="14"/>
      <c r="T97" s="14"/>
      <c r="U97" s="14"/>
      <c r="V97" s="14"/>
      <c r="W97" s="14"/>
      <c r="X97" s="14"/>
      <c r="Y97" s="14"/>
      <c r="Z97" s="14"/>
    </row>
    <row r="98">
      <c r="A98" s="14"/>
      <c r="B98" s="14"/>
      <c r="C98" s="13" t="s">
        <v>287</v>
      </c>
      <c r="D98" s="14"/>
      <c r="E98" s="14"/>
      <c r="G98" s="14"/>
      <c r="H98" s="14"/>
      <c r="I98" s="14"/>
      <c r="J98" s="14"/>
      <c r="K98" s="14"/>
      <c r="L98" s="14"/>
      <c r="M98" s="14"/>
      <c r="N98" s="14"/>
      <c r="O98" s="14"/>
      <c r="P98" s="14"/>
      <c r="Q98" s="14"/>
      <c r="R98" s="14"/>
      <c r="S98" s="14"/>
      <c r="T98" s="14"/>
      <c r="U98" s="14"/>
      <c r="V98" s="14"/>
      <c r="W98" s="14"/>
      <c r="X98" s="14"/>
      <c r="Y98" s="14"/>
      <c r="Z98" s="14"/>
    </row>
    <row r="99">
      <c r="A99" s="14"/>
      <c r="B99" s="14"/>
      <c r="C99" s="13" t="s">
        <v>124</v>
      </c>
      <c r="D99" s="14"/>
      <c r="E99" s="14"/>
      <c r="G99" s="14"/>
      <c r="H99" s="14"/>
      <c r="I99" s="14"/>
      <c r="J99" s="14"/>
      <c r="K99" s="14"/>
      <c r="L99" s="14"/>
      <c r="M99" s="14"/>
      <c r="N99" s="14"/>
      <c r="O99" s="14"/>
      <c r="P99" s="14"/>
      <c r="Q99" s="14"/>
      <c r="R99" s="14"/>
      <c r="S99" s="14"/>
      <c r="T99" s="14"/>
      <c r="U99" s="14"/>
      <c r="V99" s="14"/>
      <c r="W99" s="14"/>
      <c r="X99" s="14"/>
      <c r="Y99" s="14"/>
      <c r="Z99" s="14"/>
    </row>
    <row r="100">
      <c r="A100" s="14"/>
      <c r="B100" s="14"/>
      <c r="C100" s="13" t="s">
        <v>283</v>
      </c>
      <c r="D100" s="14"/>
      <c r="E100" s="14"/>
      <c r="G100" s="14"/>
      <c r="H100" s="14"/>
      <c r="I100" s="14"/>
      <c r="J100" s="14"/>
      <c r="K100" s="14"/>
      <c r="L100" s="14"/>
      <c r="M100" s="14"/>
      <c r="N100" s="14"/>
      <c r="O100" s="14"/>
      <c r="P100" s="14"/>
      <c r="Q100" s="14"/>
      <c r="R100" s="14"/>
      <c r="S100" s="14"/>
      <c r="T100" s="14"/>
      <c r="U100" s="14"/>
      <c r="V100" s="14"/>
      <c r="W100" s="14"/>
      <c r="X100" s="14"/>
      <c r="Y100" s="14"/>
      <c r="Z100" s="14"/>
    </row>
    <row r="101">
      <c r="A101" s="14"/>
      <c r="B101" s="14"/>
      <c r="D101" s="14"/>
      <c r="E101" s="14"/>
      <c r="G101" s="14"/>
      <c r="H101" s="14"/>
      <c r="I101" s="14"/>
      <c r="J101" s="14"/>
      <c r="K101" s="14"/>
      <c r="L101" s="14"/>
      <c r="M101" s="14"/>
      <c r="N101" s="14"/>
      <c r="O101" s="14"/>
      <c r="P101" s="14"/>
      <c r="Q101" s="14"/>
      <c r="R101" s="14"/>
      <c r="S101" s="14"/>
      <c r="T101" s="14"/>
      <c r="U101" s="14"/>
      <c r="V101" s="14"/>
      <c r="W101" s="14"/>
      <c r="X101" s="14"/>
      <c r="Y101" s="14"/>
      <c r="Z101" s="14"/>
    </row>
    <row r="102">
      <c r="A102" s="14"/>
      <c r="B102" s="14"/>
      <c r="C102" s="14"/>
      <c r="D102" s="14"/>
      <c r="E102" s="14"/>
      <c r="F102" s="13"/>
      <c r="G102" s="14"/>
      <c r="H102" s="14"/>
      <c r="I102" s="14"/>
      <c r="J102" s="14"/>
      <c r="K102" s="14"/>
      <c r="L102" s="14"/>
      <c r="M102" s="14"/>
      <c r="N102" s="14"/>
      <c r="O102" s="14"/>
      <c r="P102" s="14"/>
      <c r="Q102" s="14"/>
      <c r="R102" s="14"/>
      <c r="S102" s="14"/>
      <c r="T102" s="14"/>
      <c r="U102" s="14"/>
      <c r="V102" s="14"/>
      <c r="W102" s="14"/>
      <c r="X102" s="14"/>
      <c r="Y102" s="14"/>
      <c r="Z102" s="14"/>
    </row>
    <row r="103">
      <c r="A103" s="14"/>
      <c r="B103" s="14"/>
      <c r="C103" s="14"/>
      <c r="D103" s="14"/>
      <c r="E103" s="14"/>
      <c r="F103" s="13"/>
      <c r="G103" s="14"/>
      <c r="H103" s="14"/>
      <c r="I103" s="14"/>
      <c r="J103" s="14"/>
      <c r="K103" s="14"/>
      <c r="L103" s="14"/>
      <c r="M103" s="14"/>
      <c r="N103" s="14"/>
      <c r="O103" s="14"/>
      <c r="P103" s="14"/>
      <c r="Q103" s="14"/>
      <c r="R103" s="14"/>
      <c r="S103" s="14"/>
      <c r="T103" s="14"/>
      <c r="U103" s="14"/>
      <c r="V103" s="14"/>
      <c r="W103" s="14"/>
      <c r="X103" s="14"/>
      <c r="Y103" s="14"/>
      <c r="Z103" s="14"/>
    </row>
    <row r="104">
      <c r="A104" s="14"/>
      <c r="B104" s="14"/>
      <c r="C104" s="14"/>
      <c r="D104" s="14"/>
      <c r="E104" s="14"/>
      <c r="F104" s="13"/>
      <c r="G104" s="14"/>
      <c r="H104" s="14"/>
      <c r="I104" s="14"/>
      <c r="J104" s="14"/>
      <c r="K104" s="14"/>
      <c r="L104" s="14"/>
      <c r="M104" s="14"/>
      <c r="N104" s="14"/>
      <c r="O104" s="14"/>
      <c r="P104" s="14"/>
      <c r="Q104" s="14"/>
      <c r="R104" s="14"/>
      <c r="S104" s="14"/>
      <c r="T104" s="14"/>
      <c r="U104" s="14"/>
      <c r="V104" s="14"/>
      <c r="W104" s="14"/>
      <c r="X104" s="14"/>
      <c r="Y104" s="14"/>
      <c r="Z104" s="14"/>
    </row>
    <row r="105">
      <c r="A105" s="14"/>
      <c r="B105" s="14"/>
      <c r="C105" s="14"/>
      <c r="D105" s="14"/>
      <c r="E105" s="14"/>
      <c r="F105" s="13"/>
      <c r="G105" s="14"/>
      <c r="H105" s="14"/>
      <c r="I105" s="14"/>
      <c r="J105" s="14"/>
      <c r="K105" s="14"/>
      <c r="L105" s="14"/>
      <c r="M105" s="14"/>
      <c r="N105" s="14"/>
      <c r="O105" s="14"/>
      <c r="P105" s="14"/>
      <c r="Q105" s="14"/>
      <c r="R105" s="14"/>
      <c r="S105" s="14"/>
      <c r="T105" s="14"/>
      <c r="U105" s="14"/>
      <c r="V105" s="14"/>
      <c r="W105" s="14"/>
      <c r="X105" s="14"/>
      <c r="Y105" s="14"/>
      <c r="Z105" s="14"/>
    </row>
    <row r="106">
      <c r="A106" s="14"/>
      <c r="B106" s="14"/>
      <c r="C106" s="14"/>
      <c r="D106" s="14"/>
      <c r="E106" s="14"/>
      <c r="F106" s="13"/>
      <c r="G106" s="14"/>
      <c r="H106" s="14"/>
      <c r="I106" s="14"/>
      <c r="J106" s="14"/>
      <c r="K106" s="14"/>
      <c r="L106" s="14"/>
      <c r="M106" s="14"/>
      <c r="N106" s="14"/>
      <c r="O106" s="14"/>
      <c r="P106" s="14"/>
      <c r="Q106" s="14"/>
      <c r="R106" s="14"/>
      <c r="S106" s="14"/>
      <c r="T106" s="14"/>
      <c r="U106" s="14"/>
      <c r="V106" s="14"/>
      <c r="W106" s="14"/>
      <c r="X106" s="14"/>
      <c r="Y106" s="14"/>
      <c r="Z106" s="14"/>
    </row>
    <row r="107">
      <c r="A107" s="14"/>
      <c r="B107" s="14"/>
      <c r="C107" s="14"/>
      <c r="D107" s="14"/>
      <c r="E107" s="14"/>
      <c r="F107" s="13"/>
      <c r="G107" s="14"/>
      <c r="H107" s="14"/>
      <c r="I107" s="14"/>
      <c r="J107" s="14"/>
      <c r="K107" s="14"/>
      <c r="L107" s="14"/>
      <c r="M107" s="14"/>
      <c r="N107" s="14"/>
      <c r="O107" s="14"/>
      <c r="P107" s="14"/>
      <c r="Q107" s="14"/>
      <c r="R107" s="14"/>
      <c r="S107" s="14"/>
      <c r="T107" s="14"/>
      <c r="U107" s="14"/>
      <c r="V107" s="14"/>
      <c r="W107" s="14"/>
      <c r="X107" s="14"/>
      <c r="Y107" s="14"/>
      <c r="Z107" s="14"/>
    </row>
    <row r="108">
      <c r="A108" s="14"/>
      <c r="B108" s="14"/>
      <c r="C108" s="14"/>
      <c r="D108" s="14"/>
      <c r="E108" s="14"/>
      <c r="F108" s="13"/>
      <c r="G108" s="14"/>
      <c r="H108" s="14"/>
      <c r="I108" s="14"/>
      <c r="J108" s="14"/>
      <c r="K108" s="14"/>
      <c r="L108" s="14"/>
      <c r="M108" s="14"/>
      <c r="N108" s="14"/>
      <c r="O108" s="14"/>
      <c r="P108" s="14"/>
      <c r="Q108" s="14"/>
      <c r="R108" s="14"/>
      <c r="S108" s="14"/>
      <c r="T108" s="14"/>
      <c r="U108" s="14"/>
      <c r="V108" s="14"/>
      <c r="W108" s="14"/>
      <c r="X108" s="14"/>
      <c r="Y108" s="14"/>
      <c r="Z108" s="14"/>
    </row>
    <row r="109">
      <c r="A109" s="14"/>
      <c r="B109" s="14"/>
      <c r="C109" s="14"/>
      <c r="D109" s="14"/>
      <c r="E109" s="14"/>
      <c r="F109" s="15"/>
      <c r="G109" s="14"/>
      <c r="H109" s="14"/>
      <c r="I109" s="14"/>
      <c r="J109" s="14"/>
      <c r="K109" s="14"/>
      <c r="L109" s="14"/>
      <c r="M109" s="14"/>
      <c r="N109" s="14"/>
      <c r="O109" s="14"/>
      <c r="P109" s="14"/>
      <c r="Q109" s="14"/>
      <c r="R109" s="14"/>
      <c r="S109" s="14"/>
      <c r="T109" s="14"/>
      <c r="U109" s="14"/>
      <c r="V109" s="14"/>
      <c r="W109" s="14"/>
      <c r="X109" s="14"/>
      <c r="Y109" s="14"/>
      <c r="Z109" s="14"/>
    </row>
    <row r="110">
      <c r="A110" s="14"/>
      <c r="B110" s="14"/>
      <c r="C110" s="14"/>
      <c r="D110" s="14"/>
      <c r="E110" s="14"/>
      <c r="F110" s="15"/>
      <c r="G110" s="14"/>
      <c r="H110" s="14"/>
      <c r="I110" s="14"/>
      <c r="J110" s="14"/>
      <c r="K110" s="14"/>
      <c r="L110" s="14"/>
      <c r="M110" s="14"/>
      <c r="N110" s="14"/>
      <c r="O110" s="14"/>
      <c r="P110" s="14"/>
      <c r="Q110" s="14"/>
      <c r="R110" s="14"/>
      <c r="S110" s="14"/>
      <c r="T110" s="14"/>
      <c r="U110" s="14"/>
      <c r="V110" s="14"/>
      <c r="W110" s="14"/>
      <c r="X110" s="14"/>
      <c r="Y110" s="14"/>
      <c r="Z110" s="14"/>
    </row>
    <row r="111">
      <c r="A111" s="14"/>
      <c r="B111" s="14"/>
      <c r="C111" s="14"/>
      <c r="D111" s="14"/>
      <c r="E111" s="14"/>
      <c r="F111" s="13"/>
      <c r="G111" s="14"/>
      <c r="H111" s="14"/>
      <c r="I111" s="14"/>
      <c r="J111" s="14"/>
      <c r="K111" s="14"/>
      <c r="L111" s="14"/>
      <c r="M111" s="14"/>
      <c r="N111" s="14"/>
      <c r="O111" s="14"/>
      <c r="P111" s="14"/>
      <c r="Q111" s="14"/>
      <c r="R111" s="14"/>
      <c r="S111" s="14"/>
      <c r="T111" s="14"/>
      <c r="U111" s="14"/>
      <c r="V111" s="14"/>
      <c r="W111" s="14"/>
      <c r="X111" s="14"/>
      <c r="Y111" s="14"/>
      <c r="Z111" s="14"/>
    </row>
    <row r="112">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c r="A113" s="14"/>
      <c r="B113" s="14"/>
      <c r="C113" s="14"/>
      <c r="D113" s="14"/>
      <c r="E113" s="14"/>
      <c r="F113" s="13"/>
      <c r="G113" s="14"/>
      <c r="H113" s="14"/>
      <c r="I113" s="14"/>
      <c r="J113" s="14"/>
      <c r="K113" s="14"/>
      <c r="L113" s="14"/>
      <c r="M113" s="14"/>
      <c r="N113" s="14"/>
      <c r="O113" s="14"/>
      <c r="P113" s="14"/>
      <c r="Q113" s="14"/>
      <c r="R113" s="14"/>
      <c r="S113" s="14"/>
      <c r="T113" s="14"/>
      <c r="U113" s="14"/>
      <c r="V113" s="14"/>
      <c r="W113" s="14"/>
      <c r="X113" s="14"/>
      <c r="Y113" s="14"/>
      <c r="Z113" s="14"/>
    </row>
    <row r="114">
      <c r="A114" s="14"/>
      <c r="B114" s="14"/>
      <c r="C114" s="14"/>
      <c r="D114" s="14"/>
      <c r="E114" s="14"/>
      <c r="F114" s="13"/>
      <c r="G114" s="14"/>
      <c r="H114" s="14"/>
      <c r="I114" s="14"/>
      <c r="J114" s="14"/>
      <c r="K114" s="14"/>
      <c r="L114" s="14"/>
      <c r="M114" s="14"/>
      <c r="N114" s="14"/>
      <c r="O114" s="14"/>
      <c r="P114" s="14"/>
      <c r="Q114" s="14"/>
      <c r="R114" s="14"/>
      <c r="S114" s="14"/>
      <c r="T114" s="14"/>
      <c r="U114" s="14"/>
      <c r="V114" s="14"/>
      <c r="W114" s="14"/>
      <c r="X114" s="14"/>
      <c r="Y114" s="14"/>
      <c r="Z114" s="14"/>
    </row>
    <row r="115">
      <c r="A115" s="14"/>
      <c r="B115" s="14"/>
      <c r="C115" s="14"/>
      <c r="D115" s="14"/>
      <c r="E115" s="14"/>
      <c r="F115" s="13"/>
      <c r="G115" s="14"/>
      <c r="H115" s="14"/>
      <c r="I115" s="14"/>
      <c r="J115" s="14"/>
      <c r="K115" s="14"/>
      <c r="L115" s="14"/>
      <c r="M115" s="14"/>
      <c r="N115" s="14"/>
      <c r="O115" s="14"/>
      <c r="P115" s="14"/>
      <c r="Q115" s="14"/>
      <c r="R115" s="14"/>
      <c r="S115" s="14"/>
      <c r="T115" s="14"/>
      <c r="U115" s="14"/>
      <c r="V115" s="14"/>
      <c r="W115" s="14"/>
      <c r="X115" s="14"/>
      <c r="Y115" s="14"/>
      <c r="Z115" s="14"/>
    </row>
    <row r="116">
      <c r="A116" s="14"/>
      <c r="B116" s="14"/>
      <c r="C116" s="14"/>
      <c r="D116" s="14"/>
      <c r="E116" s="14"/>
      <c r="F116" s="13"/>
      <c r="G116" s="14"/>
      <c r="H116" s="14"/>
      <c r="I116" s="14"/>
      <c r="J116" s="14"/>
      <c r="K116" s="14"/>
      <c r="L116" s="14"/>
      <c r="M116" s="14"/>
      <c r="N116" s="14"/>
      <c r="O116" s="14"/>
      <c r="P116" s="14"/>
      <c r="Q116" s="14"/>
      <c r="R116" s="14"/>
      <c r="S116" s="14"/>
      <c r="T116" s="14"/>
      <c r="U116" s="14"/>
      <c r="V116" s="14"/>
      <c r="W116" s="14"/>
      <c r="X116" s="14"/>
      <c r="Y116" s="14"/>
      <c r="Z116" s="14"/>
    </row>
    <row r="117">
      <c r="A117" s="14"/>
      <c r="B117" s="14"/>
      <c r="C117" s="14"/>
      <c r="D117" s="14"/>
      <c r="E117" s="14"/>
      <c r="F117" s="13"/>
      <c r="G117" s="14"/>
      <c r="H117" s="14"/>
      <c r="I117" s="14"/>
      <c r="J117" s="14"/>
      <c r="K117" s="14"/>
      <c r="L117" s="14"/>
      <c r="M117" s="14"/>
      <c r="N117" s="14"/>
      <c r="O117" s="14"/>
      <c r="P117" s="14"/>
      <c r="Q117" s="14"/>
      <c r="R117" s="14"/>
      <c r="S117" s="14"/>
      <c r="T117" s="14"/>
      <c r="U117" s="14"/>
      <c r="V117" s="14"/>
      <c r="W117" s="14"/>
      <c r="X117" s="14"/>
      <c r="Y117" s="14"/>
      <c r="Z117" s="14"/>
    </row>
    <row r="118">
      <c r="A118" s="14"/>
      <c r="B118" s="14"/>
      <c r="C118" s="14"/>
      <c r="D118" s="14"/>
      <c r="E118" s="14"/>
      <c r="F118" s="13"/>
      <c r="G118" s="14"/>
      <c r="H118" s="14"/>
      <c r="I118" s="14"/>
      <c r="J118" s="14"/>
      <c r="K118" s="14"/>
      <c r="L118" s="14"/>
      <c r="M118" s="14"/>
      <c r="N118" s="14"/>
      <c r="O118" s="14"/>
      <c r="P118" s="14"/>
      <c r="Q118" s="14"/>
      <c r="R118" s="14"/>
      <c r="S118" s="14"/>
      <c r="T118" s="14"/>
      <c r="U118" s="14"/>
      <c r="V118" s="14"/>
      <c r="W118" s="14"/>
      <c r="X118" s="14"/>
      <c r="Y118" s="14"/>
      <c r="Z118" s="14"/>
    </row>
    <row r="119">
      <c r="A119" s="14"/>
      <c r="B119" s="14"/>
      <c r="C119" s="14"/>
      <c r="D119" s="14"/>
      <c r="E119" s="14"/>
      <c r="F119" s="13"/>
      <c r="G119" s="14"/>
      <c r="H119" s="14"/>
      <c r="I119" s="14"/>
      <c r="J119" s="14"/>
      <c r="K119" s="14"/>
      <c r="L119" s="14"/>
      <c r="M119" s="14"/>
      <c r="N119" s="14"/>
      <c r="O119" s="14"/>
      <c r="P119" s="14"/>
      <c r="Q119" s="14"/>
      <c r="R119" s="14"/>
      <c r="S119" s="14"/>
      <c r="T119" s="14"/>
      <c r="U119" s="14"/>
      <c r="V119" s="14"/>
      <c r="W119" s="14"/>
      <c r="X119" s="14"/>
      <c r="Y119" s="14"/>
      <c r="Z119" s="14"/>
    </row>
    <row r="120">
      <c r="A120" s="14"/>
      <c r="B120" s="14"/>
      <c r="C120" s="14"/>
      <c r="D120" s="14"/>
      <c r="E120" s="14"/>
      <c r="F120" s="13"/>
      <c r="G120" s="14"/>
      <c r="H120" s="14"/>
      <c r="I120" s="14"/>
      <c r="J120" s="14"/>
      <c r="K120" s="14"/>
      <c r="L120" s="14"/>
      <c r="M120" s="14"/>
      <c r="N120" s="14"/>
      <c r="O120" s="14"/>
      <c r="P120" s="14"/>
      <c r="Q120" s="14"/>
      <c r="R120" s="14"/>
      <c r="S120" s="14"/>
      <c r="T120" s="14"/>
      <c r="U120" s="14"/>
      <c r="V120" s="14"/>
      <c r="W120" s="14"/>
      <c r="X120" s="14"/>
      <c r="Y120" s="14"/>
      <c r="Z120" s="14"/>
    </row>
    <row r="121">
      <c r="A121" s="14"/>
      <c r="B121" s="14"/>
      <c r="C121" s="14"/>
      <c r="D121" s="14"/>
      <c r="E121" s="14"/>
      <c r="F121" s="13"/>
      <c r="G121" s="14"/>
      <c r="H121" s="14"/>
      <c r="I121" s="14"/>
      <c r="J121" s="14"/>
      <c r="K121" s="14"/>
      <c r="L121" s="14"/>
      <c r="M121" s="14"/>
      <c r="N121" s="14"/>
      <c r="O121" s="14"/>
      <c r="P121" s="14"/>
      <c r="Q121" s="14"/>
      <c r="R121" s="14"/>
      <c r="S121" s="14"/>
      <c r="T121" s="14"/>
      <c r="U121" s="14"/>
      <c r="V121" s="14"/>
      <c r="W121" s="14"/>
      <c r="X121" s="14"/>
      <c r="Y121" s="14"/>
      <c r="Z121" s="14"/>
    </row>
    <row r="122">
      <c r="A122" s="14"/>
      <c r="B122" s="14"/>
      <c r="C122" s="14"/>
      <c r="D122" s="14"/>
      <c r="E122" s="14"/>
      <c r="F122" s="13"/>
      <c r="G122" s="14"/>
      <c r="H122" s="14"/>
      <c r="I122" s="14"/>
      <c r="J122" s="14"/>
      <c r="K122" s="14"/>
      <c r="L122" s="14"/>
      <c r="M122" s="14"/>
      <c r="N122" s="14"/>
      <c r="O122" s="14"/>
      <c r="P122" s="14"/>
      <c r="Q122" s="14"/>
      <c r="R122" s="14"/>
      <c r="S122" s="14"/>
      <c r="T122" s="14"/>
      <c r="U122" s="14"/>
      <c r="V122" s="14"/>
      <c r="W122" s="14"/>
      <c r="X122" s="14"/>
      <c r="Y122" s="14"/>
      <c r="Z122" s="14"/>
    </row>
    <row r="123">
      <c r="A123" s="14"/>
      <c r="B123" s="14"/>
      <c r="C123" s="14"/>
      <c r="D123" s="14"/>
      <c r="E123" s="14"/>
      <c r="F123" s="13"/>
      <c r="G123" s="14"/>
      <c r="H123" s="14"/>
      <c r="I123" s="14"/>
      <c r="J123" s="14"/>
      <c r="K123" s="14"/>
      <c r="L123" s="14"/>
      <c r="M123" s="14"/>
      <c r="N123" s="14"/>
      <c r="O123" s="14"/>
      <c r="P123" s="14"/>
      <c r="Q123" s="14"/>
      <c r="R123" s="14"/>
      <c r="S123" s="14"/>
      <c r="T123" s="14"/>
      <c r="U123" s="14"/>
      <c r="V123" s="14"/>
      <c r="W123" s="14"/>
      <c r="X123" s="14"/>
      <c r="Y123" s="14"/>
      <c r="Z123" s="14"/>
    </row>
    <row r="124">
      <c r="A124" s="14"/>
      <c r="B124" s="14"/>
      <c r="C124" s="14"/>
      <c r="D124" s="14"/>
      <c r="E124" s="14"/>
      <c r="F124" s="13"/>
      <c r="G124" s="14"/>
      <c r="H124" s="14"/>
      <c r="I124" s="14"/>
      <c r="J124" s="14"/>
      <c r="K124" s="14"/>
      <c r="L124" s="14"/>
      <c r="M124" s="14"/>
      <c r="N124" s="14"/>
      <c r="O124" s="14"/>
      <c r="P124" s="14"/>
      <c r="Q124" s="14"/>
      <c r="R124" s="14"/>
      <c r="S124" s="14"/>
      <c r="T124" s="14"/>
      <c r="U124" s="14"/>
      <c r="V124" s="14"/>
      <c r="W124" s="14"/>
      <c r="X124" s="14"/>
      <c r="Y124" s="14"/>
      <c r="Z124" s="14"/>
    </row>
    <row r="125">
      <c r="A125" s="14"/>
      <c r="B125" s="14"/>
      <c r="C125" s="14"/>
      <c r="D125" s="14"/>
      <c r="E125" s="14"/>
      <c r="F125" s="13"/>
      <c r="G125" s="14"/>
      <c r="H125" s="14"/>
      <c r="I125" s="14"/>
      <c r="J125" s="14"/>
      <c r="K125" s="14"/>
      <c r="L125" s="14"/>
      <c r="M125" s="14"/>
      <c r="N125" s="14"/>
      <c r="O125" s="14"/>
      <c r="P125" s="14"/>
      <c r="Q125" s="14"/>
      <c r="R125" s="14"/>
      <c r="S125" s="14"/>
      <c r="T125" s="14"/>
      <c r="U125" s="14"/>
      <c r="V125" s="14"/>
      <c r="W125" s="14"/>
      <c r="X125" s="14"/>
      <c r="Y125" s="14"/>
      <c r="Z125" s="14"/>
    </row>
    <row r="126">
      <c r="A126" s="14"/>
      <c r="B126" s="14"/>
      <c r="C126" s="14"/>
      <c r="D126" s="14"/>
      <c r="E126" s="14"/>
      <c r="F126" s="13"/>
      <c r="G126" s="14"/>
      <c r="H126" s="14"/>
      <c r="I126" s="14"/>
      <c r="J126" s="14"/>
      <c r="K126" s="14"/>
      <c r="L126" s="14"/>
      <c r="M126" s="14"/>
      <c r="N126" s="14"/>
      <c r="O126" s="14"/>
      <c r="P126" s="14"/>
      <c r="Q126" s="14"/>
      <c r="R126" s="14"/>
      <c r="S126" s="14"/>
      <c r="T126" s="14"/>
      <c r="U126" s="14"/>
      <c r="V126" s="14"/>
      <c r="W126" s="14"/>
      <c r="X126" s="14"/>
      <c r="Y126" s="14"/>
      <c r="Z126" s="14"/>
    </row>
    <row r="127">
      <c r="A127" s="14"/>
      <c r="B127" s="14"/>
      <c r="C127" s="14"/>
      <c r="D127" s="14"/>
      <c r="E127" s="14"/>
      <c r="F127" s="13"/>
      <c r="G127" s="14"/>
      <c r="H127" s="14"/>
      <c r="I127" s="14"/>
      <c r="J127" s="14"/>
      <c r="K127" s="14"/>
      <c r="L127" s="14"/>
      <c r="M127" s="14"/>
      <c r="N127" s="14"/>
      <c r="O127" s="14"/>
      <c r="P127" s="14"/>
      <c r="Q127" s="14"/>
      <c r="R127" s="14"/>
      <c r="S127" s="14"/>
      <c r="T127" s="14"/>
      <c r="U127" s="14"/>
      <c r="V127" s="14"/>
      <c r="W127" s="14"/>
      <c r="X127" s="14"/>
      <c r="Y127" s="14"/>
      <c r="Z127" s="14"/>
    </row>
    <row r="128">
      <c r="A128" s="14"/>
      <c r="B128" s="14"/>
      <c r="C128" s="14"/>
      <c r="D128" s="14"/>
      <c r="E128" s="14"/>
      <c r="F128" s="13"/>
      <c r="G128" s="14"/>
      <c r="H128" s="14"/>
      <c r="I128" s="14"/>
      <c r="J128" s="14"/>
      <c r="K128" s="14"/>
      <c r="L128" s="14"/>
      <c r="M128" s="14"/>
      <c r="N128" s="14"/>
      <c r="O128" s="14"/>
      <c r="P128" s="14"/>
      <c r="Q128" s="14"/>
      <c r="R128" s="14"/>
      <c r="S128" s="14"/>
      <c r="T128" s="14"/>
      <c r="U128" s="14"/>
      <c r="V128" s="14"/>
      <c r="W128" s="14"/>
      <c r="X128" s="14"/>
      <c r="Y128" s="14"/>
      <c r="Z128" s="14"/>
    </row>
    <row r="129">
      <c r="A129" s="14"/>
      <c r="B129" s="14"/>
      <c r="C129" s="14"/>
      <c r="D129" s="14"/>
      <c r="E129" s="14"/>
      <c r="F129" s="13"/>
      <c r="G129" s="14"/>
      <c r="H129" s="14"/>
      <c r="I129" s="14"/>
      <c r="J129" s="14"/>
      <c r="K129" s="14"/>
      <c r="L129" s="14"/>
      <c r="M129" s="14"/>
      <c r="N129" s="14"/>
      <c r="O129" s="14"/>
      <c r="P129" s="14"/>
      <c r="Q129" s="14"/>
      <c r="R129" s="14"/>
      <c r="S129" s="14"/>
      <c r="T129" s="14"/>
      <c r="U129" s="14"/>
      <c r="V129" s="14"/>
      <c r="W129" s="14"/>
      <c r="X129" s="14"/>
      <c r="Y129" s="14"/>
      <c r="Z129" s="14"/>
    </row>
    <row r="130">
      <c r="A130" s="14"/>
      <c r="B130" s="14"/>
      <c r="C130" s="14"/>
      <c r="D130" s="14"/>
      <c r="E130" s="14"/>
      <c r="F130" s="13"/>
      <c r="G130" s="14"/>
      <c r="H130" s="14"/>
      <c r="I130" s="14"/>
      <c r="J130" s="14"/>
      <c r="K130" s="14"/>
      <c r="L130" s="14"/>
      <c r="M130" s="14"/>
      <c r="N130" s="14"/>
      <c r="O130" s="14"/>
      <c r="P130" s="14"/>
      <c r="Q130" s="14"/>
      <c r="R130" s="14"/>
      <c r="S130" s="14"/>
      <c r="T130" s="14"/>
      <c r="U130" s="14"/>
      <c r="V130" s="14"/>
      <c r="W130" s="14"/>
      <c r="X130" s="14"/>
      <c r="Y130" s="14"/>
      <c r="Z130" s="14"/>
    </row>
    <row r="131">
      <c r="A131" s="14"/>
      <c r="B131" s="14"/>
      <c r="C131" s="14"/>
      <c r="D131" s="14"/>
      <c r="E131" s="14"/>
      <c r="F131" s="13"/>
      <c r="G131" s="14"/>
      <c r="H131" s="14"/>
      <c r="I131" s="14"/>
      <c r="J131" s="14"/>
      <c r="K131" s="14"/>
      <c r="L131" s="14"/>
      <c r="M131" s="14"/>
      <c r="N131" s="14"/>
      <c r="O131" s="14"/>
      <c r="P131" s="14"/>
      <c r="Q131" s="14"/>
      <c r="R131" s="14"/>
      <c r="S131" s="14"/>
      <c r="T131" s="14"/>
      <c r="U131" s="14"/>
      <c r="V131" s="14"/>
      <c r="W131" s="14"/>
      <c r="X131" s="14"/>
      <c r="Y131" s="14"/>
      <c r="Z131" s="14"/>
    </row>
    <row r="132">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sheetData>
  <drawing r:id="rId1"/>
</worksheet>
</file>