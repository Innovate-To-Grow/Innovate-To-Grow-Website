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I2G2-WEB" sheetId="1" r:id="rId5"/>
    <sheet state="visible" name="2025-I2G2-Tracks" sheetId="2" r:id="rId6"/>
    <sheet state="visible" name="CE" sheetId="3" r:id="rId7"/>
    <sheet state="visible" name="Students" sheetId="4" r:id="rId8"/>
  </sheets>
  <definedNames/>
  <calcPr/>
</workbook>
</file>

<file path=xl/sharedStrings.xml><?xml version="1.0" encoding="utf-8"?>
<sst xmlns="http://schemas.openxmlformats.org/spreadsheetml/2006/main" count="769" uniqueCount="443">
  <si>
    <t>#</t>
  </si>
  <si>
    <t>Order</t>
  </si>
  <si>
    <t>Year-Semester</t>
  </si>
  <si>
    <t>Class</t>
  </si>
  <si>
    <t>Team #</t>
  </si>
  <si>
    <t>Team Name</t>
  </si>
  <si>
    <t>Project Title</t>
  </si>
  <si>
    <t>Organization</t>
  </si>
  <si>
    <t>Industry</t>
  </si>
  <si>
    <t>Abstract</t>
  </si>
  <si>
    <t>Student Names</t>
  </si>
  <si>
    <t xml:space="preserve">Name: - Title: </t>
  </si>
  <si>
    <t>(spring)</t>
  </si>
  <si>
    <t>2026-1 Spring</t>
  </si>
  <si>
    <t>CAP</t>
  </si>
  <si>
    <t>CAP-101</t>
  </si>
  <si>
    <t>ASHRAE HVAC Design Calculations</t>
  </si>
  <si>
    <t>ASHRAE - Sierra Delta</t>
  </si>
  <si>
    <t>Energy</t>
  </si>
  <si>
    <t>Abstract-101</t>
  </si>
  <si>
    <t>Students-101</t>
  </si>
  <si>
    <t>CAP-102</t>
  </si>
  <si>
    <t>Blanched Almond Optimization Project</t>
  </si>
  <si>
    <t>Blue Diamond Growers</t>
  </si>
  <si>
    <t>Food Processing</t>
  </si>
  <si>
    <t>Abstract-102</t>
  </si>
  <si>
    <t>Students-102</t>
  </si>
  <si>
    <t>CAP-103</t>
  </si>
  <si>
    <t>Bagging Bags</t>
  </si>
  <si>
    <t>Bolthouse Fresh Foods</t>
  </si>
  <si>
    <t>Abstract-103</t>
  </si>
  <si>
    <t>Students-103</t>
  </si>
  <si>
    <t>CAP-104</t>
  </si>
  <si>
    <t>Wheat Milling Smart Sensor System for Moisture and Foreign Material Detection</t>
  </si>
  <si>
    <t>Bowles Farming Company</t>
  </si>
  <si>
    <t>Agriculture</t>
  </si>
  <si>
    <t>Abstract-104</t>
  </si>
  <si>
    <t>Students-104</t>
  </si>
  <si>
    <t>CAP-105</t>
  </si>
  <si>
    <t>Mandarin Long Stem Solution</t>
  </si>
  <si>
    <t>Fowler Packing</t>
  </si>
  <si>
    <t>Abstract-105</t>
  </si>
  <si>
    <t>Students-105</t>
  </si>
  <si>
    <t>CAP-106</t>
  </si>
  <si>
    <t>Capping Smart Bottle</t>
  </si>
  <si>
    <t>Gallo</t>
  </si>
  <si>
    <t>Abstract-106</t>
  </si>
  <si>
    <t>Students-106</t>
  </si>
  <si>
    <t>CAP-107</t>
  </si>
  <si>
    <t>Rotary Joint Testing System</t>
  </si>
  <si>
    <t>Abstract-107</t>
  </si>
  <si>
    <t>Students-107</t>
  </si>
  <si>
    <t>CAP-108</t>
  </si>
  <si>
    <t>Propane-Powered See-and-Flame Weed Control System for Organic Agave Using the Farm‑NG Amiga Platform</t>
  </si>
  <si>
    <t>Hunt Farms</t>
  </si>
  <si>
    <t>Abstract-108</t>
  </si>
  <si>
    <t>Students-108</t>
  </si>
  <si>
    <t>CAP-109</t>
  </si>
  <si>
    <t>The Lift</t>
  </si>
  <si>
    <t>Intelligence DX</t>
  </si>
  <si>
    <t>Health Care</t>
  </si>
  <si>
    <t>Abstract-109</t>
  </si>
  <si>
    <t>Students-109</t>
  </si>
  <si>
    <t>CAP-110</t>
  </si>
  <si>
    <t>Robotic Leaf Clip Sensor</t>
  </si>
  <si>
    <t>IoT4Ag</t>
  </si>
  <si>
    <t>Abstract-110</t>
  </si>
  <si>
    <t>Students-110</t>
  </si>
  <si>
    <t>CAP-111</t>
  </si>
  <si>
    <t>In-Air Drop Encapsulation Apparatus - "Shower-Head" Development</t>
  </si>
  <si>
    <t>Lawrence Livermore National Laboratory</t>
  </si>
  <si>
    <t>Government</t>
  </si>
  <si>
    <t>Abstract-111</t>
  </si>
  <si>
    <t>Students-111</t>
  </si>
  <si>
    <t>CAP-112</t>
  </si>
  <si>
    <t>Abstract-112</t>
  </si>
  <si>
    <t>Students-112</t>
  </si>
  <si>
    <t>CAP-113</t>
  </si>
  <si>
    <t>Full Bottle Orientation</t>
  </si>
  <si>
    <t>Lyons Magnus</t>
  </si>
  <si>
    <t>Abstract-113</t>
  </si>
  <si>
    <t>Students-113</t>
  </si>
  <si>
    <t>CAP-114</t>
  </si>
  <si>
    <t>Spinal Mapping Diagnosis</t>
  </si>
  <si>
    <t>OrthoSpine Advance Health, Inc.</t>
  </si>
  <si>
    <t>Abstract-114</t>
  </si>
  <si>
    <t>Students-114</t>
  </si>
  <si>
    <t>CAP-115</t>
  </si>
  <si>
    <t>AutoSpinal Insertor</t>
  </si>
  <si>
    <t>Abstract-115</t>
  </si>
  <si>
    <t>Students-115</t>
  </si>
  <si>
    <t>CAP-116</t>
  </si>
  <si>
    <t>Transplanter Simulator  to coach New Operators</t>
  </si>
  <si>
    <t>The Morning Star Company</t>
  </si>
  <si>
    <t>Abstract-116</t>
  </si>
  <si>
    <t>Students-116</t>
  </si>
  <si>
    <t>CAP-117</t>
  </si>
  <si>
    <t>Battery Workforce Challenge - Phase 3</t>
  </si>
  <si>
    <t>UC Merced Battery Workforce Challenge</t>
  </si>
  <si>
    <t>Education</t>
  </si>
  <si>
    <t>Abstract-117</t>
  </si>
  <si>
    <t>Students-117</t>
  </si>
  <si>
    <t>CAP-118</t>
  </si>
  <si>
    <t>High-Resolution Sensing Platform Using the Farm‑NG Amiga Robot</t>
  </si>
  <si>
    <t>UC Merced Experimental Farm</t>
  </si>
  <si>
    <t>Abstract-118</t>
  </si>
  <si>
    <t>Students-118</t>
  </si>
  <si>
    <t>CAP-119</t>
  </si>
  <si>
    <t>On Farm Crop Cooling Solution for Small Farmers</t>
  </si>
  <si>
    <t>University of California Agriculture and Natural Resources (UC ANR) Small Farms Network</t>
  </si>
  <si>
    <t>Abstract-119</t>
  </si>
  <si>
    <t>Students-119</t>
  </si>
  <si>
    <t>CAP-120</t>
  </si>
  <si>
    <t>Low-cost groundwater level/quality monitoring system</t>
  </si>
  <si>
    <t>Woodpecker Microsystems and MIUGSA</t>
  </si>
  <si>
    <t>Water</t>
  </si>
  <si>
    <t>Abstract-120</t>
  </si>
  <si>
    <t>Students-120</t>
  </si>
  <si>
    <t>CAP-121</t>
  </si>
  <si>
    <t>Distributed-Flapping Wing with Glide-Lock Mechanism</t>
  </si>
  <si>
    <t>UC Merced Aerospace</t>
  </si>
  <si>
    <t>AeroSpace</t>
  </si>
  <si>
    <t>Abstract-121</t>
  </si>
  <si>
    <t>Students-121</t>
  </si>
  <si>
    <t>CAP-122</t>
  </si>
  <si>
    <t>Smart Oxygen Delivery System: A Closed-Loop Oxygen Concentrator Controlled by Pulse Oximeter Feedback</t>
  </si>
  <si>
    <t>UC Merced BioE</t>
  </si>
  <si>
    <t>BioTech</t>
  </si>
  <si>
    <t>Abstract-122</t>
  </si>
  <si>
    <t>Students-122</t>
  </si>
  <si>
    <t>CAP-123</t>
  </si>
  <si>
    <t>Aortic Simulator for Hemodynamic Studies</t>
  </si>
  <si>
    <t>Abstract-123</t>
  </si>
  <si>
    <t>Students-123</t>
  </si>
  <si>
    <t>CAP-124</t>
  </si>
  <si>
    <t>Abstract-124</t>
  </si>
  <si>
    <t>Students-124</t>
  </si>
  <si>
    <t>CAP-125</t>
  </si>
  <si>
    <t>Quality control and quantitative characterization of drug delivery vesicles and synthetic cells</t>
  </si>
  <si>
    <t>Abstract-125</t>
  </si>
  <si>
    <t>Students-125</t>
  </si>
  <si>
    <t>2025-2 Fall</t>
  </si>
  <si>
    <t>The Smart Beetle Trap Solution</t>
  </si>
  <si>
    <t>Smart Beetle Trap</t>
  </si>
  <si>
    <t>Verdan Technology Solutions</t>
  </si>
  <si>
    <t>VerdanTech Solutions is an agricultural company that develops eco-friendly methods to improve crop yield. Carpophilus beetles are a recently identified pest species that affect the almond industry by damaging approximately 10–15% of California's almond production each year. This percentage loss represents an estimated 5.64 million USD in annual economic damage. In response, our team was tasked with creating a smart pest trap capable of attracting, counting, and capturing Carpophilus beetles. Our team began by researching different methods of luring, trapping, and sensing the presence of Carpophilus beetles before constructing an initial prototype trap. The prototype was developed using a combination of pheromone and co-attractant lures, along with the implementation of thermal imaging for detection and a programmed microcontroller to count beetles as they enter the trap. This trap is designed to prevent Carpophilus beetles from further damaging almond crops, helping save billions of USD for the almond industry by reducing annual losses. It is also intended to give farmers improved visualization of beetle population distribution across their fields, allowing them to take more informed and targeted actions.</t>
  </si>
  <si>
    <t>MJ Marcelino, Kenneth Furrer, Wendy Gomez Ambrocio</t>
  </si>
  <si>
    <t>Seam Weld Sander</t>
  </si>
  <si>
    <t>Automated Seam Weld Sander</t>
  </si>
  <si>
    <t>West-Mark</t>
  </si>
  <si>
    <t>Transportation</t>
  </si>
  <si>
    <t>West-Mark, a family-owned liquid transportation equipment manufacturer operating since 1967, sought to update their manufacturing capabilities by replacing their aging grinding equipment with a more effective solution. The previous setup required two distinct machines for grinding and polishing, which were costly to maintain and prone to overheating during extended operations. To address these issues, the engineering team successfully redesigned the equipment into a two-in-one weld sander that allows operators to swap between a sanding belt and a polishing wheel within a single unit. Operational testing confirmed the robustness of the design, demonstrating that the new machine maintained stable temperatures and successfully mitigated the overheating issues found in the previous equipment. This solution provided significant financial benefits, as the development of the new unit cost approximately $5,100 compared to the $17,000 required for the original setup, ultimately saving the company 70% in equipment costs.</t>
  </si>
  <si>
    <t>Waldemar Reyes, zi Li, Manuel Barron Nava</t>
  </si>
  <si>
    <t>Sterilight Busters</t>
  </si>
  <si>
    <t>Continuous sterilization via ultra high intensity UV pulse light</t>
  </si>
  <si>
    <t>The Morning Star Company processes large volumes of tomato pomace, a by-product highly susceptible to microbial growth. To enable potential reuse of the pomace in applications including human consumption, it must be sterilized to meet FDA guidelines. The company’s current sterilization system does not effectively pulse UV light to achieve this standard. To address this challenge, the Sterilight Busters team designed a vibrating delivery system that provides precise, steady control of the pomace as it moves into a UV sterilization chamber. This redesign ensures that the UV light effectively penetrates the pomace, achieving uniform sterilization. The key innovations of the system are its consistent control over pomace flow and its optimized configuration, which allows the UV light to fully contact and sterilize the material.</t>
  </si>
  <si>
    <t>Jose Ramirez Enriquez, Miguel Vazquez Aguayo, Joshua Riley, Jobanpreet Singh</t>
  </si>
  <si>
    <t>Structural Vibration Reduction</t>
  </si>
  <si>
    <t>The Perfect Cutter Drum</t>
  </si>
  <si>
    <t>Valley Tool MFG</t>
  </si>
  <si>
    <t>Other</t>
  </si>
  <si>
    <t>Valley Tool Manufacturing produces agricultural cutter drums that rely on steel pipe as the primary structural element. However, incoming pipes frequently arrive with significant ovalization, leading to imbalance, excessive vibration, and increased labor during the drum-balancing stage. This project focuses on developing a reliable and cost-effective method to restore roundness before the pipe progresses through manufacturing. Our team designed a hydraulic re-rounding system that uses a chain-anchored loading configuration capable of applying controlled forces up to 6 tons. Through stress analysis based on A53B steel yield behavior, we established the force thresholds required to induce permanent deformation and return the pipe to an acceptable circular profile. In parallel, we developed a dedicated safety stand to stabilize the pipe and protect operators during loading. A comprehensive financial evaluation covering initial investment, fabrication costs, and expected maintenance was completed to assess implementation feasibility. The final design package is intended for direct use by Valley Tool’s fabrication and assembly teams to improve drum balance, reduce vibration-related failures, and enhance workplace safety. Overall, the proposed re-rounding solution offers a practical and economically viable approach to standardizing pipe geometry and improving long-term manufacturing efficiency.</t>
  </si>
  <si>
    <t>Jatinder Sangha, Melvin Sanchez, Natalie Hernandez</t>
  </si>
  <si>
    <t>Almondo Almondo</t>
  </si>
  <si>
    <t>Horizontally Extractable Aeration System for Almond Drying</t>
  </si>
  <si>
    <t>Almondry</t>
  </si>
  <si>
    <t>Almondry is a continuous innovative agricultural project at UC Merced Innovate to Grow (I2G) focusing on addressing and solving problems in almond harvesting. Traditional on-ground almond drying generates significant dust and limits the adoption of off-ground harvesting methods. Previous capstone teams demonstrated that applying negative air pressure to almond stockpiles can dry almonds effectively, but their designs were small-scale and not suited for practical, field-ready implementation.
Building on their proof of concept, our team engineered and tested a modular, durable and fully extractable above-ground aeration system intended to support off-ground harvesting. This metal duct system uses negative air pressure to pull ambient air uniformly through an almond stockpile and includes reinforced hooks for removal after drying. We developed two pipe configurations—one with custom hole patterns and one with standard spacing—to evaluate drying performance and determine whether optimized perforation geometry is necessary. Field results showed that both configurations produced uniform drying, demonstrating that custom perforations offer no performance advantage. Because standard perforations achieve the same results at lower fabrication cost, future designs can rely on standard patterns, providing a significant engineering and manufacturing benefit.
These systems are not intended to be the final solution for off-ground almond drying; instead, they serve as enabling technologies that validate extractability, airflow performance and field practicality required for future off-ground harvesting systems. Field testing confirmed that both the pipe configurations and aeration system could be extracted after drying, with the metal duct retaining full structural integrity and the HDPE pipe experiencing minor deformation due to material flexibility and angled pulling. This work advances Almondry’s ongoing effort to provide the foundational engineering needed to deliver a complete off-ground harvesting solution for the almond industry.</t>
  </si>
  <si>
    <t>Pedro Caro, Christopher Anthony Vang</t>
  </si>
  <si>
    <t>The X - Men</t>
  </si>
  <si>
    <t>Expandable Screw</t>
  </si>
  <si>
    <t>Pain Away Solutions</t>
  </si>
  <si>
    <t>Located in Merced California for more than 10 years, OrthoSpine Advance Health Inc., is a medical clinic that specializes in neck and back treatment through surgical and non-surgical treatments. As the clinic continues to address the community's needs, one such challenge is the treatment of osteoporosis. This condition weakens the bone density and structure, leaving patients highly vulnerable to bone fractures and discomfort in daily activities. While there is no cure for osteoporosis, the condition can be supported through various medical approaches that help reinforce the weakening of the bone. OrthoSpine Advance Health Inc. aims to improve patient lives through the development of a specialized medical implant screw. Although many types of medical screws exist, the hollowing and fragility caused by osteoporosis reduce the effectiveness of traditional threads. With support from Dr. Garcia, the team’s solution is to create a screw which expands after it's been placed in the body. The expansion mechanism will increase the fixation of the screw, and provide greater compression compared to a standard screw, since compression is crucial as it keeps the bone intact. Using a 3D printer, the team produced multiple prototypes made from polylactic acid material (PLA), a biodegradable thermoplastic, to conduct durability and strength tests. These tests simulated screw insertion using materials with a density similar to osteoporotic bones, such as balsawood or plastic blocks. The results showed that the prototypes were able to withstand the force and compression of insertion, indicating that the final screw will likely be even more durable and effective.</t>
  </si>
  <si>
    <t>Tyler Tran, Steven Her, Angel Guardado, Jersson Silgado</t>
  </si>
  <si>
    <t>Let's Get Saucy</t>
  </si>
  <si>
    <t>Paste Bin Washing</t>
  </si>
  <si>
    <t>Kagome USA</t>
  </si>
  <si>
    <t xml:space="preserve">Kagome is a tomato-processing and food manufacturing company located in Los Banos.  As part of its production workflow, Kagome USA processes thousands of pounds of tomato paste each season, where 300 gallon paste bins need to be cleaned quickly and consistently between cycles. The current method relies on manual washing, which increases labor demand and causes variability in cleaning quality. This leads to operational delays, inconsistent paste removal, and lost productivity.  Our team developed a semi-automated washing system that standardizes bin cleaning while meeting food-safe material requirements. The design consists of a stainless-steel frame with fixed spray bars, controlled water delivery, and a programmable wash cycle that targets all interior surfaces of the bin. We evaluated water flow rate, spray coverage, and removal effectiveness to identify a configuration that reduces manual work while achieving reliable performance. Prototype testing verified repeatable paste removal and assessing opportunities to improve cleaning efficiency and reduce water consumption relative to the current hose-washing approach.  This system was designed to streamline Kagome’s operations by reducing cleaning time, improving consistency, and freeing staff to support higher-value tasks. The expected outcome is a safer, more efficient, and more sustainable cleaning process that supports the facility’s long-term operational goals. </t>
  </si>
  <si>
    <t>Matthew Mendoza, Oliver Htway, Nicholas Panyanouvong, Salvador Maciel Rodriguez</t>
  </si>
  <si>
    <t>Smooth Operators</t>
  </si>
  <si>
    <t>Tower Platform Pressure Optimization</t>
  </si>
  <si>
    <t>Hilmar</t>
  </si>
  <si>
    <t>Hilmar Cheese Company, located in Hilmar, CA, specializes in the production of natural cheeses for private, regional, and national brand cheese packagers. A critical issue was identified by the Hilmar team during the 640 lb. cheese block extraction process, where irregular descent of the block resulted in over and underweight cheese blocks, leading to extra rework for the tower operators. The objective of this project was to optimize pressure regulation in the tower and provide recommendations for a more efficient and automated process. Our solution involved the implementation of a counterbalance valve and an air speed regulator on the exhaust end of the tower. These components were selected for their ability to provide precise control over the pneumatic system’s air flow, resulting in an improved weight accuracy and a minimal structural change to the pre-existing system.</t>
  </si>
  <si>
    <t>Giselle Alonzo, Jonathan Camacho-Hernandez, Daniel Le</t>
  </si>
  <si>
    <t>Tank Titans</t>
  </si>
  <si>
    <t>Tank level control system</t>
  </si>
  <si>
    <t>Agrecom</t>
  </si>
  <si>
    <t>Agrecom, a chemical solutions provider specializing in pest control, sanitation, and biosecurity, is expanding its tank processing system involving deionized, process, and finished solution tanks. Previously, manual monitoring during filling led to overflows, product loss, and undetected pipe bursts. Our team designed and delivered a real-time sensing and control system using the data level logger, which powers sensors and integrates with Microsoft Azure for secure data transmission and Power BI for visualization. Level, flow, and conductivity sensors enable automated pump and valve control based on predefined conditions, with manual overrides for flexibility. Fail-safe protocols trigger alerts upon sensor failure, prompting shutdowns to prevent damage. The system supports remote access, historical data storage, and predictive maintenance. Our final deliverable is a cloud-connected monitoring and control system that reduces overflow risk, enhances product consistency, and offers scalable integration for future expansion with additional tanks, sensors, and advanced analytics.</t>
  </si>
  <si>
    <t>Cesar Rivera-Sanchez, Alejandro Trujillo, Maury Escalante, Jonathan Lopez-Hernandez</t>
  </si>
  <si>
    <t>ωSST - Sustainable Savonius Turbines</t>
  </si>
  <si>
    <t>Tunnel Wind Power</t>
  </si>
  <si>
    <t>BART</t>
  </si>
  <si>
    <t>The Bay Area Rapid Transit (BART) is the primary all-electric rail-based mass transportation provider in the Bay Area, focused on providing safe, reliable, quality, and clean transportation services for all riders. As BART’s trains accelerate and decelerate through their tunnel stations, they generate a piston effect in the airflow as the air is pushed and pulled along the tunnel, which presents a potential source of untapped clean energy for powering BART's electrical systems in accordance with their 10-Year Sustainability Action Plan. To harness this energy, we designed, modeled, and tested a cost-effective, maintainable, &amp; patron/operator-safe system that can provide electrical power to wayside equipment on BART tunnel stations. Our system comprises a Savonius (drag type) wind turbine, a power generation, storage, and distribution system that leverages the high-speed wind present in the station tunnel. This entire system is enclosed in a nacelle that is suspended above the tracks between horizontal support columns on the station ceiling, safely utilizing available space while increasing wind turbine efficiency due to the effect of the compression zone formed along the top surface of the tunnel. The system’s modeled results in Ansys FLUENT are compared with the scaled-prototype testing results to provide opportunities for system optimization and data validation, focusing on variations in power output, turbine enclosure/nacelle designs, and wind blade geometries.</t>
  </si>
  <si>
    <t>Vishruth Adoni, Yael Andujar, Alexander Perez</t>
  </si>
  <si>
    <t>Battery Workforce Challenge DEE</t>
  </si>
  <si>
    <t>Battery Workforce Challenge - Phase 2</t>
  </si>
  <si>
    <t>UC Merced</t>
  </si>
  <si>
    <t>Stellantis, a multinational automotive corporation overseeing brands such as Dodge, Jeep, and Ram, is accelerating its transition toward electric vehicles through the “Dare Forward 2030” initiative, which aims to deliver over 75 battery-electric models by 2030. In support of this broader push, the U.S. Department of Energy (DOE), in collaboration with Stellantis, established the Battery Workforce Challenge (BWC) to promote innovation and workforce development in scalable, high-efficiency battery systems.
The goal of the Battery Workforce Challenge is to build a strong, skilled U.S. workforce for the growing electric-vehicle and battery industry. It does this by giving students hands-on experience designing and building real EV battery packs, creating clear education-to-career pathways through partnerships with universities, community colleges, and vocational programs, and supporting training for new and transitioning workers. Overall, the challenge aims to strengthen U.S. competitiveness in battery manufacturing, support the clean-energy transition, and make careers in the battery industry more accessible and diverse.
Our team’s goal was to simulate the entire battery pack under various high-demand scenarios and evaluate its cooling performance. In collaboration with the Castro Lab and Merced College, we analyzed the pack’s thermal loads using tools such as CruiseM and FireM. The simulations included a Single HPPC Resistance Test, a Fast Charge Test, and a Dynamic Stress Test HVPS Performance Test. In addition to the simulation work, we contributed to designing the cold-plate pipe layout that circulates coolant to maintain stable module temperatures. Overall, this project provided a deeper understanding of the system’s thermal behavior and helped validate initial design assumptions, ensuring the current design meets performance requirements or identifying updates needed to address emerging thermal concerns.</t>
  </si>
  <si>
    <t>Enrique Rangel, Daniel Santoyo, Eduardo Rodriguez Lopez</t>
  </si>
  <si>
    <t>CSE</t>
  </si>
  <si>
    <t>NearHuman</t>
  </si>
  <si>
    <t>AI Human Approximator</t>
  </si>
  <si>
    <t>A for ABA LLC</t>
  </si>
  <si>
    <t>Software</t>
  </si>
  <si>
    <t>A for ABA LLC is a startup company that helps their clients develop behavior changes through assessments and therapy which they provide both in person and remotely. Because professionals are often too busy to be available in real time, our client asked us to build an AI Human Approximator, an agent that communicates naturally and professionally on behalf of a user, aligned with their personality and memory. Our prototype learns from a user’s micro-logs, stores them in a memory system, and combines them with large language models (LLMs) and retrieval-augmented generation (RAG) to generate context-aware responses that approximate what the user would say. In our prototype we created an AI Persona using Discord as our base program that bridges with the AI Bot and in further versions of the program this will be expanded to other Platforms such as Microsoft Teams or Discord, This tool is designed as a supplement, not a replacement, for various professional and personal resources, helping reduce repetitive or multi-location communication while maintaining personalized and consistent engagement between sessions.</t>
  </si>
  <si>
    <t>Bradd Ye, Martin Perez Rodriguez, Pavi Dhillon</t>
  </si>
  <si>
    <t>Team RAIN</t>
  </si>
  <si>
    <t>Ranch Water Status</t>
  </si>
  <si>
    <t>Agrecom is a company providing water treatment, sanitation, and pest control services to local agricultural, residential, and commercial properties. Agrecom identified a need for a secure user-specific visualization of customer data, while staying fully within the Microsoft ecosystem. The team developed a web-based customer portal, integrating Power Business Intelligence dashboards, backed by Sharepoint managed datasets. Authorized users can log in to view site-specific insights, including historic averages, water flow metrics, and chemical usage. The team emphasized a scalable foundation for future adjustments and changes to the platform.</t>
  </si>
  <si>
    <t>Andrew Hom, Ibrahim Fernandez-Borraz, Neil Khapre, Ricardo Orozco</t>
  </si>
  <si>
    <t>The Wayfinders</t>
  </si>
  <si>
    <t>Assistive Wayfinding for BART Stations</t>
  </si>
  <si>
    <t>Bay Area Rapid Transit (BART) is one of the largest transit systems in California, serving over 50 stations across five Bay Area counties. To improve accessibility for riders with disabilities, limited mobility, and to those unfamiliar with the station, our team developed an assistive mobile wayfinding application tailored to navigating complex BART stations. The application combines bus transit data with station navigation, utilizes Pedestrian Dead Reckoning (PDR) and geofence notification to guide users to platforms, exit/entrances, and connecting services. By pairing accessible interface design with navigation, this project demonstrates a scalable model for enhancing user experience and accessible mobility across complex transit systems.</t>
  </si>
  <si>
    <t>Avash Adhikari, JunZheng Lyu, Joe Samuel Rosh, Lauren Hur, Sarai Roman</t>
  </si>
  <si>
    <t>Almond Vision</t>
  </si>
  <si>
    <t>Dryer Bucket Optimization Project</t>
  </si>
  <si>
    <t xml:space="preserve">Blue Diamond Growers (BDG) is the world’s largest almond processing and marketing company. Founded in 1910, the cooperative is owned by half of the state’s almond growers who produce over 80 percent of the world almond supply. To produce roasted almonds in their Ready-To-Eat facility in Turlock, BDG utilizes industrial drying machines to carry buckets of almonds around in a loop as they dry out.These dryer buckets rely on attached metal pin supports for structural stability, and over time these pins wear down. The site’s current run-to-fail approach means issues are often only addressed once a failure occurs. This leads to unexpected repairs and extended machine downtime, leading to both product and monetary loss. For our solution, we first implemented a hardware component to collect images of the dryer in operation. We then put these images through a computer vision pipeline involving multiple vision models, resulting in an accurate assessment of the level of damage detected. Our application further provides a report of the most damaged buckets, along with the overall health of the bucket line. Our solution aims to be more efficient and quicker than a human operator in detecting damage, predicting failures before they occur. This higher accuracy and speed will result in a reduction in unexpected downtime, costly repairs, and unplanned maintenance.
</t>
  </si>
  <si>
    <t>Ian Mata, Jack Berry, Trinidad Quiroz, Viridiana Hernandez Juarez</t>
  </si>
  <si>
    <t>DebrisGuard</t>
  </si>
  <si>
    <t>Detecting Foreign Material</t>
  </si>
  <si>
    <t>Bolthouse Fresh Foods is a national leader in carrot production, serving as a grower, packer, processor, and shipper. The problem is that foreign materials on the conveyor in their Short-Cut Plant threatened to damage essential equipment, including a unique cutter and a million-dollar color sorter. The team designed a computer vision system that uses artificial intelligence to automatically spot and keep track of foreign objects like metal, plastics, aluminum cans, and woody stems, sending detection alerts to a dashboard and communicating with plant machinery to trigger removal actions. The system will be installed in the plant at Bolthouse Farms in Bakersfield and is designed to prevent equipment damage, extend machinery lifespan, and reduce operational costs.</t>
  </si>
  <si>
    <t>Justine Tejada, Matthew McCabe, Ritika Sarpal, Shyam Gupta</t>
  </si>
  <si>
    <t>TraceTech</t>
  </si>
  <si>
    <t>Traceability System for Wheat From Field to Bag</t>
  </si>
  <si>
    <t>Central Valley Grain Collaborative (CVGC) is a startup milling enterprise from the San Joaquin Valley, aiming to form infrastructure that connects farmers with the market through transparent, values-based supply chains. As part of their mission, CVGC collaborates with Bowles Farming Company—a sixth-generation family farm based in Los Banos—on building a wheat traceability system that provides buyers the transparency of the wheat process. Our team designed the traceability system for Bowles Farming Company with two applications: a web dashboard that displays the flour’s wheat batch info, and a system management app of all the tracked seeds, fields, and batches. Buyers first scan their packaged flour’s QR code, then they can view the wheat data in stages traced back to the field. Workers manage the wheat traceability system of stored data from all stages linked to the final packaged flour.</t>
  </si>
  <si>
    <t>Alex Canchola Reyes, Alice Truong, Kaelan Lovan, Zirui Liu</t>
  </si>
  <si>
    <t>Double Vision</t>
  </si>
  <si>
    <t>Bottling Change Part Wear Measuring</t>
  </si>
  <si>
    <t>E. &amp; J. Gallo Winery is the largest producer of wine in the world. Millions of wine bottles are filled and moved throughout their facilities each year. The components in equipment that moves bottles are known as “change parts” and they are subject to wearing out over time. When a change part becomes too worn or damaged, quality defects in the bottles can be introduced, leading to a loss in productivity. Our team was tasked with developing a computer vision system to reliably measure the wear on change parts and that is resistant to human errors associated with traditional measuring techniques. We developed an all-in-one part scanning application that scans change parts, determines wear within a millimeter of tolerance, and stores data for future reference and analysis.</t>
  </si>
  <si>
    <t>Aryan Keskar, Dylan Roberts, Elijah Vas Dinis, James Dyer, Prachi Trivedi</t>
  </si>
  <si>
    <t xml:space="preserve">Qurators² </t>
  </si>
  <si>
    <t>Turning Selected Results from Multiple Web Searches into Curated and Linked Information</t>
  </si>
  <si>
    <t>UC Merced I2G</t>
  </si>
  <si>
    <t>In the Software Capstone - I2G program (Innovate to Grow) we develop modules that address problems and user needs while searching and organizing information to create new knowledge.  It is very common for a user to perform searches in multiple web sites, select results across tabs, compile the results, and curate a report that explains with links such selected search results.  With state of the art technology, users open an editor and copy and paste what they select across searches:  editing references or hyperlinking may be cumbersome.  As an alternative our team developed a browser extension to allow efficient storage and curation of links from multiple browser tabs, websites, and search engines. In turn, results become a topic associated with a unique ID, URL, and hypertext editor. This tool allows all desired results to be combined into a single editable workspace, and will be helpful to users in a variety of tasks, such as literature or shopping research.</t>
  </si>
  <si>
    <t>Ami Ogbonna, Frankie Liang, Gerardo Rivera, Leonardo Gil Rojo, Wenxin Huang</t>
  </si>
  <si>
    <t>Omron Log Lords</t>
  </si>
  <si>
    <t>RoboLogs: Smart NLP-based Log Summarization Tool for Enhanced Debugging</t>
  </si>
  <si>
    <t>Omron</t>
  </si>
  <si>
    <t>Omron Robotics and Safety Technologies tasked the team with creating an efficient, reliable method for interpreting large volumes of industrial robot diagnostic logs. Manual parsing had previously led to slow investigations, inconsistent interpretations, and delayed troubleshooting. To address this challenge, the team developed RoboLogs, a full pipeline that converts unstructured log data into structured records using a custom Python parser stored in TimescaleDB for time-series analysis. An NLP-based summarizer identifies critical events and error patterns, while a clean, NiceGUI interface enables fast upload, visualization, and report generation. End-to-end system integration ultimately streamlined Omron’s debugging workflow by delivering consistent, data-driven summaries that reduce analysis time and improve operational insight.</t>
  </si>
  <si>
    <t>Chandrahas Kantheti, Chibundum Moses-Gombo, Cristian Parker, Krish Sarkar, Sinehan Ezhilmuthu</t>
  </si>
  <si>
    <t>Seal Team Sandisk</t>
  </si>
  <si>
    <t>Multilingual Chatroom &amp; Live Audio Translated Caption Software</t>
  </si>
  <si>
    <t>Sandisk Technologies</t>
  </si>
  <si>
    <t>Networking</t>
  </si>
  <si>
    <t>SanDisk, a global leader in flash memory storage, tasked our team with bridging communication gaps between their Japan and US offices in their international virtual meetings. Current localized collaboration tools often lack the real-time accuracy needed for seamless cross-language interaction, restricting active participation and understanding. To solve this, we built Relay Room, a desktop application built on React, Tauri, and Python FastAPI that utilizes OpenAI’s Whisper and smaller machine translation models to deliver high-accuracy, real-time audio transcription and translation. The app also features a multilingual chatroom with text-to-text translation and a secure SQLite database for archiving meeting records. Relay Room will be used by SanDisk employees to overcome language barriers, producing the benefit of enhanced understanding and productivity between international teams.</t>
  </si>
  <si>
    <t>Brad Huallpa, Han Ngo, Savio Jabbo, Vincent Chen</t>
  </si>
  <si>
    <t>Evil Brain Wizards</t>
  </si>
  <si>
    <t>Development and Analysis of Gamified Cognitive Testing</t>
  </si>
  <si>
    <t>Semcorel</t>
  </si>
  <si>
    <t>Semcorel's goal is to improve the lives of the elderly by ensuring the availability of good cognitive evaluation systems. Modern cognitive assessments often struggle to engage seniors, leading to inaccurate results. The existing gamified test suite addresses this by increasing engagement through interactive tasks. Our team improved this test suite by building a system that collects performance data on users and caters the experience to individual needs. We developed a secure back-end system to manage user data and generate varied test configurations, enabling reliable monitoring and analysis of cognitive test results.</t>
  </si>
  <si>
    <t>Ivan Lun, Jonathan Rivera Lopez, Porfirio Montoya, Sean Grant, Evelyn Lobach</t>
  </si>
  <si>
    <t>Tomato Forecasters</t>
  </si>
  <si>
    <t>ML Soil Moisture Forecaster</t>
  </si>
  <si>
    <t>The Morning Star Company is the largest tomato producer in the US, supplying 40% of the US market for tomato paste and diced tomatoes. Gradient Crop Yield Solutions, a company created within Morning Star from its Agriculture R&amp;D department, provides irrigation monitoring and recommendation services to growers. Gradient CYS utilize sensors to monitor critical agronomic factors, such as soil moisture, crop stress, and atmospheric conditions. The project’s objective was to support sustainable irrigation decisions by predicting soil moisture 4 - 7 days in advance using historical soil moisture, weather, and irrigation data. The team developed a machine learning model to forecast soil moisture for up to a week, including additional features such as a forecasting dashboard and a user-run training pipeline.</t>
  </si>
  <si>
    <t>Aryana Nemum, Ismiel Higareda, Jillian Xiong, Nicola Cisbani</t>
  </si>
  <si>
    <t>¡Chamba Chamba!</t>
  </si>
  <si>
    <t>Phone App for Agricultural Day Laborers in Mexico</t>
  </si>
  <si>
    <t>U.S. Consulate General Tijuana</t>
  </si>
  <si>
    <t>The U.S. Consulate General in Tijuana, Mexico aims to aid the general citizenship of their region protecting human rights, workers' rights, and other matters. A large problem in the surrounding region is workers' rights violations as many farm workers have no contracts. This allows for many types of violations to occur, including underage workers, unfair pay, no job security, and more. To help mitigate the labor problems within the region, we are launching an app that workers can use to find and apply to jobs posted by employers. The app will also document past work in order to increase job security, as well as act as a connection to government officials if workers' rights violations occur.</t>
  </si>
  <si>
    <t>Enzo Ishihara, Isaac Solis, Paul Choi, Richie Friedland</t>
  </si>
  <si>
    <t>The Kelly's</t>
  </si>
  <si>
    <t>Department of State Strategic Planning Dashboards</t>
  </si>
  <si>
    <t>U.S. Department of State Budget &amp; Planning</t>
  </si>
  <si>
    <t>The U.S. Department of State manages extensive mission data and Integrated Country Strategy (ICS) plans across bureaus and regions, but previously lacked a unified platform to analyze revisions, performance, and strategic outcomes. Our project was to develop an interactive analytics system that transforms diverse datasets, including spreadsheets, SharePoint lists, and mission forms, into clear visual insights. The team designed and implemented a consolidated Power BI data model and a suite of dashboards, including Strategic Planning, ICS Revision Activity, Region and Country Roll Ups, and additional mission performance dashboards. The resulting system enables faster analysis, improved transparency, and a scalable framework for future State Department reporting needs.</t>
  </si>
  <si>
    <t>arshdeep dhaliwal, Jesus Ceron-Gonzalez, Oscar Castellanos, Rohit kumar</t>
  </si>
  <si>
    <t>Integirty Analysis</t>
  </si>
  <si>
    <t>Niger Online Disinformation Tracker (NODT</t>
  </si>
  <si>
    <t>U.S. Embassy Niger</t>
  </si>
  <si>
    <t>Diplomacy Lab is a public-private partnership between the Department of State and more than sixty U.S. academic institutions. In the rapidly evolving digital landscape of Niger, the proliferation of incorrect information online, known as maligned information, poses a significant threat to democratic governance and stabilization. The team developed an interactive online dashboard to track maligned information online and help the embassy in Niger keep up to date.</t>
  </si>
  <si>
    <t>Emmanuel Topete, Luke Henderson, Maxwell Dong, Michael Moua</t>
  </si>
  <si>
    <t>Trailblazers</t>
  </si>
  <si>
    <t>Mariposa Trails Digital Guide App</t>
  </si>
  <si>
    <t>Mariposa Trails</t>
  </si>
  <si>
    <t>Sports</t>
  </si>
  <si>
    <t>The nonprofit organization Mariposa Trails, which preserves and encourages outdoor recreation in the foothills of the Sierra, needs a contemporary method of informing hikers. Instead of relying on physical signage which can be expensive to maintain and difficult to update, Mariposa Trails aims to provide visitors with a unique experience. In order to solve this issue, the team created a mobile application that combines text information, audio snippets, maps, and images for various locations along the trails, while operating entirely offline. The software gives Mariposa Trails a platform to grow over time and offers a clearer and more dependable tool for anyone visiting the area.</t>
  </si>
  <si>
    <t>Ajay Grewal, Diego Sandoval, Kyle Gossage, Max De Ornelas</t>
  </si>
  <si>
    <t>Quiq2Linq</t>
  </si>
  <si>
    <t>Mobile App for Networking Engagement:  Information Capture and Aggregation (Phase 2)</t>
  </si>
  <si>
    <t>At conferences and expos, an important part of effective networking is collecting and organizing information about the people you meet. Current contact management apps and customer relationship management systems have lots of features, but they can only be as good as the information that is captured. The proposed solution is an application that enables users to quickly capture and connect appropriately disparate information, before the moment is gone.  With the use of connections and notes, you can later find and understand what could have been disorganized data.  Our team, building upon the Phase 1 project, which delivered a functional web-based platform. expanded the system into a mobile application that supports more dynamic, on-the-go engagement. While retaining core features of taking notes, uploading files, taking pictures &amp; videos, and linking files, the mobile version introduces new capabilities centered on richer information capture. These include in-app note-taking, camera integration for quick image uploads, audio recording, document and file upload support, and seamless linking of files within user interactions. The app’s interface and backend have been optimized to unify these features across devices, enabling users to capture and share content more efficiently. This phase strengthens usability, interactivity, and engagement by transforming the platform into a mobile-first tool for comprehensive networking and information capture.</t>
  </si>
  <si>
    <t>Albert Ma, Blake Hoff, Brandon Quach, Daniel Sanchez, Manjot Uppal</t>
  </si>
  <si>
    <t>QuoteX</t>
  </si>
  <si>
    <t>Rapid Prototyping Services App - Phase 2</t>
  </si>
  <si>
    <t>UC Merced SoE</t>
  </si>
  <si>
    <t>Rapid Prototyping Services (RPS) at UC Merced’s School of Engineering supports classes, research groups, Capstone teams, and student clubs with fabrication services such as 3D printing and machining. However, the current workflow relies on multiple disconnected systems and manual processes to manage a single job. To address this problem, the previous Phase 1 team developed the foundation of a centralized web application that streamlines job submissions, quote generation, communication, and status tracking for both users and staff. Building on this foundation, the Phase 2 team designed and implemented the Admin Interface, which supports billing, reporting, and enhanced quote management. The team also integrated Keycloak to provide a secure and flexible authentication system that prepares the application for future compatibility with campus-wide services. These additions allow RPS to improve operational efficiency and ensure more consistent service delivery ahead of the planned Spring 2026 deployment.</t>
  </si>
  <si>
    <t>Alex Aguilar-Miramontes, Addison Chen, Liz Ramos, Parthib Roy, Rachana Ajjarapu</t>
  </si>
  <si>
    <t>CEE</t>
  </si>
  <si>
    <t>Solar Salt</t>
  </si>
  <si>
    <t>Inland brackish water desalination with solar energy</t>
  </si>
  <si>
    <t>Sustainability and Water Resources</t>
  </si>
  <si>
    <t>Increases in water demand and climate change impacts are creating a global water crisis. To combat water shortage in California’s Central Valley, the proposed solution capitalizes on the brackish groundwater and solar potential to sustainably deliver potable water to surrounding communities. The design is a Multi-Effect Distillation (MED) with Thermal Vapor Compression (TVC) partnered with Double Reverse Osmosis (RO) pretreatment, powered by Photovoltaic Panels (PV), which provides an effective solution to address freshwater scarcity. The replicable system can treat 3.5 million gallons of water per day, providing high quality water for 40 years.</t>
  </si>
  <si>
    <t>Xavier Barajas, James Flores, AJ Heard, Ximena Martinez, Sera Riley</t>
  </si>
  <si>
    <t>Clear Contact</t>
  </si>
  <si>
    <t>San Pablo Clearwell Replacement Project</t>
  </si>
  <si>
    <t>East Bay Municipal Utility District</t>
  </si>
  <si>
    <t>Water Resources</t>
  </si>
  <si>
    <t>The Clearwell is located within the East Bay Municipal Utility District EMBUD) and in significant disrepair that requires full replacement. According to documented assessments, the pre-cast concrete roof is structurally unsafe, the internal lining has deteriorated, and inadequate ventilation is contributing to corrosion risks and potential water-quality issues. The existing facility is a 5.4-million-gallon reservoir situated within a single-family residential area, adding further sensitivity to construction and operational impacts. The redesign complies with negotiable and non-negotiable constraints, including air- and noise-pollution requirements, established water-safety standards, regulatory codes, a total cost of $40 and $49 million. Additionally, the Clearwell reliably meets the service demands for EBMUD’s customer base.</t>
  </si>
  <si>
    <t>Nayerli Carbajal, Ivan Chen Joan Miramontens Navarro, Eduardo Perez</t>
  </si>
  <si>
    <t>Bobcat Builders</t>
  </si>
  <si>
    <t>UC Merced Pedestrian and Light Utility Bridge</t>
  </si>
  <si>
    <t>Strucutal Engineering</t>
  </si>
  <si>
    <t>The project focuses on designing a new pedestrian bridge at the University of California, Merced, adhering to the Americans with Disabilities Act (ADA) and American Association of State Highway and Transportation Officials (AASHTO) standards. The bridge will replace the existing deteriorating structure over the irrigation canal, which poses safety risks and fails to meet modern accessibility standards. The design features a single-span configuration, eliminating the need for piers in the canal, thus preserving its hydraulic function and minimizing environmental impact. Constructed with fiberglass-reinforced polymer (FRP) grit-top decking, steel, and Douglas Fir glulam structural members, the bridge includes ADA compliant railings and ensure accessible approaches with slopes less than 5%. A thorough structural analysis has been conducted following AASHTO Load and Resistance Factor Design (LRFD) guidelines. This design significantly improves mobility for pedestrians while aligning with UC Merced’s goals of safety, sustainability, and enhanced campus connectivity.</t>
  </si>
  <si>
    <t>Andy Alonso-Franco, Paul Bursey, Henry Espejo, Javier Maldonado</t>
  </si>
  <si>
    <t>Filter Force</t>
  </si>
  <si>
    <t>Bioretention for Removal of Microplastics in Stormwater</t>
  </si>
  <si>
    <t>Roux, Inc</t>
  </si>
  <si>
    <t>Microplastics are an emerging contaminant of concern, entering aquatic systems primarily through stormwater runoff. Rain events have shown to significantly increase microplastic abundance in riverine and estuarine waters, highlighting stormwater as a major transport pathway. Microplastic poses ecological and human-health risks by carrying toxic chemicals and accumulating up the food chain. To address this challenge the project focuses on designing an improved bioretention system capable of capturing a broader range of microplastic sizes and aims to enhance removal efficiency by refining the filtration media and overall system design The bioretention cells are composed of engineered media, and organic soils and shows promising removal performance, however effectiveness declines with smaller particles. Overall, the design demonstrates the ability to reduce microplastics during storm events and to improve stormwater quality for downstream ecosystems.</t>
  </si>
  <si>
    <t>Jesus Ignacio Enriquez, Juquan Liang, Roldini Roldan Caballero, Alejandro Garcia</t>
  </si>
  <si>
    <t>Break</t>
  </si>
  <si>
    <t>Track</t>
  </si>
  <si>
    <t>Room</t>
  </si>
  <si>
    <t>Zoom live</t>
  </si>
  <si>
    <t>Name</t>
  </si>
  <si>
    <t>Winner</t>
  </si>
  <si>
    <t>GLCR 160</t>
  </si>
  <si>
    <t>FoodTech</t>
  </si>
  <si>
    <t>CAP-203	Sterilight Busters</t>
  </si>
  <si>
    <t>GLCR 155</t>
  </si>
  <si>
    <t>Precision</t>
  </si>
  <si>
    <t>CAP-210	ωSST - Sustainable Savonius Turbines</t>
  </si>
  <si>
    <t>GLCR 150</t>
  </si>
  <si>
    <t>Environment</t>
  </si>
  <si>
    <t>CEE-501 Solar Salt</t>
  </si>
  <si>
    <t>GLCR 145</t>
  </si>
  <si>
    <t>Tim Berners-Lee</t>
  </si>
  <si>
    <t>CSE-418	QuoteX</t>
  </si>
  <si>
    <t>GLCR 140</t>
  </si>
  <si>
    <t>Grace Hopper</t>
  </si>
  <si>
    <t>CSE-403	The Wayfinders</t>
  </si>
  <si>
    <t>Award:</t>
  </si>
  <si>
    <t xml:space="preserve">F3 Innovate Engineering Award </t>
  </si>
  <si>
    <t>CAP-207        Let's Get Saucy</t>
  </si>
  <si>
    <t xml:space="preserve">F3 Innovate Software Award </t>
  </si>
  <si>
    <t>CSE-416	Trailblazers</t>
  </si>
  <si>
    <t>CE-501</t>
  </si>
  <si>
    <t>Inland brackish water desalination with solar energy - 501</t>
  </si>
  <si>
    <t>UC Merced-501</t>
  </si>
  <si>
    <t>Sustainability - 501</t>
  </si>
  <si>
    <t>Xavier Barajas</t>
  </si>
  <si>
    <t>James Flores</t>
  </si>
  <si>
    <t>AJ Heard</t>
  </si>
  <si>
    <t>Ximena Martinez</t>
  </si>
  <si>
    <t>Sera Riley</t>
  </si>
  <si>
    <t>CE-502</t>
  </si>
  <si>
    <t>San Pablo Clearwell Replacement Project - 502</t>
  </si>
  <si>
    <t>East Bay Municipal Utility District -502</t>
  </si>
  <si>
    <t>Water Resources - 502</t>
  </si>
  <si>
    <t>Nayerli Carbajal</t>
  </si>
  <si>
    <t>Ivan Chen</t>
  </si>
  <si>
    <t>Joan Miramontes Navarro</t>
  </si>
  <si>
    <t>Eduardo Perez</t>
  </si>
  <si>
    <t>CE-503</t>
  </si>
  <si>
    <t>UC Merced Pedestrian and Light Utility Bridge - 503</t>
  </si>
  <si>
    <t>UC Merced-503</t>
  </si>
  <si>
    <t>Structural Engineering - 503</t>
  </si>
  <si>
    <t>Andy Alonso-Franco</t>
  </si>
  <si>
    <t>Bobcat Builders Inc.</t>
  </si>
  <si>
    <t>Paul Bursey</t>
  </si>
  <si>
    <t>Henry Espejo</t>
  </si>
  <si>
    <t>Javier Maldonado</t>
  </si>
  <si>
    <t>CE-504</t>
  </si>
  <si>
    <t>Bioretention for Removal of Microplastics in Stormwater - 504</t>
  </si>
  <si>
    <t>Roux, INC - 504</t>
  </si>
  <si>
    <t>Sustainability - 504</t>
  </si>
  <si>
    <t>Jesus Ignacio Enriquez</t>
  </si>
  <si>
    <t>Filter Force 4</t>
  </si>
  <si>
    <t>Bioretention for Removal of Microplastics in Stormwater - 505</t>
  </si>
  <si>
    <t>Juquan Liang</t>
  </si>
  <si>
    <t>Filter Force 5</t>
  </si>
  <si>
    <t>Bioretention for Removal of Microplastics in Stormwater - 506</t>
  </si>
  <si>
    <t>Roldini Roldan Caballero</t>
  </si>
  <si>
    <t>Filter Force 6</t>
  </si>
  <si>
    <t>Bioretention for Removal of Microplastics in Stormwater - 507</t>
  </si>
  <si>
    <t>Alejandro Garcia</t>
  </si>
  <si>
    <t>Filter Force 7</t>
  </si>
  <si>
    <t>Sustainability</t>
  </si>
  <si>
    <t>Abstract-501</t>
  </si>
  <si>
    <t>Abstract-502</t>
  </si>
  <si>
    <t>Nayerli Carbajal, Ivan Chen, Joan Miramontes Navarro, Eduardo Perez</t>
  </si>
  <si>
    <t>Structural Engineering</t>
  </si>
  <si>
    <t>Abstract-503</t>
  </si>
  <si>
    <t>Roux, INC</t>
  </si>
  <si>
    <t>Abstract-504</t>
  </si>
  <si>
    <t>Students-201</t>
  </si>
  <si>
    <t>MJ Marcelino    Kenneth Furrer    Wendy Gomez Ambrocio</t>
  </si>
  <si>
    <t>Students-202</t>
  </si>
  <si>
    <t>Waldemar Reyes    zi Li    Manuel Barron Nava</t>
  </si>
  <si>
    <t>Students-203</t>
  </si>
  <si>
    <t>Jose Ramirez Enriquez    Miguel Vazquez Aguayo    Joshua Riley    Jobanpreet Singh</t>
  </si>
  <si>
    <t>Students-204</t>
  </si>
  <si>
    <t>Jatinder Sangha    Melvin Sanchez    Natalie Hernandez</t>
  </si>
  <si>
    <t>Students-205</t>
  </si>
  <si>
    <t>Pedro Caro    Christopher Anthony Vang</t>
  </si>
  <si>
    <t>Students-206</t>
  </si>
  <si>
    <t>Tyler Tran    Steven Her    Angel Guardado    Jersson Silgado</t>
  </si>
  <si>
    <t>Students-207</t>
  </si>
  <si>
    <t>Matthew Mendoza    Oliver Htway    Nicholas Panyanouvong    Salvador Maciel Rodriguez</t>
  </si>
  <si>
    <t>Students-208</t>
  </si>
  <si>
    <t>Giselle Alonzo    Jonathan Camacho-Hernandez    Daniel Le</t>
  </si>
  <si>
    <t>Students-209</t>
  </si>
  <si>
    <t>Cesar Rivera-Sanchez    Alejandro Trujillo    Maury Escalante    Jonathan Lopez-Hernandez</t>
  </si>
  <si>
    <t>Students-210</t>
  </si>
  <si>
    <t>Vishruth Adoni    Yael Andujar    Alexander Perez</t>
  </si>
  <si>
    <t>Students-211</t>
  </si>
  <si>
    <t>Enrique Rangel    Daniel Santoyo    Eduardo Rodriguez Lopez</t>
  </si>
  <si>
    <t>Students-401</t>
  </si>
  <si>
    <t>Bradd Ye    Martin Perez Rodriguez    Pavi Dhillon</t>
  </si>
  <si>
    <t>Students-402</t>
  </si>
  <si>
    <t>Andrew Hom    Ibrahim Fernandez-Borraz    Neil Khapre    Ricardo Orozco</t>
  </si>
  <si>
    <t>Students-403</t>
  </si>
  <si>
    <t>Avash Adhikari    JunZheng Lyu    Joe Samuel Rosh    Lauren Hur    Sarai Roman</t>
  </si>
  <si>
    <t>Students-404</t>
  </si>
  <si>
    <t>Ian Mata    Jack Berry    Trinidad Quiroz    Viridiana Hernandez Juarez</t>
  </si>
  <si>
    <t>Students-405</t>
  </si>
  <si>
    <t>Justine Tejada    Matthew McCabe    Ritika Sarpal    Shyam Gupta</t>
  </si>
  <si>
    <t>Students-406</t>
  </si>
  <si>
    <t>Alex Canchola Reyes    Alice Truong    Kaelan Lovan    Zirui Liu</t>
  </si>
  <si>
    <t>Students-407</t>
  </si>
  <si>
    <t>Aryan Keskar    Dylan Roberts    Elijah Vas Dinis    James Dyer    Prachi Trivedi</t>
  </si>
  <si>
    <t>Students-408</t>
  </si>
  <si>
    <t>Ami Ogbonna    Frankie Liang    Gerardo Rivera    Leonardo Gil Rojo    Wenxin Huang</t>
  </si>
  <si>
    <t>Students-409</t>
  </si>
  <si>
    <t>Chandrahas Kantheti    Chibundum Moses-Gombo    Cristian Parker    Krish Sarkar    Sinehan Ezhilmuthu</t>
  </si>
  <si>
    <t>Students-410</t>
  </si>
  <si>
    <t>Brad Huallpa    Han Ngo    Savio Jabbo    Vincent Chen</t>
  </si>
  <si>
    <t>Students-411</t>
  </si>
  <si>
    <t>Ivan Lun    Jonathan Rivera Lopez    Porfirio Montoya    Sean Grant    Evelyn Lobach</t>
  </si>
  <si>
    <t>Students-412</t>
  </si>
  <si>
    <t>Aryana Nemum    Ismiel Higareda    Jillian Xiong    Nicola Cisbani</t>
  </si>
  <si>
    <t>Students-413</t>
  </si>
  <si>
    <t>Enzo Ishihara    Isaac Solis    Paul Choi    Richie Friedland</t>
  </si>
  <si>
    <t>Students-414</t>
  </si>
  <si>
    <t>arshdeep dhaliwal    Jesus Ceron-Gonzalez    Oscar Castellanos    Rohit kumar</t>
  </si>
  <si>
    <t>Students-415</t>
  </si>
  <si>
    <t>Emmanuel Topete    Luke Henderson    Maxwell Dong    Michael Moua</t>
  </si>
  <si>
    <t>Students-416</t>
  </si>
  <si>
    <t>Ajay Grewal    Diego Sandoval    Kyle Gossage    Max De Ornelas</t>
  </si>
  <si>
    <t>Students-417</t>
  </si>
  <si>
    <t>Albert Ma    Blake Hoff    Brandon Quach    Daniel Sanchez    Manjot Uppal</t>
  </si>
  <si>
    <t>Students-418</t>
  </si>
  <si>
    <t>Alex Aguilar-Miramontes    Addison Chen    Liz Ramos    Parthib Roy    Rachana Ajjarapu</t>
  </si>
  <si>
    <t>Students-501</t>
  </si>
  <si>
    <t>Students-502</t>
  </si>
  <si>
    <t>Students-503</t>
  </si>
  <si>
    <t>Students-504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</si>
</sst>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9">
    <font>
      <sz val="10.0"/>
      <color rgb="FF000000"/>
      <name val="Arial"/>
      <scheme val="minor"/>
    </font>
    <font>
      <b/>
      <sz val="9.0"/>
      <color rgb="FF000000"/>
      <name val="Arial"/>
    </font>
    <font>
      <sz val="9.0"/>
      <color rgb="FF000000"/>
      <name val="Arial"/>
    </font>
    <font>
      <sz val="9.0"/>
      <color rgb="FF000000"/>
      <name val="Arial"/>
      <scheme val="minor"/>
    </font>
    <font>
      <sz val="9.0"/>
      <color theme="1"/>
      <name val="Arial"/>
    </font>
    <font>
      <color theme="1"/>
      <name val="Arial"/>
    </font>
    <font>
      <sz val="9.0"/>
      <color rgb="FFDAA900"/>
      <name val="Arial"/>
    </font>
    <font>
      <color theme="1"/>
      <name val="Arial"/>
      <scheme val="minor"/>
    </font>
    <font>
      <sz val="8.0"/>
      <color theme="1"/>
      <name val="Arial"/>
      <scheme val="minor"/>
    </font>
  </fonts>
  <fills count="11">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DAA900"/>
        <bgColor rgb="FFDAA900"/>
      </patternFill>
    </fill>
    <fill>
      <patternFill patternType="solid">
        <fgColor rgb="FFF1C232"/>
        <bgColor rgb="FFF1C232"/>
      </patternFill>
    </fill>
    <fill>
      <patternFill patternType="solid">
        <fgColor rgb="FFFFE599"/>
        <bgColor rgb="FFFFE599"/>
      </patternFill>
    </fill>
    <fill>
      <patternFill patternType="solid">
        <fgColor rgb="FF0091B3"/>
        <bgColor rgb="FF0091B3"/>
      </patternFill>
    </fill>
    <fill>
      <patternFill patternType="solid">
        <fgColor rgb="FF002856"/>
        <bgColor rgb="FF002856"/>
      </patternFill>
    </fill>
    <fill>
      <patternFill patternType="solid">
        <fgColor rgb="FF073763"/>
        <bgColor rgb="FF073763"/>
      </patternFill>
    </fill>
    <fill>
      <patternFill patternType="solid">
        <fgColor rgb="FF0B5394"/>
        <bgColor rgb="FF0B5394"/>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ont="1">
      <alignment horizontal="left" readingOrder="0" shrinkToFit="0" vertical="center" wrapText="0"/>
    </xf>
    <xf borderId="0" fillId="2" fontId="3" numFmtId="0" xfId="0" applyAlignment="1" applyFont="1">
      <alignment horizontal="left" readingOrder="0" shrinkToFit="0" vertical="center" wrapText="0"/>
    </xf>
    <xf borderId="0" fillId="2" fontId="4" numFmtId="0" xfId="0" applyAlignment="1" applyFont="1">
      <alignment horizontal="left" shrinkToFit="0" vertical="center" wrapText="0"/>
    </xf>
    <xf borderId="0" fillId="2" fontId="2" numFmtId="164" xfId="0" applyAlignment="1" applyFont="1" applyNumberFormat="1">
      <alignment horizontal="left" shrinkToFit="0" vertical="center" wrapText="0"/>
    </xf>
    <xf borderId="0" fillId="2" fontId="2" numFmtId="0" xfId="0" applyAlignment="1" applyFont="1">
      <alignment horizontal="left" shrinkToFit="0" vertical="center" wrapText="0"/>
    </xf>
    <xf borderId="0" fillId="2" fontId="4" numFmtId="0" xfId="0" applyAlignment="1" applyFont="1">
      <alignment horizontal="left" readingOrder="0" shrinkToFit="0" vertical="center" wrapText="0"/>
    </xf>
    <xf borderId="0" fillId="2" fontId="2" numFmtId="164" xfId="0" applyAlignment="1" applyFont="1" applyNumberFormat="1">
      <alignment horizontal="left" readingOrder="0" shrinkToFit="0" vertical="center" wrapText="0"/>
    </xf>
    <xf borderId="0" fillId="3" fontId="1" numFmtId="0" xfId="0" applyAlignment="1" applyFill="1" applyFont="1">
      <alignment horizontal="left" shrinkToFit="0" vertical="center" wrapText="0"/>
    </xf>
    <xf borderId="0" fillId="3" fontId="1"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4" fontId="4" numFmtId="0" xfId="0" applyAlignment="1" applyFill="1" applyFont="1">
      <alignment horizontal="left" shrinkToFit="0" vertical="center" wrapText="0"/>
    </xf>
    <xf borderId="0" fillId="5" fontId="4" numFmtId="0" xfId="0" applyAlignment="1" applyFill="1" applyFont="1">
      <alignment horizontal="left" readingOrder="0" shrinkToFit="0" vertical="center" wrapText="0"/>
    </xf>
    <xf borderId="0" fillId="5" fontId="4" numFmtId="0" xfId="0" applyAlignment="1" applyFont="1">
      <alignment horizontal="left" shrinkToFit="0" vertical="center" wrapText="0"/>
    </xf>
    <xf borderId="0" fillId="0" fontId="5" numFmtId="0" xfId="0" applyAlignment="1" applyFont="1">
      <alignment horizontal="left" readingOrder="0" shrinkToFit="0" vertical="center" wrapText="0"/>
    </xf>
    <xf borderId="0" fillId="6" fontId="4" numFmtId="0" xfId="0" applyAlignment="1" applyFill="1" applyFont="1">
      <alignment horizontal="left" shrinkToFit="0" vertical="center" wrapText="0"/>
    </xf>
    <xf borderId="0" fillId="7" fontId="4" numFmtId="0" xfId="0" applyAlignment="1" applyFill="1" applyFont="1">
      <alignment horizontal="left" shrinkToFit="0" vertical="center" wrapText="0"/>
    </xf>
    <xf borderId="0" fillId="7" fontId="4" numFmtId="0" xfId="0" applyAlignment="1" applyFont="1">
      <alignment horizontal="left" shrinkToFit="0" vertical="center" wrapText="0"/>
    </xf>
    <xf borderId="0" fillId="8" fontId="6" numFmtId="0" xfId="0" applyAlignment="1" applyFill="1" applyFont="1">
      <alignment horizontal="left" shrinkToFit="0" vertical="center" wrapText="0"/>
    </xf>
    <xf borderId="0" fillId="9" fontId="6" numFmtId="0" xfId="0" applyAlignment="1" applyFill="1" applyFont="1">
      <alignment horizontal="left" shrinkToFit="0" vertical="center" wrapText="0"/>
    </xf>
    <xf borderId="0" fillId="10" fontId="6" numFmtId="0" xfId="0" applyAlignment="1" applyFill="1" applyFont="1">
      <alignment horizontal="left" shrinkToFit="0" vertical="center" wrapText="0"/>
    </xf>
    <xf borderId="0" fillId="3" fontId="4" numFmtId="0" xfId="0" applyAlignment="1" applyFont="1">
      <alignment horizontal="left" shrinkToFit="0" vertical="center" wrapText="0"/>
    </xf>
    <xf borderId="0" fillId="0" fontId="5" numFmtId="0" xfId="0" applyAlignment="1" applyFont="1">
      <alignment horizontal="left" shrinkToFit="0" vertical="center" wrapText="0"/>
    </xf>
    <xf borderId="0" fillId="0" fontId="7" numFmtId="0" xfId="0" applyAlignment="1" applyFont="1">
      <alignment readingOrder="0"/>
    </xf>
    <xf borderId="0" fillId="0" fontId="7" numFmtId="0" xfId="0" applyFont="1"/>
    <xf borderId="0" fillId="0" fontId="8" numFmtId="0" xfId="0" applyAlignment="1" applyFont="1">
      <alignment readingOrder="0" shrinkToFit="0" vertical="center" wrapText="0"/>
    </xf>
    <xf borderId="0" fillId="0" fontId="8" numFmtId="0" xfId="0" applyAlignment="1" applyFont="1">
      <alignment shrinkToFit="0" vertical="center"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2025-I2G2-WEB-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13:J30" displayName="Table_1" name="Table_1" id="1">
  <tableColumns count="1">
    <tableColumn name="Column1" id="1"/>
  </tableColumns>
  <tableStyleInfo name="2025-I2G2-WE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10.25"/>
    <col customWidth="1" min="6" max="6" width="14.25"/>
    <col customWidth="1" min="7" max="7" width="23.13"/>
    <col customWidth="1" min="8" max="8" width="16.5"/>
    <col customWidth="1" min="9" max="9" width="11.5"/>
    <col customWidth="1" min="10" max="10" width="52.38"/>
    <col customWidth="1" min="11" max="11" width="65.75"/>
    <col customWidth="1" min="12" max="12" width="92.75"/>
  </cols>
  <sheetData>
    <row r="1" ht="18.75" customHeight="1">
      <c r="A1" s="1" t="s">
        <v>0</v>
      </c>
      <c r="B1" s="1" t="s">
        <v>1</v>
      </c>
      <c r="C1" s="1" t="s">
        <v>2</v>
      </c>
      <c r="D1" s="1" t="s">
        <v>3</v>
      </c>
      <c r="E1" s="1" t="s">
        <v>4</v>
      </c>
      <c r="F1" s="1" t="s">
        <v>5</v>
      </c>
      <c r="G1" s="1" t="s">
        <v>6</v>
      </c>
      <c r="H1" s="1" t="s">
        <v>7</v>
      </c>
      <c r="I1" s="1" t="s">
        <v>8</v>
      </c>
      <c r="J1" s="1" t="s">
        <v>9</v>
      </c>
      <c r="K1" s="1" t="s">
        <v>10</v>
      </c>
      <c r="L1" s="1" t="s">
        <v>11</v>
      </c>
    </row>
    <row r="2" ht="18.75" customHeight="1">
      <c r="A2" s="2" t="s">
        <v>12</v>
      </c>
      <c r="B2" s="2"/>
      <c r="C2" s="2" t="s">
        <v>13</v>
      </c>
      <c r="D2" s="2" t="s">
        <v>14</v>
      </c>
      <c r="E2" s="2">
        <v>101.0</v>
      </c>
      <c r="F2" s="2" t="s">
        <v>15</v>
      </c>
      <c r="G2" s="2" t="s">
        <v>16</v>
      </c>
      <c r="H2" s="2" t="s">
        <v>17</v>
      </c>
      <c r="I2" s="2" t="s">
        <v>18</v>
      </c>
      <c r="J2" s="2" t="s">
        <v>19</v>
      </c>
      <c r="K2" s="2" t="s">
        <v>20</v>
      </c>
      <c r="L2" s="2" t="str">
        <f t="shared" ref="L2:L59" si="1">"Team: " &amp; F2 &amp; "  -  Project: " &amp; G2</f>
        <v>Team: CAP-101  -  Project: ASHRAE HVAC Design Calculations</v>
      </c>
    </row>
    <row r="3" ht="18.75" customHeight="1">
      <c r="A3" s="2" t="s">
        <v>12</v>
      </c>
      <c r="B3" s="2"/>
      <c r="C3" s="2" t="s">
        <v>13</v>
      </c>
      <c r="D3" s="2" t="s">
        <v>14</v>
      </c>
      <c r="E3" s="2">
        <v>102.0</v>
      </c>
      <c r="F3" s="2" t="s">
        <v>21</v>
      </c>
      <c r="G3" s="2" t="s">
        <v>22</v>
      </c>
      <c r="H3" s="2" t="s">
        <v>23</v>
      </c>
      <c r="I3" s="2" t="s">
        <v>24</v>
      </c>
      <c r="J3" s="2" t="s">
        <v>25</v>
      </c>
      <c r="K3" s="2" t="s">
        <v>26</v>
      </c>
      <c r="L3" s="2" t="str">
        <f t="shared" si="1"/>
        <v>Team: CAP-102  -  Project: Blanched Almond Optimization Project</v>
      </c>
    </row>
    <row r="4" ht="18.75" customHeight="1">
      <c r="A4" s="2" t="s">
        <v>12</v>
      </c>
      <c r="B4" s="2"/>
      <c r="C4" s="2" t="s">
        <v>13</v>
      </c>
      <c r="D4" s="2" t="s">
        <v>14</v>
      </c>
      <c r="E4" s="2">
        <v>103.0</v>
      </c>
      <c r="F4" s="2" t="s">
        <v>27</v>
      </c>
      <c r="G4" s="2" t="s">
        <v>28</v>
      </c>
      <c r="H4" s="2" t="s">
        <v>29</v>
      </c>
      <c r="I4" s="2" t="s">
        <v>24</v>
      </c>
      <c r="J4" s="2" t="s">
        <v>30</v>
      </c>
      <c r="K4" s="2" t="s">
        <v>31</v>
      </c>
      <c r="L4" s="2" t="str">
        <f t="shared" si="1"/>
        <v>Team: CAP-103  -  Project: Bagging Bags</v>
      </c>
    </row>
    <row r="5" ht="18.75" customHeight="1">
      <c r="A5" s="2" t="s">
        <v>12</v>
      </c>
      <c r="B5" s="2"/>
      <c r="C5" s="2" t="s">
        <v>13</v>
      </c>
      <c r="D5" s="2" t="s">
        <v>14</v>
      </c>
      <c r="E5" s="2">
        <v>104.0</v>
      </c>
      <c r="F5" s="2" t="s">
        <v>32</v>
      </c>
      <c r="G5" s="2" t="s">
        <v>33</v>
      </c>
      <c r="H5" s="2" t="s">
        <v>34</v>
      </c>
      <c r="I5" s="2" t="s">
        <v>35</v>
      </c>
      <c r="J5" s="2" t="s">
        <v>36</v>
      </c>
      <c r="K5" s="2" t="s">
        <v>37</v>
      </c>
      <c r="L5" s="2" t="str">
        <f t="shared" si="1"/>
        <v>Team: CAP-104  -  Project: Wheat Milling Smart Sensor System for Moisture and Foreign Material Detection</v>
      </c>
    </row>
    <row r="6" ht="18.75" customHeight="1">
      <c r="A6" s="2" t="s">
        <v>12</v>
      </c>
      <c r="B6" s="2"/>
      <c r="C6" s="2" t="s">
        <v>13</v>
      </c>
      <c r="D6" s="2" t="s">
        <v>14</v>
      </c>
      <c r="E6" s="2">
        <v>105.0</v>
      </c>
      <c r="F6" s="2" t="s">
        <v>38</v>
      </c>
      <c r="G6" s="2" t="s">
        <v>39</v>
      </c>
      <c r="H6" s="2" t="s">
        <v>40</v>
      </c>
      <c r="I6" s="2" t="s">
        <v>24</v>
      </c>
      <c r="J6" s="2" t="s">
        <v>41</v>
      </c>
      <c r="K6" s="2" t="s">
        <v>42</v>
      </c>
      <c r="L6" s="2" t="str">
        <f t="shared" si="1"/>
        <v>Team: CAP-105  -  Project: Mandarin Long Stem Solution</v>
      </c>
    </row>
    <row r="7" ht="18.75" customHeight="1">
      <c r="A7" s="2" t="s">
        <v>12</v>
      </c>
      <c r="B7" s="2"/>
      <c r="C7" s="2" t="s">
        <v>13</v>
      </c>
      <c r="D7" s="2" t="s">
        <v>14</v>
      </c>
      <c r="E7" s="2">
        <v>106.0</v>
      </c>
      <c r="F7" s="2" t="s">
        <v>43</v>
      </c>
      <c r="G7" s="2" t="s">
        <v>44</v>
      </c>
      <c r="H7" s="2" t="s">
        <v>45</v>
      </c>
      <c r="I7" s="2" t="s">
        <v>24</v>
      </c>
      <c r="J7" s="2" t="s">
        <v>46</v>
      </c>
      <c r="K7" s="2" t="s">
        <v>47</v>
      </c>
      <c r="L7" s="2" t="str">
        <f t="shared" si="1"/>
        <v>Team: CAP-106  -  Project: Capping Smart Bottle</v>
      </c>
    </row>
    <row r="8" ht="18.75" customHeight="1">
      <c r="A8" s="2" t="s">
        <v>12</v>
      </c>
      <c r="B8" s="2"/>
      <c r="C8" s="2" t="s">
        <v>13</v>
      </c>
      <c r="D8" s="2" t="s">
        <v>14</v>
      </c>
      <c r="E8" s="2">
        <v>107.0</v>
      </c>
      <c r="F8" s="2" t="s">
        <v>48</v>
      </c>
      <c r="G8" s="2" t="s">
        <v>49</v>
      </c>
      <c r="H8" s="2" t="s">
        <v>45</v>
      </c>
      <c r="I8" s="2" t="s">
        <v>24</v>
      </c>
      <c r="J8" s="2" t="s">
        <v>50</v>
      </c>
      <c r="K8" s="2" t="s">
        <v>51</v>
      </c>
      <c r="L8" s="2" t="str">
        <f t="shared" si="1"/>
        <v>Team: CAP-107  -  Project: Rotary Joint Testing System</v>
      </c>
    </row>
    <row r="9" ht="18.75" customHeight="1">
      <c r="A9" s="2" t="s">
        <v>12</v>
      </c>
      <c r="B9" s="2"/>
      <c r="C9" s="2" t="s">
        <v>13</v>
      </c>
      <c r="D9" s="2" t="s">
        <v>14</v>
      </c>
      <c r="E9" s="2">
        <v>108.0</v>
      </c>
      <c r="F9" s="2" t="s">
        <v>52</v>
      </c>
      <c r="G9" s="2" t="s">
        <v>53</v>
      </c>
      <c r="H9" s="2" t="s">
        <v>54</v>
      </c>
      <c r="I9" s="2" t="s">
        <v>35</v>
      </c>
      <c r="J9" s="2" t="s">
        <v>55</v>
      </c>
      <c r="K9" s="2" t="s">
        <v>56</v>
      </c>
      <c r="L9" s="2" t="str">
        <f t="shared" si="1"/>
        <v>Team: CAP-108  -  Project: Propane-Powered See-and-Flame Weed Control System for Organic Agave Using the Farm‑NG Amiga Platform</v>
      </c>
    </row>
    <row r="10" ht="18.75" customHeight="1">
      <c r="A10" s="2" t="s">
        <v>12</v>
      </c>
      <c r="B10" s="2"/>
      <c r="C10" s="2" t="s">
        <v>13</v>
      </c>
      <c r="D10" s="2" t="s">
        <v>14</v>
      </c>
      <c r="E10" s="2">
        <v>109.0</v>
      </c>
      <c r="F10" s="2" t="s">
        <v>57</v>
      </c>
      <c r="G10" s="2" t="s">
        <v>58</v>
      </c>
      <c r="H10" s="2" t="s">
        <v>59</v>
      </c>
      <c r="I10" s="2" t="s">
        <v>60</v>
      </c>
      <c r="J10" s="2" t="s">
        <v>61</v>
      </c>
      <c r="K10" s="2" t="s">
        <v>62</v>
      </c>
      <c r="L10" s="2" t="str">
        <f t="shared" si="1"/>
        <v>Team: CAP-109  -  Project: The Lift</v>
      </c>
    </row>
    <row r="11" ht="18.75" customHeight="1">
      <c r="A11" s="2" t="s">
        <v>12</v>
      </c>
      <c r="B11" s="2"/>
      <c r="C11" s="2" t="s">
        <v>13</v>
      </c>
      <c r="D11" s="2" t="s">
        <v>14</v>
      </c>
      <c r="E11" s="2">
        <v>110.0</v>
      </c>
      <c r="F11" s="2" t="s">
        <v>63</v>
      </c>
      <c r="G11" s="2" t="s">
        <v>64</v>
      </c>
      <c r="H11" s="2" t="s">
        <v>65</v>
      </c>
      <c r="I11" s="2" t="s">
        <v>35</v>
      </c>
      <c r="J11" s="2" t="s">
        <v>66</v>
      </c>
      <c r="K11" s="2" t="s">
        <v>67</v>
      </c>
      <c r="L11" s="2" t="str">
        <f t="shared" si="1"/>
        <v>Team: CAP-110  -  Project: Robotic Leaf Clip Sensor</v>
      </c>
    </row>
    <row r="12" ht="18.75" customHeight="1">
      <c r="A12" s="2" t="s">
        <v>12</v>
      </c>
      <c r="B12" s="2"/>
      <c r="C12" s="2" t="s">
        <v>13</v>
      </c>
      <c r="D12" s="2" t="s">
        <v>14</v>
      </c>
      <c r="E12" s="2">
        <v>111.0</v>
      </c>
      <c r="F12" s="2" t="s">
        <v>68</v>
      </c>
      <c r="G12" s="2" t="s">
        <v>69</v>
      </c>
      <c r="H12" s="2" t="s">
        <v>70</v>
      </c>
      <c r="I12" s="2" t="s">
        <v>71</v>
      </c>
      <c r="J12" s="2" t="s">
        <v>72</v>
      </c>
      <c r="K12" s="2" t="s">
        <v>73</v>
      </c>
      <c r="L12" s="2" t="str">
        <f t="shared" si="1"/>
        <v>Team: CAP-111  -  Project: In-Air Drop Encapsulation Apparatus - "Shower-Head" Development</v>
      </c>
    </row>
    <row r="13" ht="18.75" customHeight="1">
      <c r="A13" s="2" t="s">
        <v>12</v>
      </c>
      <c r="B13" s="2"/>
      <c r="C13" s="2" t="s">
        <v>13</v>
      </c>
      <c r="D13" s="2" t="s">
        <v>14</v>
      </c>
      <c r="E13" s="2">
        <v>112.0</v>
      </c>
      <c r="F13" s="2" t="s">
        <v>74</v>
      </c>
      <c r="G13" s="2" t="s">
        <v>69</v>
      </c>
      <c r="H13" s="2" t="s">
        <v>70</v>
      </c>
      <c r="I13" s="2" t="s">
        <v>71</v>
      </c>
      <c r="J13" s="2" t="s">
        <v>75</v>
      </c>
      <c r="K13" s="2" t="s">
        <v>76</v>
      </c>
      <c r="L13" s="2" t="str">
        <f t="shared" si="1"/>
        <v>Team: CAP-112  -  Project: In-Air Drop Encapsulation Apparatus - "Shower-Head" Development</v>
      </c>
    </row>
    <row r="14" ht="18.75" customHeight="1">
      <c r="A14" s="2" t="s">
        <v>12</v>
      </c>
      <c r="B14" s="2"/>
      <c r="C14" s="2" t="s">
        <v>13</v>
      </c>
      <c r="D14" s="2" t="s">
        <v>14</v>
      </c>
      <c r="E14" s="2">
        <v>113.0</v>
      </c>
      <c r="F14" s="2" t="s">
        <v>77</v>
      </c>
      <c r="G14" s="2" t="s">
        <v>78</v>
      </c>
      <c r="H14" s="2" t="s">
        <v>79</v>
      </c>
      <c r="I14" s="2" t="s">
        <v>24</v>
      </c>
      <c r="J14" s="2" t="s">
        <v>80</v>
      </c>
      <c r="K14" s="2" t="s">
        <v>81</v>
      </c>
      <c r="L14" s="2" t="str">
        <f t="shared" si="1"/>
        <v>Team: CAP-113  -  Project: Full Bottle Orientation</v>
      </c>
    </row>
    <row r="15" ht="18.75" customHeight="1">
      <c r="A15" s="2" t="s">
        <v>12</v>
      </c>
      <c r="B15" s="2"/>
      <c r="C15" s="2" t="s">
        <v>13</v>
      </c>
      <c r="D15" s="2" t="s">
        <v>14</v>
      </c>
      <c r="E15" s="2">
        <v>114.0</v>
      </c>
      <c r="F15" s="2" t="s">
        <v>82</v>
      </c>
      <c r="G15" s="2" t="s">
        <v>83</v>
      </c>
      <c r="H15" s="2" t="s">
        <v>84</v>
      </c>
      <c r="I15" s="2" t="s">
        <v>60</v>
      </c>
      <c r="J15" s="2" t="s">
        <v>85</v>
      </c>
      <c r="K15" s="2" t="s">
        <v>86</v>
      </c>
      <c r="L15" s="2" t="str">
        <f t="shared" si="1"/>
        <v>Team: CAP-114  -  Project: Spinal Mapping Diagnosis</v>
      </c>
    </row>
    <row r="16" ht="18.75" customHeight="1">
      <c r="A16" s="2" t="s">
        <v>12</v>
      </c>
      <c r="B16" s="2"/>
      <c r="C16" s="2" t="s">
        <v>13</v>
      </c>
      <c r="D16" s="2" t="s">
        <v>14</v>
      </c>
      <c r="E16" s="2">
        <v>115.0</v>
      </c>
      <c r="F16" s="2" t="s">
        <v>87</v>
      </c>
      <c r="G16" s="2" t="s">
        <v>88</v>
      </c>
      <c r="H16" s="2" t="s">
        <v>84</v>
      </c>
      <c r="I16" s="2" t="s">
        <v>60</v>
      </c>
      <c r="J16" s="2" t="s">
        <v>89</v>
      </c>
      <c r="K16" s="2" t="s">
        <v>90</v>
      </c>
      <c r="L16" s="2" t="str">
        <f t="shared" si="1"/>
        <v>Team: CAP-115  -  Project: AutoSpinal Insertor</v>
      </c>
    </row>
    <row r="17" ht="18.75" customHeight="1">
      <c r="A17" s="2" t="s">
        <v>12</v>
      </c>
      <c r="B17" s="2"/>
      <c r="C17" s="2" t="s">
        <v>13</v>
      </c>
      <c r="D17" s="2" t="s">
        <v>14</v>
      </c>
      <c r="E17" s="2">
        <v>116.0</v>
      </c>
      <c r="F17" s="2" t="s">
        <v>91</v>
      </c>
      <c r="G17" s="2" t="s">
        <v>92</v>
      </c>
      <c r="H17" s="2" t="s">
        <v>93</v>
      </c>
      <c r="I17" s="2" t="s">
        <v>24</v>
      </c>
      <c r="J17" s="2" t="s">
        <v>94</v>
      </c>
      <c r="K17" s="2" t="s">
        <v>95</v>
      </c>
      <c r="L17" s="2" t="str">
        <f t="shared" si="1"/>
        <v>Team: CAP-116  -  Project: Transplanter Simulator  to coach New Operators</v>
      </c>
    </row>
    <row r="18" ht="18.75" customHeight="1">
      <c r="A18" s="2" t="s">
        <v>12</v>
      </c>
      <c r="B18" s="2"/>
      <c r="C18" s="2" t="s">
        <v>13</v>
      </c>
      <c r="D18" s="2" t="s">
        <v>14</v>
      </c>
      <c r="E18" s="2">
        <v>117.0</v>
      </c>
      <c r="F18" s="2" t="s">
        <v>96</v>
      </c>
      <c r="G18" s="2" t="s">
        <v>97</v>
      </c>
      <c r="H18" s="2" t="s">
        <v>98</v>
      </c>
      <c r="I18" s="2" t="s">
        <v>99</v>
      </c>
      <c r="J18" s="2" t="s">
        <v>100</v>
      </c>
      <c r="K18" s="2" t="s">
        <v>101</v>
      </c>
      <c r="L18" s="2" t="str">
        <f t="shared" si="1"/>
        <v>Team: CAP-117  -  Project: Battery Workforce Challenge - Phase 3</v>
      </c>
    </row>
    <row r="19" ht="18.75" customHeight="1">
      <c r="A19" s="2" t="s">
        <v>12</v>
      </c>
      <c r="B19" s="2"/>
      <c r="C19" s="2" t="s">
        <v>13</v>
      </c>
      <c r="D19" s="2" t="s">
        <v>14</v>
      </c>
      <c r="E19" s="2">
        <v>118.0</v>
      </c>
      <c r="F19" s="2" t="s">
        <v>102</v>
      </c>
      <c r="G19" s="2" t="s">
        <v>103</v>
      </c>
      <c r="H19" s="2" t="s">
        <v>104</v>
      </c>
      <c r="I19" s="2" t="s">
        <v>35</v>
      </c>
      <c r="J19" s="2" t="s">
        <v>105</v>
      </c>
      <c r="K19" s="2" t="s">
        <v>106</v>
      </c>
      <c r="L19" s="2" t="str">
        <f t="shared" si="1"/>
        <v>Team: CAP-118  -  Project: High-Resolution Sensing Platform Using the Farm‑NG Amiga Robot</v>
      </c>
    </row>
    <row r="20" ht="18.75" customHeight="1">
      <c r="A20" s="2" t="s">
        <v>12</v>
      </c>
      <c r="B20" s="2"/>
      <c r="C20" s="2" t="s">
        <v>13</v>
      </c>
      <c r="D20" s="2" t="s">
        <v>14</v>
      </c>
      <c r="E20" s="2">
        <v>119.0</v>
      </c>
      <c r="F20" s="2" t="s">
        <v>107</v>
      </c>
      <c r="G20" s="2" t="s">
        <v>108</v>
      </c>
      <c r="H20" s="2" t="s">
        <v>109</v>
      </c>
      <c r="I20" s="2" t="s">
        <v>35</v>
      </c>
      <c r="J20" s="2" t="s">
        <v>110</v>
      </c>
      <c r="K20" s="2" t="s">
        <v>111</v>
      </c>
      <c r="L20" s="2" t="str">
        <f t="shared" si="1"/>
        <v>Team: CAP-119  -  Project: On Farm Crop Cooling Solution for Small Farmers</v>
      </c>
    </row>
    <row r="21" ht="18.75" customHeight="1">
      <c r="A21" s="2" t="s">
        <v>12</v>
      </c>
      <c r="B21" s="2"/>
      <c r="C21" s="2" t="s">
        <v>13</v>
      </c>
      <c r="D21" s="2" t="s">
        <v>14</v>
      </c>
      <c r="E21" s="2">
        <v>120.0</v>
      </c>
      <c r="F21" s="2" t="s">
        <v>112</v>
      </c>
      <c r="G21" s="2" t="s">
        <v>113</v>
      </c>
      <c r="H21" s="2" t="s">
        <v>114</v>
      </c>
      <c r="I21" s="2" t="s">
        <v>115</v>
      </c>
      <c r="J21" s="2" t="s">
        <v>116</v>
      </c>
      <c r="K21" s="2" t="s">
        <v>117</v>
      </c>
      <c r="L21" s="2" t="str">
        <f t="shared" si="1"/>
        <v>Team: CAP-120  -  Project: Low-cost groundwater level/quality monitoring system</v>
      </c>
    </row>
    <row r="22" ht="18.75" customHeight="1">
      <c r="A22" s="2" t="s">
        <v>12</v>
      </c>
      <c r="B22" s="2"/>
      <c r="C22" s="2" t="s">
        <v>13</v>
      </c>
      <c r="D22" s="2" t="s">
        <v>14</v>
      </c>
      <c r="E22" s="2">
        <v>121.0</v>
      </c>
      <c r="F22" s="2" t="s">
        <v>118</v>
      </c>
      <c r="G22" s="2" t="s">
        <v>119</v>
      </c>
      <c r="H22" s="2" t="s">
        <v>120</v>
      </c>
      <c r="I22" s="2" t="s">
        <v>121</v>
      </c>
      <c r="J22" s="2" t="s">
        <v>122</v>
      </c>
      <c r="K22" s="2" t="s">
        <v>123</v>
      </c>
      <c r="L22" s="2" t="str">
        <f t="shared" si="1"/>
        <v>Team: CAP-121  -  Project: Distributed-Flapping Wing with Glide-Lock Mechanism</v>
      </c>
    </row>
    <row r="23" ht="18.75" customHeight="1">
      <c r="A23" s="2" t="s">
        <v>12</v>
      </c>
      <c r="B23" s="2"/>
      <c r="C23" s="2" t="s">
        <v>13</v>
      </c>
      <c r="D23" s="2" t="s">
        <v>14</v>
      </c>
      <c r="E23" s="2">
        <v>122.0</v>
      </c>
      <c r="F23" s="2" t="s">
        <v>124</v>
      </c>
      <c r="G23" s="2" t="s">
        <v>125</v>
      </c>
      <c r="H23" s="2" t="s">
        <v>126</v>
      </c>
      <c r="I23" s="2" t="s">
        <v>127</v>
      </c>
      <c r="J23" s="2" t="s">
        <v>128</v>
      </c>
      <c r="K23" s="2" t="s">
        <v>129</v>
      </c>
      <c r="L23" s="2" t="str">
        <f t="shared" si="1"/>
        <v>Team: CAP-122  -  Project: Smart Oxygen Delivery System: A Closed-Loop Oxygen Concentrator Controlled by Pulse Oximeter Feedback</v>
      </c>
    </row>
    <row r="24" ht="18.75" customHeight="1">
      <c r="A24" s="2" t="s">
        <v>12</v>
      </c>
      <c r="B24" s="2"/>
      <c r="C24" s="2" t="s">
        <v>13</v>
      </c>
      <c r="D24" s="2" t="s">
        <v>14</v>
      </c>
      <c r="E24" s="2">
        <v>123.0</v>
      </c>
      <c r="F24" s="2" t="s">
        <v>130</v>
      </c>
      <c r="G24" s="2" t="s">
        <v>131</v>
      </c>
      <c r="H24" s="2" t="s">
        <v>126</v>
      </c>
      <c r="I24" s="2" t="s">
        <v>127</v>
      </c>
      <c r="J24" s="2" t="s">
        <v>132</v>
      </c>
      <c r="K24" s="2" t="s">
        <v>133</v>
      </c>
      <c r="L24" s="2" t="str">
        <f t="shared" si="1"/>
        <v>Team: CAP-123  -  Project: Aortic Simulator for Hemodynamic Studies</v>
      </c>
    </row>
    <row r="25" ht="18.75" customHeight="1">
      <c r="A25" s="2" t="s">
        <v>12</v>
      </c>
      <c r="B25" s="2"/>
      <c r="C25" s="2" t="s">
        <v>13</v>
      </c>
      <c r="D25" s="2" t="s">
        <v>14</v>
      </c>
      <c r="E25" s="2">
        <v>124.0</v>
      </c>
      <c r="F25" s="2" t="s">
        <v>134</v>
      </c>
      <c r="G25" s="2" t="s">
        <v>131</v>
      </c>
      <c r="H25" s="2" t="s">
        <v>126</v>
      </c>
      <c r="I25" s="2" t="s">
        <v>127</v>
      </c>
      <c r="J25" s="2" t="s">
        <v>135</v>
      </c>
      <c r="K25" s="2" t="s">
        <v>136</v>
      </c>
      <c r="L25" s="2" t="str">
        <f t="shared" si="1"/>
        <v>Team: CAP-124  -  Project: Aortic Simulator for Hemodynamic Studies</v>
      </c>
    </row>
    <row r="26" ht="18.75" customHeight="1">
      <c r="A26" s="2" t="s">
        <v>12</v>
      </c>
      <c r="B26" s="2"/>
      <c r="C26" s="2" t="s">
        <v>13</v>
      </c>
      <c r="D26" s="2" t="s">
        <v>14</v>
      </c>
      <c r="E26" s="2">
        <v>125.0</v>
      </c>
      <c r="F26" s="2" t="s">
        <v>137</v>
      </c>
      <c r="G26" s="2" t="s">
        <v>138</v>
      </c>
      <c r="H26" s="2" t="s">
        <v>126</v>
      </c>
      <c r="I26" s="2" t="s">
        <v>127</v>
      </c>
      <c r="J26" s="2" t="s">
        <v>139</v>
      </c>
      <c r="K26" s="2" t="s">
        <v>140</v>
      </c>
      <c r="L26" s="2" t="str">
        <f t="shared" si="1"/>
        <v>Team: CAP-125  -  Project: Quality control and quantitative characterization of drug delivery vesicles and synthetic cells</v>
      </c>
    </row>
    <row r="27" ht="18.75" customHeight="1">
      <c r="A27" s="2">
        <v>1.0</v>
      </c>
      <c r="B27" s="2">
        <v>2.0</v>
      </c>
      <c r="C27" s="2" t="s">
        <v>141</v>
      </c>
      <c r="D27" s="2" t="s">
        <v>14</v>
      </c>
      <c r="E27" s="2">
        <v>201.0</v>
      </c>
      <c r="F27" s="2" t="s">
        <v>142</v>
      </c>
      <c r="G27" s="2" t="s">
        <v>143</v>
      </c>
      <c r="H27" s="2" t="s">
        <v>144</v>
      </c>
      <c r="I27" s="3" t="s">
        <v>35</v>
      </c>
      <c r="J27" s="2" t="s">
        <v>145</v>
      </c>
      <c r="K27" s="2" t="s">
        <v>146</v>
      </c>
      <c r="L27" s="2" t="str">
        <f t="shared" si="1"/>
        <v>Team: The Smart Beetle Trap Solution  -  Project: Smart Beetle Trap</v>
      </c>
    </row>
    <row r="28" ht="18.75" customHeight="1">
      <c r="A28" s="2">
        <v>2.0</v>
      </c>
      <c r="B28" s="2">
        <v>1.0</v>
      </c>
      <c r="C28" s="2" t="s">
        <v>141</v>
      </c>
      <c r="D28" s="2" t="s">
        <v>14</v>
      </c>
      <c r="E28" s="2">
        <v>202.0</v>
      </c>
      <c r="F28" s="2" t="s">
        <v>147</v>
      </c>
      <c r="G28" s="2" t="s">
        <v>148</v>
      </c>
      <c r="H28" s="2" t="s">
        <v>149</v>
      </c>
      <c r="I28" s="3" t="s">
        <v>150</v>
      </c>
      <c r="J28" s="2" t="s">
        <v>151</v>
      </c>
      <c r="K28" s="2" t="s">
        <v>152</v>
      </c>
      <c r="L28" s="2" t="str">
        <f t="shared" si="1"/>
        <v>Team: Seam Weld Sander  -  Project: Automated Seam Weld Sander</v>
      </c>
    </row>
    <row r="29" ht="18.75" customHeight="1">
      <c r="A29" s="2">
        <v>1.0</v>
      </c>
      <c r="B29" s="2">
        <v>5.0</v>
      </c>
      <c r="C29" s="2" t="s">
        <v>141</v>
      </c>
      <c r="D29" s="2" t="s">
        <v>14</v>
      </c>
      <c r="E29" s="2">
        <v>203.0</v>
      </c>
      <c r="F29" s="2" t="s">
        <v>153</v>
      </c>
      <c r="G29" s="2" t="s">
        <v>154</v>
      </c>
      <c r="H29" s="2" t="s">
        <v>93</v>
      </c>
      <c r="I29" s="3" t="s">
        <v>24</v>
      </c>
      <c r="J29" s="2" t="s">
        <v>155</v>
      </c>
      <c r="K29" s="2" t="s">
        <v>156</v>
      </c>
      <c r="L29" s="2" t="str">
        <f t="shared" si="1"/>
        <v>Team: Sterilight Busters  -  Project: Continuous sterilization via ultra high intensity UV pulse light</v>
      </c>
    </row>
    <row r="30" ht="18.75" customHeight="1">
      <c r="A30" s="2">
        <v>2.0</v>
      </c>
      <c r="B30" s="2">
        <v>2.0</v>
      </c>
      <c r="C30" s="2" t="s">
        <v>141</v>
      </c>
      <c r="D30" s="2" t="s">
        <v>14</v>
      </c>
      <c r="E30" s="2">
        <v>204.0</v>
      </c>
      <c r="F30" s="2" t="s">
        <v>157</v>
      </c>
      <c r="G30" s="2" t="s">
        <v>158</v>
      </c>
      <c r="H30" s="2" t="s">
        <v>159</v>
      </c>
      <c r="I30" s="3" t="s">
        <v>160</v>
      </c>
      <c r="J30" s="2" t="s">
        <v>161</v>
      </c>
      <c r="K30" s="2" t="s">
        <v>162</v>
      </c>
      <c r="L30" s="2" t="str">
        <f t="shared" si="1"/>
        <v>Team: Structural Vibration Reduction  -  Project: The Perfect Cutter Drum</v>
      </c>
    </row>
    <row r="31" ht="18.75" customHeight="1">
      <c r="A31" s="2">
        <v>1.0</v>
      </c>
      <c r="B31" s="2">
        <v>1.0</v>
      </c>
      <c r="C31" s="2" t="s">
        <v>141</v>
      </c>
      <c r="D31" s="2" t="s">
        <v>14</v>
      </c>
      <c r="E31" s="2">
        <v>205.0</v>
      </c>
      <c r="F31" s="2" t="s">
        <v>163</v>
      </c>
      <c r="G31" s="2" t="s">
        <v>164</v>
      </c>
      <c r="H31" s="2" t="s">
        <v>165</v>
      </c>
      <c r="I31" s="3" t="s">
        <v>35</v>
      </c>
      <c r="J31" s="2" t="s">
        <v>166</v>
      </c>
      <c r="K31" s="2" t="s">
        <v>167</v>
      </c>
      <c r="L31" s="2" t="str">
        <f t="shared" si="1"/>
        <v>Team: Almondo Almondo  -  Project: Horizontally Extractable Aeration System for Almond Drying</v>
      </c>
    </row>
    <row r="32" ht="18.75" customHeight="1">
      <c r="A32" s="2">
        <v>2.0</v>
      </c>
      <c r="B32" s="2">
        <v>3.0</v>
      </c>
      <c r="C32" s="2" t="s">
        <v>141</v>
      </c>
      <c r="D32" s="2" t="s">
        <v>14</v>
      </c>
      <c r="E32" s="2">
        <v>206.0</v>
      </c>
      <c r="F32" s="2" t="s">
        <v>168</v>
      </c>
      <c r="G32" s="2" t="s">
        <v>169</v>
      </c>
      <c r="H32" s="2" t="s">
        <v>170</v>
      </c>
      <c r="I32" s="3" t="s">
        <v>127</v>
      </c>
      <c r="J32" s="2" t="s">
        <v>171</v>
      </c>
      <c r="K32" s="2" t="s">
        <v>172</v>
      </c>
      <c r="L32" s="2" t="str">
        <f t="shared" si="1"/>
        <v>Team: The X - Men  -  Project: Expandable Screw</v>
      </c>
    </row>
    <row r="33" ht="18.75" customHeight="1">
      <c r="A33" s="2">
        <v>1.0</v>
      </c>
      <c r="B33" s="2">
        <v>4.0</v>
      </c>
      <c r="C33" s="2" t="s">
        <v>141</v>
      </c>
      <c r="D33" s="2" t="s">
        <v>14</v>
      </c>
      <c r="E33" s="2">
        <v>207.0</v>
      </c>
      <c r="F33" s="2" t="s">
        <v>173</v>
      </c>
      <c r="G33" s="2" t="s">
        <v>174</v>
      </c>
      <c r="H33" s="2" t="s">
        <v>175</v>
      </c>
      <c r="I33" s="3" t="s">
        <v>24</v>
      </c>
      <c r="J33" s="2" t="s">
        <v>176</v>
      </c>
      <c r="K33" s="2" t="s">
        <v>177</v>
      </c>
      <c r="L33" s="2" t="str">
        <f t="shared" si="1"/>
        <v>Team: Let's Get Saucy  -  Project: Paste Bin Washing</v>
      </c>
    </row>
    <row r="34" ht="18.75" customHeight="1">
      <c r="A34" s="2">
        <v>1.0</v>
      </c>
      <c r="B34" s="2">
        <v>3.0</v>
      </c>
      <c r="C34" s="2" t="s">
        <v>141</v>
      </c>
      <c r="D34" s="2" t="s">
        <v>14</v>
      </c>
      <c r="E34" s="2">
        <v>208.0</v>
      </c>
      <c r="F34" s="2" t="s">
        <v>178</v>
      </c>
      <c r="G34" s="2" t="s">
        <v>179</v>
      </c>
      <c r="H34" s="2" t="s">
        <v>180</v>
      </c>
      <c r="I34" s="3" t="s">
        <v>24</v>
      </c>
      <c r="J34" s="2" t="s">
        <v>181</v>
      </c>
      <c r="K34" s="2" t="s">
        <v>182</v>
      </c>
      <c r="L34" s="2" t="str">
        <f t="shared" si="1"/>
        <v>Team: Smooth Operators  -  Project: Tower Platform Pressure Optimization</v>
      </c>
    </row>
    <row r="35" ht="18.75" customHeight="1">
      <c r="A35" s="2">
        <v>2.0</v>
      </c>
      <c r="B35" s="2">
        <v>4.0</v>
      </c>
      <c r="C35" s="2" t="s">
        <v>141</v>
      </c>
      <c r="D35" s="2" t="s">
        <v>14</v>
      </c>
      <c r="E35" s="2">
        <v>209.0</v>
      </c>
      <c r="F35" s="2" t="s">
        <v>183</v>
      </c>
      <c r="G35" s="2" t="s">
        <v>184</v>
      </c>
      <c r="H35" s="2" t="s">
        <v>185</v>
      </c>
      <c r="I35" s="3" t="s">
        <v>24</v>
      </c>
      <c r="J35" s="2" t="s">
        <v>186</v>
      </c>
      <c r="K35" s="2" t="s">
        <v>187</v>
      </c>
      <c r="L35" s="2" t="str">
        <f t="shared" si="1"/>
        <v>Team: Tank Titans  -  Project: Tank level control system</v>
      </c>
    </row>
    <row r="36" ht="18.75" customHeight="1">
      <c r="A36" s="2">
        <v>2.0</v>
      </c>
      <c r="B36" s="2">
        <v>5.0</v>
      </c>
      <c r="C36" s="2" t="s">
        <v>141</v>
      </c>
      <c r="D36" s="2" t="s">
        <v>14</v>
      </c>
      <c r="E36" s="2">
        <v>210.0</v>
      </c>
      <c r="F36" s="2" t="s">
        <v>188</v>
      </c>
      <c r="G36" s="2" t="s">
        <v>189</v>
      </c>
      <c r="H36" s="2" t="s">
        <v>190</v>
      </c>
      <c r="I36" s="3" t="s">
        <v>150</v>
      </c>
      <c r="J36" s="2" t="s">
        <v>191</v>
      </c>
      <c r="K36" s="2" t="s">
        <v>192</v>
      </c>
      <c r="L36" s="2" t="str">
        <f t="shared" si="1"/>
        <v>Team: ωSST - Sustainable Savonius Turbines  -  Project: Tunnel Wind Power</v>
      </c>
    </row>
    <row r="37" ht="18.75" customHeight="1">
      <c r="A37" s="2">
        <v>2.0</v>
      </c>
      <c r="B37" s="2">
        <v>6.0</v>
      </c>
      <c r="C37" s="2" t="s">
        <v>141</v>
      </c>
      <c r="D37" s="2" t="s">
        <v>14</v>
      </c>
      <c r="E37" s="2">
        <v>211.0</v>
      </c>
      <c r="F37" s="2" t="s">
        <v>193</v>
      </c>
      <c r="G37" s="2" t="s">
        <v>194</v>
      </c>
      <c r="H37" s="2" t="s">
        <v>195</v>
      </c>
      <c r="I37" s="3" t="s">
        <v>99</v>
      </c>
      <c r="J37" s="2" t="s">
        <v>196</v>
      </c>
      <c r="K37" s="2" t="s">
        <v>197</v>
      </c>
      <c r="L37" s="2" t="str">
        <f t="shared" si="1"/>
        <v>Team: Battery Workforce Challenge DEE  -  Project: Battery Workforce Challenge - Phase 2</v>
      </c>
    </row>
    <row r="38" ht="18.75" customHeight="1">
      <c r="A38" s="2">
        <v>5.0</v>
      </c>
      <c r="B38" s="2">
        <v>8.0</v>
      </c>
      <c r="C38" s="2" t="s">
        <v>141</v>
      </c>
      <c r="D38" s="2" t="s">
        <v>198</v>
      </c>
      <c r="E38" s="2">
        <v>401.0</v>
      </c>
      <c r="F38" s="2" t="s">
        <v>199</v>
      </c>
      <c r="G38" s="2" t="s">
        <v>200</v>
      </c>
      <c r="H38" s="4" t="s">
        <v>201</v>
      </c>
      <c r="I38" s="3" t="s">
        <v>202</v>
      </c>
      <c r="J38" s="5" t="s">
        <v>203</v>
      </c>
      <c r="K38" s="2" t="s">
        <v>204</v>
      </c>
      <c r="L38" s="2" t="str">
        <f t="shared" si="1"/>
        <v>Team: NearHuman  -  Project: AI Human Approximator</v>
      </c>
    </row>
    <row r="39" ht="18.75" customHeight="1">
      <c r="A39" s="2">
        <v>5.0</v>
      </c>
      <c r="B39" s="2">
        <v>2.0</v>
      </c>
      <c r="C39" s="2" t="s">
        <v>141</v>
      </c>
      <c r="D39" s="2" t="s">
        <v>198</v>
      </c>
      <c r="E39" s="2">
        <v>402.0</v>
      </c>
      <c r="F39" s="2" t="s">
        <v>205</v>
      </c>
      <c r="G39" s="2" t="s">
        <v>206</v>
      </c>
      <c r="H39" s="4" t="s">
        <v>185</v>
      </c>
      <c r="I39" s="3" t="s">
        <v>24</v>
      </c>
      <c r="J39" s="5" t="s">
        <v>207</v>
      </c>
      <c r="K39" s="2" t="s">
        <v>208</v>
      </c>
      <c r="L39" s="2" t="str">
        <f t="shared" si="1"/>
        <v>Team: Team RAIN  -  Project: Ranch Water Status</v>
      </c>
    </row>
    <row r="40" ht="18.75" customHeight="1">
      <c r="A40" s="2">
        <v>5.0</v>
      </c>
      <c r="B40" s="2">
        <v>4.0</v>
      </c>
      <c r="C40" s="2" t="s">
        <v>141</v>
      </c>
      <c r="D40" s="2" t="s">
        <v>198</v>
      </c>
      <c r="E40" s="2">
        <v>403.0</v>
      </c>
      <c r="F40" s="2" t="s">
        <v>209</v>
      </c>
      <c r="G40" s="2" t="s">
        <v>210</v>
      </c>
      <c r="H40" s="4" t="s">
        <v>190</v>
      </c>
      <c r="I40" s="3" t="s">
        <v>150</v>
      </c>
      <c r="J40" s="5" t="s">
        <v>211</v>
      </c>
      <c r="K40" s="2" t="s">
        <v>212</v>
      </c>
      <c r="L40" s="2" t="str">
        <f t="shared" si="1"/>
        <v>Team: The Wayfinders  -  Project: Assistive Wayfinding for BART Stations</v>
      </c>
    </row>
    <row r="41" ht="18.75" customHeight="1">
      <c r="A41" s="2">
        <v>4.0</v>
      </c>
      <c r="B41" s="2">
        <v>4.0</v>
      </c>
      <c r="C41" s="2" t="s">
        <v>141</v>
      </c>
      <c r="D41" s="2" t="s">
        <v>198</v>
      </c>
      <c r="E41" s="2">
        <v>404.0</v>
      </c>
      <c r="F41" s="2" t="s">
        <v>213</v>
      </c>
      <c r="G41" s="2" t="s">
        <v>214</v>
      </c>
      <c r="H41" s="4" t="s">
        <v>23</v>
      </c>
      <c r="I41" s="3" t="s">
        <v>24</v>
      </c>
      <c r="J41" s="5" t="s">
        <v>215</v>
      </c>
      <c r="K41" s="2" t="s">
        <v>216</v>
      </c>
      <c r="L41" s="2" t="str">
        <f t="shared" si="1"/>
        <v>Team: Almond Vision  -  Project: Dryer Bucket Optimization Project</v>
      </c>
    </row>
    <row r="42" ht="18.75" customHeight="1">
      <c r="A42" s="2">
        <v>4.0</v>
      </c>
      <c r="B42" s="2">
        <v>2.0</v>
      </c>
      <c r="C42" s="2" t="s">
        <v>141</v>
      </c>
      <c r="D42" s="2" t="s">
        <v>198</v>
      </c>
      <c r="E42" s="2">
        <v>405.0</v>
      </c>
      <c r="F42" s="2" t="s">
        <v>217</v>
      </c>
      <c r="G42" s="2" t="s">
        <v>218</v>
      </c>
      <c r="H42" s="4" t="s">
        <v>29</v>
      </c>
      <c r="I42" s="3" t="s">
        <v>24</v>
      </c>
      <c r="J42" s="5" t="s">
        <v>219</v>
      </c>
      <c r="K42" s="2" t="s">
        <v>220</v>
      </c>
      <c r="L42" s="2" t="str">
        <f t="shared" si="1"/>
        <v>Team: DebrisGuard  -  Project: Detecting Foreign Material</v>
      </c>
    </row>
    <row r="43" ht="18.75" customHeight="1">
      <c r="A43" s="2">
        <v>5.0</v>
      </c>
      <c r="B43" s="2">
        <v>3.0</v>
      </c>
      <c r="C43" s="2" t="s">
        <v>141</v>
      </c>
      <c r="D43" s="2" t="s">
        <v>198</v>
      </c>
      <c r="E43" s="2">
        <v>406.0</v>
      </c>
      <c r="F43" s="2" t="s">
        <v>221</v>
      </c>
      <c r="G43" s="2" t="s">
        <v>222</v>
      </c>
      <c r="H43" s="4" t="s">
        <v>34</v>
      </c>
      <c r="I43" s="3" t="s">
        <v>35</v>
      </c>
      <c r="J43" s="6" t="s">
        <v>223</v>
      </c>
      <c r="K43" s="2" t="s">
        <v>224</v>
      </c>
      <c r="L43" s="2" t="str">
        <f t="shared" si="1"/>
        <v>Team: TraceTech  -  Project: Traceability System for Wheat From Field to Bag</v>
      </c>
    </row>
    <row r="44" ht="18.75" customHeight="1">
      <c r="A44" s="2">
        <v>5.0</v>
      </c>
      <c r="B44" s="2">
        <v>5.0</v>
      </c>
      <c r="C44" s="2" t="s">
        <v>141</v>
      </c>
      <c r="D44" s="2" t="s">
        <v>198</v>
      </c>
      <c r="E44" s="2">
        <v>407.0</v>
      </c>
      <c r="F44" s="2" t="s">
        <v>225</v>
      </c>
      <c r="G44" s="2" t="s">
        <v>226</v>
      </c>
      <c r="H44" s="4" t="s">
        <v>45</v>
      </c>
      <c r="I44" s="3" t="s">
        <v>24</v>
      </c>
      <c r="J44" s="6" t="s">
        <v>227</v>
      </c>
      <c r="K44" s="2" t="s">
        <v>228</v>
      </c>
      <c r="L44" s="2" t="str">
        <f t="shared" si="1"/>
        <v>Team: Double Vision  -  Project: Bottling Change Part Wear Measuring</v>
      </c>
    </row>
    <row r="45" ht="18.75" customHeight="1">
      <c r="A45" s="2">
        <v>4.0</v>
      </c>
      <c r="B45" s="2">
        <v>8.0</v>
      </c>
      <c r="C45" s="2" t="s">
        <v>141</v>
      </c>
      <c r="D45" s="2" t="s">
        <v>198</v>
      </c>
      <c r="E45" s="2">
        <v>408.0</v>
      </c>
      <c r="F45" s="2" t="s">
        <v>229</v>
      </c>
      <c r="G45" s="2" t="s">
        <v>230</v>
      </c>
      <c r="H45" s="4" t="s">
        <v>231</v>
      </c>
      <c r="I45" s="3" t="s">
        <v>202</v>
      </c>
      <c r="J45" s="5" t="s">
        <v>232</v>
      </c>
      <c r="K45" s="2" t="s">
        <v>233</v>
      </c>
      <c r="L45" s="2" t="str">
        <f t="shared" si="1"/>
        <v>Team: Qurators²   -  Project: Turning Selected Results from Multiple Web Searches into Curated and Linked Information</v>
      </c>
    </row>
    <row r="46" ht="18.75" customHeight="1">
      <c r="A46" s="2">
        <v>4.0</v>
      </c>
      <c r="B46" s="2">
        <v>1.0</v>
      </c>
      <c r="C46" s="2" t="s">
        <v>141</v>
      </c>
      <c r="D46" s="2" t="s">
        <v>198</v>
      </c>
      <c r="E46" s="2">
        <v>409.0</v>
      </c>
      <c r="F46" s="2" t="s">
        <v>234</v>
      </c>
      <c r="G46" s="2" t="s">
        <v>235</v>
      </c>
      <c r="H46" s="4" t="s">
        <v>236</v>
      </c>
      <c r="I46" s="3" t="s">
        <v>150</v>
      </c>
      <c r="J46" s="5" t="s">
        <v>237</v>
      </c>
      <c r="K46" s="2" t="s">
        <v>238</v>
      </c>
      <c r="L46" s="2" t="str">
        <f t="shared" si="1"/>
        <v>Team: Omron Log Lords  -  Project: RoboLogs: Smart NLP-based Log Summarization Tool for Enhanced Debugging</v>
      </c>
    </row>
    <row r="47" ht="18.75" customHeight="1">
      <c r="A47" s="2">
        <v>4.0</v>
      </c>
      <c r="B47" s="2">
        <v>7.0</v>
      </c>
      <c r="C47" s="2" t="s">
        <v>141</v>
      </c>
      <c r="D47" s="2" t="s">
        <v>198</v>
      </c>
      <c r="E47" s="2">
        <v>410.0</v>
      </c>
      <c r="F47" s="2" t="s">
        <v>239</v>
      </c>
      <c r="G47" s="2" t="s">
        <v>240</v>
      </c>
      <c r="H47" s="4" t="s">
        <v>241</v>
      </c>
      <c r="I47" s="3" t="s">
        <v>242</v>
      </c>
      <c r="J47" s="6" t="s">
        <v>243</v>
      </c>
      <c r="K47" s="2" t="s">
        <v>244</v>
      </c>
      <c r="L47" s="2" t="str">
        <f t="shared" si="1"/>
        <v>Team: Seal Team Sandisk  -  Project: Multilingual Chatroom &amp; Live Audio Translated Caption Software</v>
      </c>
    </row>
    <row r="48" ht="18.75" customHeight="1">
      <c r="A48" s="2">
        <v>5.0</v>
      </c>
      <c r="B48" s="2">
        <v>9.0</v>
      </c>
      <c r="C48" s="2" t="s">
        <v>141</v>
      </c>
      <c r="D48" s="2" t="s">
        <v>198</v>
      </c>
      <c r="E48" s="2">
        <v>411.0</v>
      </c>
      <c r="F48" s="2" t="s">
        <v>245</v>
      </c>
      <c r="G48" s="2" t="s">
        <v>246</v>
      </c>
      <c r="H48" s="4" t="s">
        <v>247</v>
      </c>
      <c r="I48" s="3" t="s">
        <v>60</v>
      </c>
      <c r="J48" s="2" t="s">
        <v>248</v>
      </c>
      <c r="K48" s="2" t="s">
        <v>249</v>
      </c>
      <c r="L48" s="2" t="str">
        <f t="shared" si="1"/>
        <v>Team: Evil Brain Wizards  -  Project: Development and Analysis of Gamified Cognitive Testing</v>
      </c>
    </row>
    <row r="49" ht="18.75" customHeight="1">
      <c r="A49" s="2">
        <v>4.0</v>
      </c>
      <c r="B49" s="2">
        <v>3.0</v>
      </c>
      <c r="C49" s="2" t="s">
        <v>141</v>
      </c>
      <c r="D49" s="2" t="s">
        <v>198</v>
      </c>
      <c r="E49" s="2">
        <v>412.0</v>
      </c>
      <c r="F49" s="2" t="s">
        <v>250</v>
      </c>
      <c r="G49" s="2" t="s">
        <v>251</v>
      </c>
      <c r="H49" s="4" t="s">
        <v>93</v>
      </c>
      <c r="I49" s="3" t="s">
        <v>24</v>
      </c>
      <c r="J49" s="6" t="s">
        <v>252</v>
      </c>
      <c r="K49" s="2" t="s">
        <v>253</v>
      </c>
      <c r="L49" s="2" t="str">
        <f t="shared" si="1"/>
        <v>Team: Tomato Forecasters  -  Project: ML Soil Moisture Forecaster</v>
      </c>
    </row>
    <row r="50" ht="18.75" customHeight="1">
      <c r="A50" s="2">
        <v>4.0</v>
      </c>
      <c r="B50" s="2">
        <v>5.0</v>
      </c>
      <c r="C50" s="2" t="s">
        <v>141</v>
      </c>
      <c r="D50" s="2" t="s">
        <v>198</v>
      </c>
      <c r="E50" s="2">
        <v>413.0</v>
      </c>
      <c r="F50" s="2" t="s">
        <v>254</v>
      </c>
      <c r="G50" s="2" t="s">
        <v>255</v>
      </c>
      <c r="H50" s="4" t="s">
        <v>256</v>
      </c>
      <c r="I50" s="3" t="s">
        <v>71</v>
      </c>
      <c r="J50" s="6" t="s">
        <v>257</v>
      </c>
      <c r="K50" s="2" t="s">
        <v>258</v>
      </c>
      <c r="L50" s="2" t="str">
        <f t="shared" si="1"/>
        <v>Team: ¡Chamba Chamba!  -  Project: Phone App for Agricultural Day Laborers in Mexico</v>
      </c>
    </row>
    <row r="51" ht="18.75" customHeight="1">
      <c r="A51" s="2">
        <v>4.0</v>
      </c>
      <c r="B51" s="2">
        <v>9.0</v>
      </c>
      <c r="C51" s="2" t="s">
        <v>141</v>
      </c>
      <c r="D51" s="2" t="s">
        <v>198</v>
      </c>
      <c r="E51" s="2">
        <v>414.0</v>
      </c>
      <c r="F51" s="2" t="s">
        <v>259</v>
      </c>
      <c r="G51" s="2" t="s">
        <v>260</v>
      </c>
      <c r="H51" s="4" t="s">
        <v>261</v>
      </c>
      <c r="I51" s="3" t="s">
        <v>71</v>
      </c>
      <c r="J51" s="6" t="s">
        <v>262</v>
      </c>
      <c r="K51" s="2" t="s">
        <v>263</v>
      </c>
      <c r="L51" s="2" t="str">
        <f t="shared" si="1"/>
        <v>Team: The Kelly's  -  Project: Department of State Strategic Planning Dashboards</v>
      </c>
    </row>
    <row r="52" ht="18.75" customHeight="1">
      <c r="A52" s="2">
        <v>5.0</v>
      </c>
      <c r="B52" s="2">
        <v>7.0</v>
      </c>
      <c r="C52" s="2" t="s">
        <v>141</v>
      </c>
      <c r="D52" s="2" t="s">
        <v>198</v>
      </c>
      <c r="E52" s="2">
        <v>415.0</v>
      </c>
      <c r="F52" s="2" t="s">
        <v>264</v>
      </c>
      <c r="G52" s="2" t="s">
        <v>265</v>
      </c>
      <c r="H52" s="4" t="s">
        <v>266</v>
      </c>
      <c r="I52" s="3" t="s">
        <v>71</v>
      </c>
      <c r="J52" s="6" t="s">
        <v>267</v>
      </c>
      <c r="K52" s="2" t="s">
        <v>268</v>
      </c>
      <c r="L52" s="2" t="str">
        <f t="shared" si="1"/>
        <v>Team: Integirty Analysis  -  Project: Niger Online Disinformation Tracker (NODT</v>
      </c>
    </row>
    <row r="53" ht="18.75" customHeight="1">
      <c r="A53" s="2">
        <v>5.0</v>
      </c>
      <c r="B53" s="2">
        <v>1.0</v>
      </c>
      <c r="C53" s="2" t="s">
        <v>141</v>
      </c>
      <c r="D53" s="2" t="s">
        <v>198</v>
      </c>
      <c r="E53" s="2">
        <v>416.0</v>
      </c>
      <c r="F53" s="2" t="s">
        <v>269</v>
      </c>
      <c r="G53" s="2" t="s">
        <v>270</v>
      </c>
      <c r="H53" s="7" t="s">
        <v>271</v>
      </c>
      <c r="I53" s="3" t="s">
        <v>272</v>
      </c>
      <c r="J53" s="6" t="s">
        <v>273</v>
      </c>
      <c r="K53" s="2" t="s">
        <v>274</v>
      </c>
      <c r="L53" s="2" t="str">
        <f t="shared" si="1"/>
        <v>Team: Trailblazers  -  Project: Mariposa Trails Digital Guide App</v>
      </c>
    </row>
    <row r="54" ht="18.75" customHeight="1">
      <c r="A54" s="2">
        <v>5.0</v>
      </c>
      <c r="B54" s="2">
        <v>10.0</v>
      </c>
      <c r="C54" s="2" t="s">
        <v>141</v>
      </c>
      <c r="D54" s="2" t="s">
        <v>198</v>
      </c>
      <c r="E54" s="2">
        <v>417.0</v>
      </c>
      <c r="F54" s="2" t="s">
        <v>275</v>
      </c>
      <c r="G54" s="2" t="s">
        <v>276</v>
      </c>
      <c r="H54" s="4" t="s">
        <v>231</v>
      </c>
      <c r="I54" s="3" t="s">
        <v>202</v>
      </c>
      <c r="J54" s="5" t="s">
        <v>277</v>
      </c>
      <c r="K54" s="2" t="s">
        <v>278</v>
      </c>
      <c r="L54" s="2" t="str">
        <f t="shared" si="1"/>
        <v>Team: Quiq2Linq  -  Project: Mobile App for Networking Engagement:  Information Capture and Aggregation (Phase 2)</v>
      </c>
    </row>
    <row r="55" ht="18.75" customHeight="1">
      <c r="A55" s="2">
        <v>4.0</v>
      </c>
      <c r="B55" s="2">
        <v>10.0</v>
      </c>
      <c r="C55" s="2" t="s">
        <v>141</v>
      </c>
      <c r="D55" s="2" t="s">
        <v>198</v>
      </c>
      <c r="E55" s="2">
        <v>418.0</v>
      </c>
      <c r="F55" s="2" t="s">
        <v>279</v>
      </c>
      <c r="G55" s="2" t="s">
        <v>280</v>
      </c>
      <c r="H55" s="4" t="s">
        <v>281</v>
      </c>
      <c r="I55" s="3" t="s">
        <v>202</v>
      </c>
      <c r="J55" s="8" t="s">
        <v>282</v>
      </c>
      <c r="K55" s="2" t="s">
        <v>283</v>
      </c>
      <c r="L55" s="2" t="str">
        <f t="shared" si="1"/>
        <v>Team: QuoteX  -  Project: Rapid Prototyping Services App - Phase 2</v>
      </c>
    </row>
    <row r="56" ht="18.75" customHeight="1">
      <c r="A56" s="2">
        <v>3.0</v>
      </c>
      <c r="B56" s="2">
        <v>1.0</v>
      </c>
      <c r="C56" s="2" t="s">
        <v>141</v>
      </c>
      <c r="D56" s="2" t="s">
        <v>284</v>
      </c>
      <c r="E56" s="2">
        <v>501.0</v>
      </c>
      <c r="F56" s="2" t="s">
        <v>285</v>
      </c>
      <c r="G56" s="2" t="s">
        <v>286</v>
      </c>
      <c r="H56" s="2" t="s">
        <v>195</v>
      </c>
      <c r="I56" s="2" t="s">
        <v>287</v>
      </c>
      <c r="J56" s="2" t="s">
        <v>288</v>
      </c>
      <c r="K56" s="2" t="s">
        <v>289</v>
      </c>
      <c r="L56" s="2" t="str">
        <f t="shared" si="1"/>
        <v>Team: Solar Salt  -  Project: Inland brackish water desalination with solar energy</v>
      </c>
    </row>
    <row r="57" ht="18.75" customHeight="1">
      <c r="A57" s="2">
        <v>3.0</v>
      </c>
      <c r="B57" s="2">
        <v>2.0</v>
      </c>
      <c r="C57" s="2" t="s">
        <v>141</v>
      </c>
      <c r="D57" s="2" t="s">
        <v>284</v>
      </c>
      <c r="E57" s="2">
        <v>502.0</v>
      </c>
      <c r="F57" s="2" t="s">
        <v>290</v>
      </c>
      <c r="G57" s="2" t="s">
        <v>291</v>
      </c>
      <c r="H57" s="2" t="s">
        <v>292</v>
      </c>
      <c r="I57" s="2" t="s">
        <v>293</v>
      </c>
      <c r="J57" s="2" t="s">
        <v>294</v>
      </c>
      <c r="K57" s="2" t="s">
        <v>295</v>
      </c>
      <c r="L57" s="2" t="str">
        <f t="shared" si="1"/>
        <v>Team: Clear Contact  -  Project: San Pablo Clearwell Replacement Project</v>
      </c>
    </row>
    <row r="58" ht="18.75" customHeight="1">
      <c r="A58" s="2">
        <v>3.0</v>
      </c>
      <c r="B58" s="2">
        <v>3.0</v>
      </c>
      <c r="C58" s="2" t="s">
        <v>141</v>
      </c>
      <c r="D58" s="2" t="s">
        <v>284</v>
      </c>
      <c r="E58" s="2">
        <v>503.0</v>
      </c>
      <c r="F58" s="2" t="s">
        <v>296</v>
      </c>
      <c r="G58" s="2" t="s">
        <v>297</v>
      </c>
      <c r="H58" s="2" t="s">
        <v>195</v>
      </c>
      <c r="I58" s="2" t="s">
        <v>298</v>
      </c>
      <c r="J58" s="2" t="s">
        <v>299</v>
      </c>
      <c r="K58" s="2" t="s">
        <v>300</v>
      </c>
      <c r="L58" s="2" t="str">
        <f t="shared" si="1"/>
        <v>Team: Bobcat Builders  -  Project: UC Merced Pedestrian and Light Utility Bridge</v>
      </c>
    </row>
    <row r="59" ht="18.75" customHeight="1">
      <c r="A59" s="2">
        <v>3.0</v>
      </c>
      <c r="B59" s="2">
        <v>4.0</v>
      </c>
      <c r="C59" s="2" t="s">
        <v>141</v>
      </c>
      <c r="D59" s="2" t="s">
        <v>284</v>
      </c>
      <c r="E59" s="2">
        <v>504.0</v>
      </c>
      <c r="F59" s="2" t="s">
        <v>301</v>
      </c>
      <c r="G59" s="2" t="s">
        <v>302</v>
      </c>
      <c r="H59" s="2" t="s">
        <v>303</v>
      </c>
      <c r="I59" s="2" t="s">
        <v>287</v>
      </c>
      <c r="J59" s="2" t="s">
        <v>304</v>
      </c>
      <c r="K59" s="2" t="s">
        <v>305</v>
      </c>
      <c r="L59" s="2" t="str">
        <f t="shared" si="1"/>
        <v>Team: Filter Force  -  Project: Bioretention for Removal of Microplastics in Stormwater</v>
      </c>
    </row>
    <row r="60" ht="18.75" customHeight="1">
      <c r="A60" s="2">
        <v>4.0</v>
      </c>
      <c r="B60" s="2">
        <v>6.0</v>
      </c>
      <c r="C60" s="2" t="s">
        <v>141</v>
      </c>
      <c r="D60" s="2" t="s">
        <v>198</v>
      </c>
      <c r="E60" s="2"/>
      <c r="F60" s="2"/>
      <c r="G60" s="2" t="s">
        <v>306</v>
      </c>
      <c r="H60" s="2" t="s">
        <v>306</v>
      </c>
      <c r="I60" s="2"/>
      <c r="J60" s="2" t="s">
        <v>306</v>
      </c>
      <c r="K60" s="2" t="s">
        <v>306</v>
      </c>
      <c r="L60" s="2"/>
    </row>
    <row r="61" ht="18.75" customHeight="1">
      <c r="A61" s="2">
        <v>5.0</v>
      </c>
      <c r="B61" s="2">
        <v>6.0</v>
      </c>
      <c r="C61" s="2" t="s">
        <v>141</v>
      </c>
      <c r="D61" s="2" t="s">
        <v>198</v>
      </c>
      <c r="E61" s="2"/>
      <c r="F61" s="2"/>
      <c r="G61" s="2" t="s">
        <v>306</v>
      </c>
      <c r="H61" s="2" t="s">
        <v>306</v>
      </c>
      <c r="I61" s="2"/>
      <c r="J61" s="2" t="s">
        <v>306</v>
      </c>
      <c r="K61" s="2" t="s">
        <v>306</v>
      </c>
      <c r="L61"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3" max="3" width="3.5"/>
    <col customWidth="1" min="4" max="4" width="6.88"/>
    <col customWidth="1" min="5" max="5" width="25.75"/>
    <col customWidth="1" min="7" max="7" width="23.63"/>
  </cols>
  <sheetData>
    <row r="1" ht="22.5" customHeight="1">
      <c r="A1" s="9" t="s">
        <v>307</v>
      </c>
      <c r="B1" s="9" t="s">
        <v>308</v>
      </c>
      <c r="C1" s="9" t="s">
        <v>309</v>
      </c>
      <c r="D1" s="9" t="s">
        <v>3</v>
      </c>
      <c r="E1" s="10" t="s">
        <v>310</v>
      </c>
      <c r="F1" s="9" t="s">
        <v>0</v>
      </c>
      <c r="G1" s="9" t="s">
        <v>311</v>
      </c>
    </row>
    <row r="2" ht="22.5" customHeight="1">
      <c r="A2" s="4">
        <v>1.0</v>
      </c>
      <c r="B2" s="7" t="s">
        <v>312</v>
      </c>
      <c r="C2" s="11"/>
      <c r="D2" s="12" t="s">
        <v>14</v>
      </c>
      <c r="E2" s="13" t="s">
        <v>313</v>
      </c>
      <c r="F2" s="14">
        <v>1.0</v>
      </c>
      <c r="G2" s="15" t="s">
        <v>314</v>
      </c>
    </row>
    <row r="3" ht="22.5" customHeight="1">
      <c r="A3" s="4">
        <v>2.0</v>
      </c>
      <c r="B3" s="7" t="s">
        <v>315</v>
      </c>
      <c r="C3" s="11"/>
      <c r="D3" s="12" t="s">
        <v>14</v>
      </c>
      <c r="E3" s="16" t="s">
        <v>316</v>
      </c>
      <c r="F3" s="16">
        <v>2.0</v>
      </c>
      <c r="G3" s="15" t="s">
        <v>317</v>
      </c>
    </row>
    <row r="4" ht="22.5" customHeight="1">
      <c r="A4" s="4">
        <v>3.0</v>
      </c>
      <c r="B4" s="7" t="s">
        <v>318</v>
      </c>
      <c r="C4" s="11"/>
      <c r="D4" s="17" t="s">
        <v>284</v>
      </c>
      <c r="E4" s="18" t="s">
        <v>319</v>
      </c>
      <c r="F4" s="18">
        <v>3.0</v>
      </c>
      <c r="G4" s="15" t="s">
        <v>320</v>
      </c>
    </row>
    <row r="5" ht="22.5" customHeight="1">
      <c r="A5" s="4">
        <v>4.0</v>
      </c>
      <c r="B5" s="7" t="s">
        <v>321</v>
      </c>
      <c r="C5" s="11"/>
      <c r="D5" s="19" t="s">
        <v>198</v>
      </c>
      <c r="E5" s="20" t="s">
        <v>322</v>
      </c>
      <c r="F5" s="20">
        <v>4.0</v>
      </c>
      <c r="G5" s="15" t="s">
        <v>323</v>
      </c>
    </row>
    <row r="6" ht="22.5" customHeight="1">
      <c r="A6" s="4">
        <v>5.0</v>
      </c>
      <c r="B6" s="7" t="s">
        <v>324</v>
      </c>
      <c r="C6" s="11"/>
      <c r="D6" s="19" t="s">
        <v>198</v>
      </c>
      <c r="E6" s="21" t="s">
        <v>325</v>
      </c>
      <c r="F6" s="21">
        <v>5.0</v>
      </c>
      <c r="G6" s="15" t="s">
        <v>326</v>
      </c>
    </row>
    <row r="7" ht="22.5" customHeight="1">
      <c r="A7" s="22"/>
      <c r="B7" s="22"/>
      <c r="C7" s="22"/>
      <c r="D7" s="22"/>
      <c r="E7" s="22"/>
      <c r="F7" s="22"/>
      <c r="G7" s="22"/>
    </row>
    <row r="8" ht="22.5" customHeight="1">
      <c r="A8" s="15" t="s">
        <v>327</v>
      </c>
      <c r="B8" s="23"/>
      <c r="C8" s="23"/>
      <c r="D8" s="12" t="s">
        <v>14</v>
      </c>
      <c r="E8" s="15" t="s">
        <v>328</v>
      </c>
      <c r="F8" s="23"/>
      <c r="G8" s="15" t="s">
        <v>329</v>
      </c>
    </row>
    <row r="9" ht="22.5" customHeight="1">
      <c r="A9" s="15" t="s">
        <v>327</v>
      </c>
      <c r="B9" s="23"/>
      <c r="C9" s="23"/>
      <c r="D9" s="19" t="s">
        <v>198</v>
      </c>
      <c r="E9" s="15" t="s">
        <v>330</v>
      </c>
      <c r="F9" s="23"/>
      <c r="G9" s="15" t="s">
        <v>331</v>
      </c>
    </row>
    <row r="10" ht="22.5" customHeight="1">
      <c r="A10" s="22"/>
      <c r="B10" s="22"/>
      <c r="C10" s="22"/>
      <c r="D10" s="22"/>
      <c r="E10" s="22"/>
      <c r="F10" s="22"/>
      <c r="G1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4">
        <v>501.0</v>
      </c>
      <c r="B2" s="24" t="s">
        <v>332</v>
      </c>
      <c r="C2" s="24" t="s">
        <v>333</v>
      </c>
      <c r="D2" s="24" t="s">
        <v>334</v>
      </c>
      <c r="E2" s="24" t="s">
        <v>335</v>
      </c>
      <c r="G2" s="24" t="s">
        <v>336</v>
      </c>
      <c r="H2" s="24" t="s">
        <v>285</v>
      </c>
      <c r="J2" s="25" t="str">
        <f>G2 &amp; ", " &amp; G3 &amp; ", " &amp;G4 &amp; ", " &amp;G5 &amp; ", " &amp;G6</f>
        <v>Xavier Barajas, James Flores, AJ Heard, Ximena Martinez, Sera Riley</v>
      </c>
    </row>
    <row r="3">
      <c r="A3" s="24">
        <v>501.0</v>
      </c>
      <c r="B3" s="24" t="s">
        <v>332</v>
      </c>
      <c r="C3" s="24" t="s">
        <v>333</v>
      </c>
      <c r="D3" s="24" t="s">
        <v>334</v>
      </c>
      <c r="E3" s="24" t="s">
        <v>335</v>
      </c>
      <c r="G3" s="24" t="s">
        <v>337</v>
      </c>
      <c r="H3" s="24" t="s">
        <v>285</v>
      </c>
    </row>
    <row r="4">
      <c r="A4" s="24">
        <v>501.0</v>
      </c>
      <c r="B4" s="24" t="s">
        <v>332</v>
      </c>
      <c r="C4" s="24" t="s">
        <v>333</v>
      </c>
      <c r="D4" s="24" t="s">
        <v>334</v>
      </c>
      <c r="E4" s="24" t="s">
        <v>335</v>
      </c>
      <c r="G4" s="24" t="s">
        <v>338</v>
      </c>
      <c r="H4" s="24" t="s">
        <v>285</v>
      </c>
    </row>
    <row r="5">
      <c r="A5" s="24">
        <v>501.0</v>
      </c>
      <c r="B5" s="24" t="s">
        <v>332</v>
      </c>
      <c r="C5" s="24" t="s">
        <v>333</v>
      </c>
      <c r="D5" s="24" t="s">
        <v>334</v>
      </c>
      <c r="E5" s="24" t="s">
        <v>335</v>
      </c>
      <c r="G5" s="24" t="s">
        <v>339</v>
      </c>
      <c r="H5" s="24" t="s">
        <v>285</v>
      </c>
    </row>
    <row r="6">
      <c r="A6" s="24">
        <v>501.0</v>
      </c>
      <c r="B6" s="24" t="s">
        <v>332</v>
      </c>
      <c r="C6" s="24" t="s">
        <v>333</v>
      </c>
      <c r="D6" s="24" t="s">
        <v>334</v>
      </c>
      <c r="E6" s="24" t="s">
        <v>335</v>
      </c>
      <c r="G6" s="24" t="s">
        <v>340</v>
      </c>
      <c r="H6" s="24" t="s">
        <v>285</v>
      </c>
    </row>
    <row r="8">
      <c r="A8" s="24">
        <v>502.0</v>
      </c>
      <c r="B8" s="24" t="s">
        <v>341</v>
      </c>
      <c r="C8" s="24" t="s">
        <v>342</v>
      </c>
      <c r="D8" s="24" t="s">
        <v>343</v>
      </c>
      <c r="E8" s="24" t="s">
        <v>344</v>
      </c>
      <c r="G8" s="24" t="s">
        <v>345</v>
      </c>
      <c r="H8" s="24" t="s">
        <v>290</v>
      </c>
      <c r="J8" s="25" t="str">
        <f>G8 &amp; ", " &amp; G9 &amp; ", " &amp;G10 &amp; ", " &amp;G11</f>
        <v>Nayerli Carbajal, Ivan Chen, Joan Miramontes Navarro, Eduardo Perez</v>
      </c>
    </row>
    <row r="9">
      <c r="A9" s="24">
        <v>502.0</v>
      </c>
      <c r="B9" s="24" t="s">
        <v>341</v>
      </c>
      <c r="C9" s="24" t="s">
        <v>342</v>
      </c>
      <c r="D9" s="24" t="s">
        <v>343</v>
      </c>
      <c r="E9" s="24" t="s">
        <v>344</v>
      </c>
      <c r="G9" s="24" t="s">
        <v>346</v>
      </c>
      <c r="H9" s="24" t="s">
        <v>290</v>
      </c>
    </row>
    <row r="10">
      <c r="A10" s="24">
        <v>502.0</v>
      </c>
      <c r="B10" s="24" t="s">
        <v>341</v>
      </c>
      <c r="C10" s="24" t="s">
        <v>342</v>
      </c>
      <c r="D10" s="24" t="s">
        <v>343</v>
      </c>
      <c r="E10" s="24" t="s">
        <v>344</v>
      </c>
      <c r="G10" s="24" t="s">
        <v>347</v>
      </c>
      <c r="H10" s="24" t="s">
        <v>290</v>
      </c>
    </row>
    <row r="11">
      <c r="A11" s="24">
        <v>502.0</v>
      </c>
      <c r="B11" s="24" t="s">
        <v>341</v>
      </c>
      <c r="C11" s="24" t="s">
        <v>342</v>
      </c>
      <c r="D11" s="24" t="s">
        <v>343</v>
      </c>
      <c r="E11" s="24" t="s">
        <v>344</v>
      </c>
      <c r="G11" s="24" t="s">
        <v>348</v>
      </c>
      <c r="H11" s="24" t="s">
        <v>290</v>
      </c>
    </row>
    <row r="13">
      <c r="A13" s="24">
        <v>503.0</v>
      </c>
      <c r="B13" s="24" t="s">
        <v>349</v>
      </c>
      <c r="C13" s="24" t="s">
        <v>350</v>
      </c>
      <c r="D13" s="24" t="s">
        <v>351</v>
      </c>
      <c r="E13" s="24" t="s">
        <v>352</v>
      </c>
      <c r="G13" s="24" t="s">
        <v>353</v>
      </c>
      <c r="H13" s="24" t="s">
        <v>354</v>
      </c>
      <c r="J13" s="25" t="str">
        <f>G13 &amp; ", " &amp; G14 &amp; ", " &amp;G15 &amp; ", " &amp;G16</f>
        <v>Andy Alonso-Franco, Paul Bursey, Henry Espejo, Javier Maldonado</v>
      </c>
    </row>
    <row r="14">
      <c r="A14" s="24">
        <v>503.0</v>
      </c>
      <c r="B14" s="24" t="s">
        <v>349</v>
      </c>
      <c r="C14" s="24" t="s">
        <v>350</v>
      </c>
      <c r="D14" s="24" t="s">
        <v>351</v>
      </c>
      <c r="E14" s="24" t="s">
        <v>352</v>
      </c>
      <c r="G14" s="24" t="s">
        <v>355</v>
      </c>
      <c r="H14" s="24" t="s">
        <v>354</v>
      </c>
    </row>
    <row r="15">
      <c r="A15" s="24">
        <v>503.0</v>
      </c>
      <c r="B15" s="24" t="s">
        <v>349</v>
      </c>
      <c r="C15" s="24" t="s">
        <v>350</v>
      </c>
      <c r="D15" s="24" t="s">
        <v>351</v>
      </c>
      <c r="E15" s="24" t="s">
        <v>352</v>
      </c>
      <c r="G15" s="24" t="s">
        <v>356</v>
      </c>
      <c r="H15" s="24" t="s">
        <v>354</v>
      </c>
    </row>
    <row r="16">
      <c r="A16" s="24">
        <v>503.0</v>
      </c>
      <c r="B16" s="24" t="s">
        <v>349</v>
      </c>
      <c r="C16" s="24" t="s">
        <v>350</v>
      </c>
      <c r="D16" s="24" t="s">
        <v>351</v>
      </c>
      <c r="E16" s="24" t="s">
        <v>352</v>
      </c>
      <c r="G16" s="24" t="s">
        <v>357</v>
      </c>
      <c r="H16" s="24" t="s">
        <v>354</v>
      </c>
    </row>
    <row r="18">
      <c r="A18" s="24">
        <v>504.0</v>
      </c>
      <c r="B18" s="24" t="s">
        <v>358</v>
      </c>
      <c r="C18" s="24" t="s">
        <v>359</v>
      </c>
      <c r="D18" s="24" t="s">
        <v>360</v>
      </c>
      <c r="E18" s="24" t="s">
        <v>361</v>
      </c>
      <c r="G18" s="24" t="s">
        <v>362</v>
      </c>
      <c r="H18" s="24" t="s">
        <v>363</v>
      </c>
      <c r="J18" s="25" t="str">
        <f>G18 &amp; ", " &amp; G19 &amp; ", " &amp;G20 &amp; ", " &amp;G21</f>
        <v>Jesus Ignacio Enriquez, Juquan Liang, Roldini Roldan Caballero, Alejandro Garcia</v>
      </c>
    </row>
    <row r="19">
      <c r="A19" s="24">
        <v>504.0</v>
      </c>
      <c r="B19" s="24" t="s">
        <v>358</v>
      </c>
      <c r="C19" s="24" t="s">
        <v>364</v>
      </c>
      <c r="D19" s="24" t="s">
        <v>360</v>
      </c>
      <c r="E19" s="24" t="s">
        <v>361</v>
      </c>
      <c r="G19" s="24" t="s">
        <v>365</v>
      </c>
      <c r="H19" s="24" t="s">
        <v>366</v>
      </c>
    </row>
    <row r="20">
      <c r="A20" s="24">
        <v>504.0</v>
      </c>
      <c r="B20" s="24" t="s">
        <v>358</v>
      </c>
      <c r="C20" s="24" t="s">
        <v>367</v>
      </c>
      <c r="D20" s="24" t="s">
        <v>360</v>
      </c>
      <c r="E20" s="24" t="s">
        <v>361</v>
      </c>
      <c r="G20" s="24" t="s">
        <v>368</v>
      </c>
      <c r="H20" s="24" t="s">
        <v>369</v>
      </c>
    </row>
    <row r="21">
      <c r="A21" s="24">
        <v>504.0</v>
      </c>
      <c r="B21" s="24" t="s">
        <v>358</v>
      </c>
      <c r="C21" s="24" t="s">
        <v>370</v>
      </c>
      <c r="D21" s="24" t="s">
        <v>360</v>
      </c>
      <c r="E21" s="24" t="s">
        <v>361</v>
      </c>
      <c r="G21" s="24" t="s">
        <v>371</v>
      </c>
      <c r="H21" s="24" t="s">
        <v>372</v>
      </c>
    </row>
    <row r="23">
      <c r="C23" s="24" t="s">
        <v>286</v>
      </c>
      <c r="D23" s="24" t="s">
        <v>195</v>
      </c>
      <c r="E23" s="24" t="s">
        <v>373</v>
      </c>
      <c r="G23" s="24" t="s">
        <v>336</v>
      </c>
      <c r="H23" s="24" t="s">
        <v>285</v>
      </c>
      <c r="I23" s="24" t="s">
        <v>374</v>
      </c>
      <c r="J23" s="25" t="s">
        <v>289</v>
      </c>
    </row>
    <row r="24">
      <c r="C24" s="24" t="s">
        <v>291</v>
      </c>
      <c r="D24" s="24" t="s">
        <v>292</v>
      </c>
      <c r="E24" s="24" t="s">
        <v>293</v>
      </c>
      <c r="G24" s="24" t="s">
        <v>345</v>
      </c>
      <c r="H24" s="24" t="s">
        <v>290</v>
      </c>
      <c r="I24" s="24" t="s">
        <v>375</v>
      </c>
      <c r="J24" s="25" t="s">
        <v>376</v>
      </c>
    </row>
    <row r="25">
      <c r="C25" s="24" t="s">
        <v>297</v>
      </c>
      <c r="D25" s="24" t="s">
        <v>195</v>
      </c>
      <c r="E25" s="24" t="s">
        <v>377</v>
      </c>
      <c r="G25" s="24" t="s">
        <v>353</v>
      </c>
      <c r="H25" s="24" t="s">
        <v>354</v>
      </c>
      <c r="I25" s="24" t="s">
        <v>378</v>
      </c>
      <c r="J25" s="25" t="s">
        <v>300</v>
      </c>
    </row>
    <row r="26">
      <c r="C26" s="24" t="s">
        <v>302</v>
      </c>
      <c r="D26" s="24" t="s">
        <v>379</v>
      </c>
      <c r="E26" s="24" t="s">
        <v>373</v>
      </c>
      <c r="G26" s="24" t="s">
        <v>362</v>
      </c>
      <c r="H26" s="24" t="s">
        <v>301</v>
      </c>
      <c r="I26" s="24" t="s">
        <v>380</v>
      </c>
      <c r="J26" s="25" t="s">
        <v>305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80.13"/>
    <col customWidth="1" min="3" max="3" width="80.38"/>
  </cols>
  <sheetData>
    <row r="1">
      <c r="A1" s="26" t="s">
        <v>381</v>
      </c>
      <c r="B1" s="26" t="s">
        <v>382</v>
      </c>
      <c r="C1" s="26" t="s">
        <v>146</v>
      </c>
      <c r="D1" s="27"/>
    </row>
    <row r="2">
      <c r="A2" s="26" t="s">
        <v>383</v>
      </c>
      <c r="B2" s="26" t="s">
        <v>384</v>
      </c>
      <c r="C2" s="26" t="s">
        <v>152</v>
      </c>
      <c r="D2" s="27"/>
    </row>
    <row r="3">
      <c r="A3" s="26" t="s">
        <v>385</v>
      </c>
      <c r="B3" s="26" t="s">
        <v>386</v>
      </c>
      <c r="C3" s="26" t="s">
        <v>156</v>
      </c>
      <c r="D3" s="27"/>
    </row>
    <row r="4">
      <c r="A4" s="26" t="s">
        <v>387</v>
      </c>
      <c r="B4" s="26" t="s">
        <v>388</v>
      </c>
      <c r="C4" s="26" t="s">
        <v>162</v>
      </c>
      <c r="D4" s="27"/>
    </row>
    <row r="5">
      <c r="A5" s="26" t="s">
        <v>389</v>
      </c>
      <c r="B5" s="26" t="s">
        <v>390</v>
      </c>
      <c r="C5" s="26" t="s">
        <v>167</v>
      </c>
      <c r="D5" s="27"/>
    </row>
    <row r="6">
      <c r="A6" s="26" t="s">
        <v>391</v>
      </c>
      <c r="B6" s="26" t="s">
        <v>392</v>
      </c>
      <c r="C6" s="26" t="s">
        <v>172</v>
      </c>
      <c r="D6" s="27"/>
    </row>
    <row r="7">
      <c r="A7" s="26" t="s">
        <v>393</v>
      </c>
      <c r="B7" s="26" t="s">
        <v>394</v>
      </c>
      <c r="C7" s="26" t="s">
        <v>177</v>
      </c>
      <c r="D7" s="27"/>
    </row>
    <row r="8">
      <c r="A8" s="26" t="s">
        <v>395</v>
      </c>
      <c r="B8" s="26" t="s">
        <v>396</v>
      </c>
      <c r="C8" s="26" t="s">
        <v>182</v>
      </c>
      <c r="D8" s="27"/>
    </row>
    <row r="9">
      <c r="A9" s="26" t="s">
        <v>397</v>
      </c>
      <c r="B9" s="26" t="s">
        <v>398</v>
      </c>
      <c r="C9" s="26" t="s">
        <v>187</v>
      </c>
      <c r="D9" s="27"/>
    </row>
    <row r="10">
      <c r="A10" s="26" t="s">
        <v>399</v>
      </c>
      <c r="B10" s="26" t="s">
        <v>400</v>
      </c>
      <c r="C10" s="26" t="s">
        <v>192</v>
      </c>
      <c r="D10" s="27"/>
    </row>
    <row r="11">
      <c r="A11" s="26" t="s">
        <v>401</v>
      </c>
      <c r="B11" s="26" t="s">
        <v>402</v>
      </c>
      <c r="C11" s="26" t="s">
        <v>197</v>
      </c>
      <c r="D11" s="27"/>
    </row>
    <row r="12">
      <c r="A12" s="26" t="s">
        <v>403</v>
      </c>
      <c r="B12" s="26" t="s">
        <v>404</v>
      </c>
      <c r="C12" s="26" t="s">
        <v>204</v>
      </c>
      <c r="D12" s="27"/>
    </row>
    <row r="13">
      <c r="A13" s="26" t="s">
        <v>405</v>
      </c>
      <c r="B13" s="26" t="s">
        <v>406</v>
      </c>
      <c r="C13" s="26" t="s">
        <v>208</v>
      </c>
      <c r="D13" s="27"/>
    </row>
    <row r="14">
      <c r="A14" s="26" t="s">
        <v>407</v>
      </c>
      <c r="B14" s="26" t="s">
        <v>408</v>
      </c>
      <c r="C14" s="26" t="s">
        <v>212</v>
      </c>
      <c r="D14" s="27"/>
    </row>
    <row r="15">
      <c r="A15" s="26" t="s">
        <v>409</v>
      </c>
      <c r="B15" s="26" t="s">
        <v>410</v>
      </c>
      <c r="C15" s="26" t="s">
        <v>216</v>
      </c>
      <c r="D15" s="27"/>
    </row>
    <row r="16">
      <c r="A16" s="26" t="s">
        <v>411</v>
      </c>
      <c r="B16" s="26" t="s">
        <v>412</v>
      </c>
      <c r="C16" s="26" t="s">
        <v>220</v>
      </c>
      <c r="D16" s="27"/>
    </row>
    <row r="17">
      <c r="A17" s="26" t="s">
        <v>413</v>
      </c>
      <c r="B17" s="26" t="s">
        <v>414</v>
      </c>
      <c r="C17" s="26" t="s">
        <v>224</v>
      </c>
      <c r="D17" s="27"/>
    </row>
    <row r="18">
      <c r="A18" s="26" t="s">
        <v>415</v>
      </c>
      <c r="B18" s="26" t="s">
        <v>416</v>
      </c>
      <c r="C18" s="26" t="s">
        <v>228</v>
      </c>
      <c r="D18" s="27"/>
    </row>
    <row r="19">
      <c r="A19" s="26" t="s">
        <v>417</v>
      </c>
      <c r="B19" s="26" t="s">
        <v>418</v>
      </c>
      <c r="C19" s="26" t="s">
        <v>233</v>
      </c>
      <c r="D19" s="27"/>
    </row>
    <row r="20">
      <c r="A20" s="26" t="s">
        <v>419</v>
      </c>
      <c r="B20" s="26" t="s">
        <v>420</v>
      </c>
      <c r="C20" s="26" t="s">
        <v>238</v>
      </c>
      <c r="D20" s="27"/>
    </row>
    <row r="21">
      <c r="A21" s="26" t="s">
        <v>421</v>
      </c>
      <c r="B21" s="26" t="s">
        <v>422</v>
      </c>
      <c r="C21" s="26" t="s">
        <v>244</v>
      </c>
      <c r="D21" s="27"/>
    </row>
    <row r="22">
      <c r="A22" s="26" t="s">
        <v>423</v>
      </c>
      <c r="B22" s="26" t="s">
        <v>424</v>
      </c>
      <c r="C22" s="26" t="s">
        <v>249</v>
      </c>
      <c r="D22" s="27"/>
    </row>
    <row r="23">
      <c r="A23" s="26" t="s">
        <v>425</v>
      </c>
      <c r="B23" s="26" t="s">
        <v>426</v>
      </c>
      <c r="C23" s="26" t="s">
        <v>253</v>
      </c>
      <c r="D23" s="27"/>
    </row>
    <row r="24">
      <c r="A24" s="26" t="s">
        <v>427</v>
      </c>
      <c r="B24" s="26" t="s">
        <v>428</v>
      </c>
      <c r="C24" s="26" t="s">
        <v>258</v>
      </c>
      <c r="D24" s="27"/>
    </row>
    <row r="25">
      <c r="A25" s="26" t="s">
        <v>429</v>
      </c>
      <c r="B25" s="26" t="s">
        <v>430</v>
      </c>
      <c r="C25" s="26" t="s">
        <v>263</v>
      </c>
      <c r="D25" s="27"/>
    </row>
    <row r="26">
      <c r="A26" s="26" t="s">
        <v>431</v>
      </c>
      <c r="B26" s="26" t="s">
        <v>432</v>
      </c>
      <c r="C26" s="26" t="s">
        <v>268</v>
      </c>
      <c r="D26" s="27"/>
    </row>
    <row r="27">
      <c r="A27" s="26" t="s">
        <v>433</v>
      </c>
      <c r="B27" s="26" t="s">
        <v>434</v>
      </c>
      <c r="C27" s="26" t="s">
        <v>274</v>
      </c>
      <c r="D27" s="27"/>
    </row>
    <row r="28">
      <c r="A28" s="26" t="s">
        <v>435</v>
      </c>
      <c r="B28" s="26" t="s">
        <v>436</v>
      </c>
      <c r="C28" s="26" t="s">
        <v>278</v>
      </c>
      <c r="D28" s="27"/>
    </row>
    <row r="29">
      <c r="A29" s="26" t="s">
        <v>437</v>
      </c>
      <c r="B29" s="26" t="s">
        <v>438</v>
      </c>
      <c r="C29" s="26" t="s">
        <v>283</v>
      </c>
      <c r="D29" s="27"/>
    </row>
    <row r="30">
      <c r="A30" s="26" t="s">
        <v>439</v>
      </c>
      <c r="B30" s="26"/>
      <c r="C30" s="26"/>
      <c r="D30" s="27"/>
    </row>
    <row r="31">
      <c r="A31" s="26" t="s">
        <v>440</v>
      </c>
      <c r="B31" s="26"/>
      <c r="C31" s="26"/>
      <c r="D31" s="27"/>
    </row>
    <row r="32">
      <c r="A32" s="26" t="s">
        <v>441</v>
      </c>
      <c r="B32" s="26"/>
      <c r="C32" s="26"/>
      <c r="D32" s="27"/>
    </row>
    <row r="33">
      <c r="A33" s="26" t="s">
        <v>442</v>
      </c>
      <c r="B33" s="26"/>
      <c r="C33" s="26"/>
      <c r="D33" s="27"/>
    </row>
  </sheetData>
  <drawing r:id="rId1"/>
</worksheet>
</file>