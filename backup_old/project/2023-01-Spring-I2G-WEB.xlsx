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01-Spring-I2G-WEB" sheetId="1" r:id="rId5"/>
    <sheet state="visible" name="2023-01-Spring-I2G-STUDENTS" sheetId="2" r:id="rId6"/>
    <sheet state="visible" name="PARTNERS + SPONSORS" sheetId="3" r:id="rId7"/>
  </sheets>
  <definedNames/>
  <calcPr/>
</workbook>
</file>

<file path=xl/sharedStrings.xml><?xml version="1.0" encoding="utf-8"?>
<sst xmlns="http://schemas.openxmlformats.org/spreadsheetml/2006/main" count="837" uniqueCount="434">
  <si>
    <t>Track</t>
  </si>
  <si>
    <t>Order</t>
  </si>
  <si>
    <t>Year-Semester</t>
  </si>
  <si>
    <t>Class</t>
  </si>
  <si>
    <t>Team#</t>
  </si>
  <si>
    <t>Team Name</t>
  </si>
  <si>
    <t>Project Title</t>
  </si>
  <si>
    <t>Organization</t>
  </si>
  <si>
    <t>Industry</t>
  </si>
  <si>
    <t>Abstract</t>
  </si>
  <si>
    <t>Student Names</t>
  </si>
  <si>
    <t>Name: Title</t>
  </si>
  <si>
    <t>2023-01-Spring-CAP</t>
  </si>
  <si>
    <t>CAP</t>
  </si>
  <si>
    <t>Speedy Seeds</t>
  </si>
  <si>
    <t>Native Seed Cleaner</t>
  </si>
  <si>
    <t>Great Valley Seed Company</t>
  </si>
  <si>
    <t>Agriculture</t>
  </si>
  <si>
    <t>The Great Valley Seed Company located in Los Banos, CA specializes in farming over 40 species of native seeds of the San Joaquin Valley. Amongst the many processes they specialize in, this project focuses on the cleaning stage of the native seeds. The seeds arrive at the cleaning stage with about 5% seeds and 95% byproducts. The mixture is cleaned with various clippers, threshers, aspirators, and indent cylinders. The last cleaning stage is done by a small, wooden, homemade machine. However, this machine was difficult to adjust and the seeds have to undergo different cycles to achieve the desired purity. With these things in mind, we designed a two-screen aspirator. Our aspirator would have two cycles which would allow for the seeds to be cleaned twice in one cycle and it would have easier control of the air pressure within the machine to allow for easier separation of seeds. This is further backed by our simulations from ANSYS, SolidWorks, and calculations of seed behavior, pressure, and velocity.</t>
  </si>
  <si>
    <t>Michael Yang, Carlos Cruz, Heily Chavez Davila, Rene Mendoza Salgado, Alison Lopez Contreras</t>
  </si>
  <si>
    <t>Noo-Noo</t>
  </si>
  <si>
    <t>Milkweed Seed Harvester</t>
  </si>
  <si>
    <t>Designing a dependable and efficient seed harvester is imperative for modern seed harvesting. Hand harvesting of the Narrowleaf Milkweed seeds and floss by Great Valley Seed Company (GVC) results in the loss of over 50% of the collected product. This is primarily due to the plant's non-uniform maturation, making it challenging to harvest. To overcome this issue and reduce manual labor and lost yield, our team designed a vacuum and cyclone-based harvester. The proposed harvester is expected to decrease the amount of labor required and increase yield. The final design incorporates a vacuum for collection and a cyclone for separation. ANSYS and SolidWorks simulations were utilized in the design process, and pressure and velocity inlet and outlet calculations provide evidence supporting the design's effectiveness. The simulated pressure and velocity values were found to be 0.51 Pa and 0.79 m/s, respectively, which align with the calculated values. This design and further development of a seed harvester is capable of collecting and separating mature seeds from various plants with an overall efficiency of 92%.</t>
  </si>
  <si>
    <t>Leslie Benitez, Ching Ting Roy Ng, Vanessa Lopez, Jaime Cueva Escoto, Alexis Araujo</t>
  </si>
  <si>
    <t>P.E.R.L</t>
  </si>
  <si>
    <t>Patient Environmental Logger and Reporting - Phase 3</t>
  </si>
  <si>
    <t>Fresno Institute of Neuroscience</t>
  </si>
  <si>
    <t>Health Care</t>
  </si>
  <si>
    <t>The Fresno Institute of Neuroscience is dedicated to enhancing the quality of life of neurologic patients through patient care, neurophysiology, teaching, and research. The Institute's research focuses on using personalized, innovative, and technology-based approaches to improve neurologic patients' quality of life. However, due to the variability of symptoms such as headaches and the difficulty in establishing universal treatment methods, a non-invasive data-collecting device is being developed to monitor patients' movements and evaluate pain levels. This personalized and adaptable technology, which utilizes a 3D biomechanical model, aims to enable customized therapeutic treatments for chronic neurologic patients. The project involves three elements: building the sensor device, creating an application for data analysis, and examining the output data. The team used a SensorTile, SensorTile cradle, LiPO battery, programming cable, and other components to create the prototype and test five body areas: ankles, knees, hips, back, and shoulders. The results provided a visual representation of patients' daily movements, including average displacement, velocity, and jerk movement. This information can be used by care providers to diagnose and determine patient treatment, resulting in reduced clinical visits, decreased treatment costs, and saved time for both providers and patients. This project builds upon the work of past Capstone groups, which have created the application for data analysis.</t>
  </si>
  <si>
    <t>Estefania Gamino, Sofia Herrera-Padilla, Gehad Elhanafy, Evelyn Archuleta, Phoebe Adamyan</t>
  </si>
  <si>
    <t>QOMA</t>
  </si>
  <si>
    <t>Quantification of Organic Material in Air</t>
  </si>
  <si>
    <t>It is well established that with the recent COVID-19 pandemic the rates of infection and contamination are increasing rapidly over the past few years. In part due to an increasing number of cases, contamination being the highest in hospital and clinical settings. The Fresno Institute of Neuroscience is an inpatient care clinic in the Central Valley that also focuses on research. In this study, we collaborated with Dr. Mark Stecker to produce a prototype that has the potential of quantifying organic material in air. We developed a CANARY detection system to detect viruses in the air which work in sequence with filters, a vacuum and sensors to deliver an audible and quick response about the presence of organic material. We also employed Beer-Lambert Law to determine the concentration of viruses and validate that the concentration linearly scales with increasing coughs in our sample.</t>
  </si>
  <si>
    <t>Aaron Amanios, Joana Gutierrez Coss y Leon, George Aguilar, Gilberto De La Torre, Emily Junez</t>
  </si>
  <si>
    <t>Pinto Rice</t>
  </si>
  <si>
    <t>Automated Drum Lid Application and Removal</t>
  </si>
  <si>
    <t>Sensient Natural Ingredients</t>
  </si>
  <si>
    <t>Food Processing</t>
  </si>
  <si>
    <t>Sensient natural ingredients specializes in the production of spices and flavor enhancers. Work In Progress (WIP) product is transported by fiber barrel drums within the manufacturing plant, which are manually loaded and sealed. Our client is concerned about the labor intensity and ergonomic hazards to the  team members. To resolve this issue, we have developed a prototype of an automatic drum lid applicator. This solution leverages a crane hand and CNC machine’s travel components to retrieve the clamp and lid to apply them to an idle waiting drum on a conveyer belt.</t>
  </si>
  <si>
    <t>Adrian Buitron Boada, Dion Deng, Christopher Flores Varona, Pedro-Alonso Rocha-Martin, Anthony Yang</t>
  </si>
  <si>
    <t>Sentient Chili</t>
  </si>
  <si>
    <t>Chili Cooking Optimization</t>
  </si>
  <si>
    <t>Sensient Natural Ingredients based in Turlock, CA produces a broad range of organic, non-GMO, clean-label dry seasoning products for many renowned consumer and industrial companies. Currently, Sensient aims to increase the efficiency of the initial sterilization step in their chili production. Upon examination, we found significant variability in the sterilization process parameters. To maximize efficiency in this step, we propose a control system that automatically modulates system parameters to increase process stability and meet the sterilization standards set by the client. To attain this goal, we developed a heat-transfer model that incorporates system settings and logged data to approximate the sterilizer’s behavior. We used statistical models pertaining to temperature profile, superheated conditions, and profile time to test and further develop this model. Our model can be incorporated into a control system that uses a touchscreen user interface and Modbus gateway that integrates into the client’s current hardware. This solution will allow the sterilizer to operate more efficiently, reduce waste, and increase the overall throughput of the sterilizer.</t>
  </si>
  <si>
    <t>Bianca Ortiz-Larios, Edwin Vilches, Kwame Cherukuri, Samantha Tran, Talha Shah</t>
  </si>
  <si>
    <t>Hose Key Tools Redesign</t>
  </si>
  <si>
    <t>Hose Key Redesign</t>
  </si>
  <si>
    <t>E&amp;J Gallo Winery</t>
  </si>
  <si>
    <t>E. &amp; J. Gallo Winery processes tons of grapes to make wine every year. To transform this much juice into wine takes multiple movements that require large, heavy, sanitary hoses. The brass couplings at the end of the hose are hooked up to stainless-steel pipe drops that connect tanks to processing equipment, or to other tanks for wine blending. The employees that attach or detach these hoses to the pipe drops are named "Rack &amp; Blenders", and use a stainless-steel hose key. Hose connections are often tightly fastened and can take a large force to get on or off. Using the hose key with excessive force could cause a potential risk to the Rack &amp; Blenders. If the hose key slips off the brass ears, it may cause injuries to the employees and damage surrounding equipment. Our team has designed a greatly improved hose key that provides the Rack and Blenders with a more safe, robust, ergonomic, and simple tool to perform their labor-intensive task with reduced risk of injury. The tool is undergoing operational testing.</t>
  </si>
  <si>
    <t>Reid Mcleod, Antonio Villalobos, Kamila Ramirez, Govargiz Sayyad Shahbaz, Fernando Cruz</t>
  </si>
  <si>
    <t>Harvest Hustlers</t>
  </si>
  <si>
    <t>Hose Fitting Wear Measurement Tool</t>
  </si>
  <si>
    <t>Our team has designed a Wear Measurement Tool to address safety concerns at E&amp;J Gallo Winery. The tool is used to determine when brass coupling ears have worn down excessively and require replacement to prevent potential injuries. The tool consists of a body, a cap, and stainless-steel pins that replicate the shape of any object pressed against them. The acrylic cap features markers indicating the remaining lifespan of the brass ear. The design considers safety, ergonomics, and sanitary requirements while minimizing capital investment. The materials used, stainless steel for the pins and bracket and FDA-approved acrylic for the cap, ensure safe use with food products. Our prototype includes cost estimates, material details, and training to ensure proper use.</t>
  </si>
  <si>
    <t>Perla Mendoza Rueda, Jacob Murillo-Gil, Thinh Nguyen, Neftali Galis Castillo</t>
  </si>
  <si>
    <t>Sensient Product Recovery</t>
  </si>
  <si>
    <t>Dryer Product Spillage Improvements</t>
  </si>
  <si>
    <t>Sensient Natural Ingredients (SNI), Livingston, is a large-scale processing facility for producing dehydrated onion and garlic products. Currently due to a variety of issues, garlic and onion have been sticking to the conveyor belt of an industrial dryer. While SNI already has methods to try and remove it, the product removed from the belt simply falls onto the factory floor, making a mess of the facility and results in the product going to waste. To combat this we have designed an improved wet brush alongside targeted water sprays to scrape stuck product off the belt in a more efficient manner. Additionally, we also designed a recovery auger with a z-style conveyor working in tandem to transport product scraped off the belt to a collection point. This will mean stuck product can be scraped off the belt and recycled back into the system, greatly reducing waste.</t>
  </si>
  <si>
    <t>Cristian Mejia, Eric Olson, Anthony Estrada Rivera, Juan Castrejon, Cristian Zapien</t>
  </si>
  <si>
    <t>Mowtion</t>
  </si>
  <si>
    <t>Mowing Vegetables</t>
  </si>
  <si>
    <t>California Transplants</t>
  </si>
  <si>
    <t>California Transplants is an agricultural nursery company that specializes in growing transplants for commercial use. The company currently grows several vegetables that require repeated mowing to increase the strength and girth of the transplant. The current mowing system is time consuming, requires too many employees and costs too much to run. We designed a system that is portable and will minimize operators and maximize savings as a byproduct. The machine is composed of a robot for travel and two large folding arms for suspended mowers. After testing with the robot and fabricated parts, the machine will then be implemented into long term usage for mowing operations.</t>
  </si>
  <si>
    <t>Alex Huynh, Galo Mora, Ricardo Diaz, Marco Garcia, Esmeralda Ochoa</t>
  </si>
  <si>
    <t>BART Obstruction Detection Team</t>
  </si>
  <si>
    <t>Track Obstruction Detection System</t>
  </si>
  <si>
    <t>BART</t>
  </si>
  <si>
    <t>Transportation</t>
  </si>
  <si>
    <t>San Francisco Bay Area Rapid Transit (BART) is a heavy-rail public transit system that connects the San Francisco Peninsula with communities in the East and South Bay areas. There is a risk of intrusions into the track space from persons and motor vehicles and currently the only method to detect an intrusion is done through observation by the train operator.  BART trains operate at high speeds and have a large stopping distance, therefore any emergency stop issued by an automated system would need to be done quickly to mitigate the chance of collision with an intrusion. We developed trAIn vision to improve BARTs ability to manage track obstructions by using the Tensor Flow API to develop an AI object detection model to identify specific intrusions. The prototype then reports to BART train controllers who will issue an appropriate response, and activate an emergency stop of the train if needed. The trAIn vision prototype features a variable zoom camera capable of making accurate inferences on objects at distances of over 1000 feet.</t>
  </si>
  <si>
    <t>Joseph Whalen, Mohammad Syed, Ethan Osborne - Berman, Antonio Garcia, Angel Munoz</t>
  </si>
  <si>
    <t>Apple Automaters</t>
  </si>
  <si>
    <t>Apple Harvesting Robot</t>
  </si>
  <si>
    <t>Milano Technical Group</t>
  </si>
  <si>
    <t>The objective was to create an end effector for an apple harvesting robotic system for the employer Milano Technical Group. The goals were to harvest an apple without bruising or puncturing it, cause no harm to the tree, finish harvesting in under two seconds, be able to actuate over three million times, and be hollow for internal transport.  The team decided to use a suction cup to grasp the apple and used a motor to implement a bend-and-pull motion that is popular with apple farmers. A prototype was constructed based on these principles and various lab tests were conducted to find the maximum tension on the stem so the design can be able to harvest.  After testing, it was found that the suction cup exceeded expectations but would need more torque for the worst case scenario.</t>
  </si>
  <si>
    <t>George Montross, Sheindel Gamerberg, Marcoantonio Lopez, Xavier Garcia, Sergio Manriquez</t>
  </si>
  <si>
    <t>Air quality care</t>
  </si>
  <si>
    <t>Air Quality Assistance System for Agriculture</t>
  </si>
  <si>
    <t>Milano Technical Group specializes in providing advanced data analysis and information systems to empower the agricultural industry. Recently, our team, Air Quality Care, was assigned to create a device that could effectively minimize the amount of dust kicked up by tractor tires. Our innovative solution involved developing tire covers that could be fitted over the rear tires of the tractor. These covers were designed to redirect and reduce the dust particles that are typically emitted by the rear tires.</t>
  </si>
  <si>
    <t>Oscar Pacas Alvarez, Caleb Hoppe, Alvin Yu, Andres Lua, Maranda Nicole Azurin</t>
  </si>
  <si>
    <t>HVAC System Design</t>
  </si>
  <si>
    <t>ASHRAE - Sierra Delta Chapter</t>
  </si>
  <si>
    <t>Energy</t>
  </si>
  <si>
    <t>Every year ASHRAE holds a design competition for HVAC systems in three different categories. The categories being Design Calculations, System Selection, and Setty Family Foundation Net Zero Energy Design. The team chose to enter into the Design Calculations category and for this year the task was to design and layout an entire HVAC system for a building in Cairo, Egypt. Given CAD drawings, ASHRAE standards, and an OPR, we provided heating and cooling load calculations, mechanical floor plan (duct size and layout, piping size and layout, etc.), coil sizing and selection, and Air Handling Unit selection.</t>
  </si>
  <si>
    <t>Xaiver Vega, Lukas Fong, Ethan Murcia, Noah Johnson, Ray Medina</t>
  </si>
  <si>
    <t>Dairy Feed-Out Engineering</t>
  </si>
  <si>
    <t>Improvements of Feed Out Options</t>
  </si>
  <si>
    <t>Laird Manufacturing</t>
  </si>
  <si>
    <t>Laird Manufacturing is an agricultural equipment manufacturer that is known for dairy cow feeders. These dairy feeders mix the cattle feed with an auger and deposit the food using a chute as it is towed by a truck or tractor. Three of the mixer models that Laird sells, the VR800, VR1200, and VR1500 have wheelbase dimensions that do not allow their current chute designs to be fitted to the mixer. Whenever a client wants to buy a mixer of one of the three models, Laird must spend valuable time engineering a unique and expensive solution for each customer. Our design solves this problem by using a single chute design that can be fitted to any of the three mixers using an adapter system. Our team designed a prototype that was machined by Laird manufacturing for their VR1500 mixer. Our solution allows Laird to manufacture a single feed-out option for these three trucks and save money on design and labor for every mixer sale.</t>
  </si>
  <si>
    <t>Diego Rios, Joshua Murillo Gil, Francisco Aguirre, Joseph Del Mundo, Edward Rodriguez</t>
  </si>
  <si>
    <t>OFI 116</t>
  </si>
  <si>
    <t>Pkg 1 - Flour Line Floor Sweeps</t>
  </si>
  <si>
    <t>OFI</t>
  </si>
  <si>
    <t>Olam Food Ingredients, OFI, processes and packages roasted and salted almonds, macadamias, and almond flour. During the packaging process of the flour line, product would fall onto the floor, resulting in contaminated flour that cannot be used again, costing the company significant loss in income. Our team, CAP-116, was tasked with creating a solution to prevent flour from falling onto the floor. Working with the client’s engineers, our team designed shields that cover critical spillage points, and adjusted parts of the packaging line through software and hardware modifications. The testing results from our prototype have shown reduced flour spillage in our client’s flour packaging line.</t>
  </si>
  <si>
    <t>Anthony Navarro, Marlon Ayala, Isacc Ortiz-Madrigal, Nahum Lozano Samperio, Alex Chu</t>
  </si>
  <si>
    <t>Tempus</t>
  </si>
  <si>
    <t>Early Diagnosis of Intracranial Pathology in Pediatrics by Sensor Development</t>
  </si>
  <si>
    <t>Valley Children's Hospital</t>
  </si>
  <si>
    <t>According to the Academy of Pediatrics, there are about 1.4 million cases of concussions annually. Often, the diagnosis of brain injury and timely intervention is delayed with decision making by non-healthcare providers in the field. To address this issue, the team was tasked by Valleys Children's Hospital to develop a portable headgear for early diagnosis. The team's solution involves using dry EEG sensors with a P50 Auditory Stimulus Test. The P50 test records brain waves in response to repeated auditory stimuli every 500ms and analyzes them 50ms after the click. By measuring the percentage decrease of the brain waves, patients can be advised on whether medical attention is necessary in a timely manner.</t>
  </si>
  <si>
    <t>Vivian Nguyen, Christian Quintero Meza, Annie Ly, Caroline Amadet Barragan-Laguna, Kristal Navarro</t>
  </si>
  <si>
    <t>Failure Analysis Toolkit</t>
  </si>
  <si>
    <t>Failure analysis toolkit - Shock/Vibration Measurement  - Industrial Robots</t>
  </si>
  <si>
    <t>Omron</t>
  </si>
  <si>
    <t>The client, OMRON Robotics and Safety Technologies, designs and manufactures robots and safety sensor products used in factory automation. Our project consisted of creating a failure analysis toolkit to enable rapid troubleshooting of reported problems for their HD-1500 mobile robot. The solution we designed consisted of measuring shock/vibration that quantifies the forces the HD-1500 experiences both inside and outside of it. Using time stamping, the sensor data that is collected is then correlated to the robots travel path managed by OMRON’s software. This data along with the location will help troubleshoot failures caused by excessive forces incurred due to the conditions of the floor.</t>
  </si>
  <si>
    <t>Alexander Salinas Carino, Odes Kilpatrick, Miguel Paniagua, Jonathan Sevilla, Chase Williams</t>
  </si>
  <si>
    <t>Unicare</t>
  </si>
  <si>
    <t>Comfort and Care</t>
  </si>
  <si>
    <t>Kaiser Permanente</t>
  </si>
  <si>
    <t>Our project (Team 119) was to make a piece of apparel that could hold multiple  mastectomy drains after a mastectomy surgery so that the patient could be hands free. We wanted the patient to continue their daily activities without any restrictions and overall make their recovery period easier. The way we solved this problem was by making a belt &amp; pouch system that secures the drains in place by being true to the drain size and can be adjusted to the patient's waist size.</t>
  </si>
  <si>
    <t>Amani Byron, Chikaodili Obiorah, Ana Lopez, Jesus Beltran, Jingheng Huang</t>
  </si>
  <si>
    <t>Team Viper</t>
  </si>
  <si>
    <t>Industrial robot payload detection</t>
  </si>
  <si>
    <t>The client, Omron in Pleasanton, California tasked Team 120 on working with the Viper 650 six axis robot. The Viper 650 is used in many manufacturing operations such as material handling, assembly and many more uses as six axis robots play a crucial part in the production due to their wrist flexibility. Omron tasked Team 120 with creating a code in which the viper can detect the payload of an object without having modified the Viper 650 physically. The project reached its goal as it provides Omron a way to detect a payload without any physical modifications, but results have yielded 6-8% error in payload detected.</t>
  </si>
  <si>
    <t>Jamileth Bermudez, Daniel Ochoa, Jiajie Situ, Randy Hernandez, Joshua Vuong</t>
  </si>
  <si>
    <t>Assisted Bin Assembly</t>
  </si>
  <si>
    <t>Semi-automated Tomato Bin Assembly</t>
  </si>
  <si>
    <t>Ingomar Packing Company</t>
  </si>
  <si>
    <t>Ingomar Packing Company is a producer of multiple tomato dice and paste products. An integral component of their operation involves the manual assembly of 300-gallon wooden bins, which are then lined and filled with tomato products. Our group developed a system to reduce the physical requirements of bin assembly, allowing a wider array of workers to take part in the process. This was accomplished through the usage of a “tilt table” system to reorient bin component stacks in conjunction with a vacuum lifter system to physically move components into their assembly position.</t>
  </si>
  <si>
    <t>Austin Ashworth, Jackson Korsgaard, Anthony Travieso, Jair Martinez Martinez, Alexander Minton</t>
  </si>
  <si>
    <t>Project Flamin’ Automation</t>
  </si>
  <si>
    <t>Design New Perfect Service Lane Conveyor</t>
  </si>
  <si>
    <t>Frito Lay</t>
  </si>
  <si>
    <t>The client, Frito Lay, a company that manufactures, sells, and markets a variety of snack foods, has a bottlenecking issue in their Geographic Enterprise Systems (GES) department. With a multitude of different lanes converging onto a single perfect service lane (PSL) belt, the boxes are getting stuck, inevitably causing this delaying issue and decreasing the efficiency of the box shipments out to customers. We have designed a layout that introduces another bi-directional transfer and belt system that will diverge the boxes from the 3rd floor of the mezzanine to the 1st floor, which connects to an additional audit station below and will allow for decongestion on the PSL belt. The system will be used daily at the Modesto facility and has been tested and reviewed by Wynright, an integrated material &amp; automation company.</t>
  </si>
  <si>
    <t>Kim Nguyen, Noel Gomez, Jose Zamora Bello, Angel Jauregui, Rodolfo Sanchez</t>
  </si>
  <si>
    <t>Fruit Spillage Reduction</t>
  </si>
  <si>
    <t>Fresh Pack Spillage Loss</t>
  </si>
  <si>
    <t>Del Monte</t>
  </si>
  <si>
    <t>Del Monte Foods, Inc. is one of the country's largest producers, distributors, and marketers of premium quality, branded food products for the U.S. retail market. Del Monte Foods is losing monetary value due to its fruit spillage loss on conveyor lines and during the filling of the cans. For this project the team was asked to create a safe and cost effective solution to reduce the fruit spillage in the canning process of the fruit cocktail. To decrease the spillage that occurs on the conveyor line the team developed a can cover system that provides enough coverage to reduce spillage without increasing the probability of a jam occurring. The team also decreased fruit spillage during the filling of the cans by creating a chute to precisely direct the fruit into the cans thus reducing the fruit spilled over the sides when filling.</t>
  </si>
  <si>
    <t>Brandon Baltazar, Adrian Rivera, Xerxes Zangeneh, Carlos Pedraza, Jessica Romero</t>
  </si>
  <si>
    <t>Team Automation</t>
  </si>
  <si>
    <t>Project Automation</t>
  </si>
  <si>
    <t>Del Monte Foods, Inc. is one of the country's largest producers, distributors, and marketers of premium quality, branded food products for the U.S. retail market. At the Del Monte factory, two employees at each station are given the task of pouring containers of fruits onto a conveyor, a job which is labor intensive and incurs extra costs. Hence, we've applied engineering knowledge to automate the process, allowing the company to cut down on labor costs and allocate workers to more complex tasks. We created a 3D gantry system, with full 3 axis movement and a claw to pick up and flip containers to deliver fruit onto the conveyor belt. The system uses belt drives on the X and Y axis to allow for greater speeds and a ball screw on the Z axis for greater strength at lower speed when lifting cans.</t>
  </si>
  <si>
    <t>Basheer Hussin, Saul Macias, Arturo Baza, Carlos Padmore</t>
  </si>
  <si>
    <t>Ribbon Blender Upgrades</t>
  </si>
  <si>
    <t>Del Monte Foods is one of the largest international producers of canned fruits and vegetables. They wanted to increase the production efficiency of tomato paste in their Hanford facility and automate the process. To improve and automate their system as requested, we designed an automated control system that integrates with their current network which also employs a custom immersion sprayer to clean the tomato paste bins during the cycle. This solution would eliminate the need for an operator at this station and reduce downtime in production.</t>
  </si>
  <si>
    <t>Alexis Castillo, Ismael Diaz Garcia, Evan Roxton Chibbaro, David Vasquez Gramajo, Casey Leong</t>
  </si>
  <si>
    <t>Team Lane Dividers</t>
  </si>
  <si>
    <t>Empty Can Conveyor Upgrade</t>
  </si>
  <si>
    <t>Del Monte Foods, Inc. is one of America’s largest producers, distributors and marketers of premium quality branded foods. Team Lane Divider had the opportunity to work with Del monte to decrease the bottleneck of empty cans on the conveyor belt. The loading area of line 2 is where empty cans fall over and create a jamming at a transition point on line 2. This has decreased Del Monte’s overall volume of empty cans coming out of line 2. Team Lane Divider has determined that the problem area stems from the loading area of the conveyor belt and the proposed solution is to have an overhead of 5 lane dividers that will guide the empty cans upright to the transition point and decrease the overall tipping of cans.</t>
  </si>
  <si>
    <t>Estevan Marquez, Ryan Yeung, Joseph Jordan, Andrea Moran, Alejandro Valencia Salazar</t>
  </si>
  <si>
    <t>H2GrOw</t>
  </si>
  <si>
    <t>Tulare Water Quality to improve Water Sustainability</t>
  </si>
  <si>
    <t>Land O' Lakes</t>
  </si>
  <si>
    <t>Land O' Lakes is one of the largest agricultural cooperatives in the United States, headquartered in Minnesota. The Tulare facility mainly focuses on butter and milk powder production. The current production processes create a large amount of wastewater and organic waste. We were tasked with improving the quality of the water (conductivity) and proposing solutions to improve water sustainability, while consuming minimal capital. This was done by reducing BOD (biological oxygen demand), TSS (total suspended solids), or flow of wastewater. We concluded that reusing RO (reverse osmosis) treated wastewater in the CIP (cleaning in place) process would improve sustainability by reducing the usage of fresh potable water, thus sending less wastewater down the drain. Our solution has an estimated reduction of 41 million gallons of freshwater usage annually.</t>
  </si>
  <si>
    <t>Isabel Arreola, Scott Garcia, Meghan Mendoza, Tony Chen, Atnasia Mengistu</t>
  </si>
  <si>
    <t>Citrified BioEngineers</t>
  </si>
  <si>
    <t>Implementation of nanoscale position scanning capabilities into a fluorescence confocal microscope for visualization of single protein molecules</t>
  </si>
  <si>
    <t>UC Merced BioE</t>
  </si>
  <si>
    <t>BioTech</t>
  </si>
  <si>
    <t>Understanding biological processes occurring on the nanoscale is crucial for biomedical research. To achieve these capabilities with cost efficiency the Muñoz Lab at UC Merced is modifying their confocal microscope with nano scanning capabilities through a MadCity Labs nano driver, nano stage, and Picoquant hydraharp integrated through LabVIEW. Our team was assigned to implement this hardware into LabVIEW programs to access, utilize and control these experiments and data formed from it. Using built-in drivers our team formed a program that creates a customized grid across the observed sample. Which is then measured for photon intensity over a specified period of time. To confirm the accuracy of our work, a sample containing fluorescence micron-sized beads will be analyzed utilizing both the nano-scanning setup and C-Trap optical tweezers from Lumicks by members of the Muñoz lab.</t>
  </si>
  <si>
    <t>Artury Ramirez, Cesar Sotero, Jeremiah Timbol, Jocelyn Gonzalez, Victoria Okafor, Christopher Kaye</t>
  </si>
  <si>
    <t>IoT4Ag Growbot</t>
  </si>
  <si>
    <t>Design and implementation of a robotic actuation mechanism for collecting leaf spectral data.</t>
  </si>
  <si>
    <t>IoT4Ag</t>
  </si>
  <si>
    <t>Working with the Internet of Things for Precision Agriculture, we helped to develop an actuation device to support an end effector. This lab, the IoT4Ag works to further the goal of supporting agriculture with information technology from multiple sources to assist in decisions associated with crop production. The device being built will support a leaf spectroscopy device such that data collection can be performed autonomously. Compared to manual collection this will save money, gather more robust data, and limit the amount of hard manual labor being implemented in films. This device is a tested prototype to support a 1 kilogram payload with the ability to be mounted on various robotic bases.</t>
  </si>
  <si>
    <t>Jennifer Esmay, Andrew Schwartz, Odysseus Hadjioannou, Rigoberto Jimenez, Edeline Ortiz</t>
  </si>
  <si>
    <t>2023-01-Spring-CEE</t>
  </si>
  <si>
    <t>CEE</t>
  </si>
  <si>
    <t>CE401</t>
  </si>
  <si>
    <t>Grayson Riverbend Restoration Project</t>
  </si>
  <si>
    <t>River Partners</t>
  </si>
  <si>
    <t>Environment</t>
  </si>
  <si>
    <t>Noah Blank, Andy Hernandez, Karendeep Kahlon, Clara Medina</t>
  </si>
  <si>
    <t>CE402</t>
  </si>
  <si>
    <t>Improving Lake Skinner's Water Quality with Oxygenation</t>
  </si>
  <si>
    <t>Metropolitan Water District Southern California</t>
  </si>
  <si>
    <t>Andrew Alamillo, Antonio Ceballos, Emily Gomez, Dulce Monje Alcazar</t>
  </si>
  <si>
    <t>CE403</t>
  </si>
  <si>
    <t>Solar Pump and Water Treatment Station</t>
  </si>
  <si>
    <t>City of Merced</t>
  </si>
  <si>
    <t>Daniel Aleman, Ranjana Lal, Gerardo Rodriguez, Cortez Valle</t>
  </si>
  <si>
    <t>CE404</t>
  </si>
  <si>
    <t>Local Aquifer Storage and Recover (ASR) Design</t>
  </si>
  <si>
    <t>UC Merced</t>
  </si>
  <si>
    <t>Angela Flores, Jocelin Rivera, Paul Sugimoto, Cindy Torres Camacho</t>
  </si>
  <si>
    <t>2023-01-Spring-CSE</t>
  </si>
  <si>
    <t>CSE</t>
  </si>
  <si>
    <t>KetchupCoders</t>
  </si>
  <si>
    <t>Can damage detection by vision</t>
  </si>
  <si>
    <t>Neil Jones Foods</t>
  </si>
  <si>
    <t>Neil Jones Foods is located in Hollister, and its main business is canning tomato products. These products are distributed to various establishments across the US, including restaurants and schools. Unfortunately, the machine responsible for sealing the lids on the final product sometimes experiences malfunctions. This can lead to cans with lids that are not properly sealed, causing disruptions in the production process, reduced output, and lost revenue. To address this issue our team has designed a system that uses multiple cameras to view different angles of the can. Deep learning models are used to classify the can as damaged or acceptable. The prototype testing has shown a consistent and successful identification of problematic cans through the detection system. Once identified, the system can signal, via a discrete output, for the removal of these cans from the processing line.</t>
  </si>
  <si>
    <t>Cyrus Adriel Arellano, Luan Huynh, Luis Mora, Jovan Singh, Elson Zeng</t>
  </si>
  <si>
    <t>Slotters</t>
  </si>
  <si>
    <t>TA Allocation Algorithm Implementation</t>
  </si>
  <si>
    <t>UC Merced CSE</t>
  </si>
  <si>
    <t>Education</t>
  </si>
  <si>
    <t>The team designed a TA (Teaching Assistant) Allocation web application for the client, the UC Merced Computer Science and Engineering Department, who are responsible for assigning TA's to positions. The web app, developed using React with Next.js for the front-end, Firebase for authentication, and SQL/Node.js for the back-end, includes a drag-and-drop interface for assigning TA's based on their preferences and a priority formula. It also allows for adding new semesters, inputting courses, and setting priority variables and preferences. Created for the faculty, the web app is expected to streamline the TA allocation process, reduce manual efforts, improve accuracy in handling preferences, and enhance user experience for the faculty involved.</t>
  </si>
  <si>
    <t>Soraya Boza, Gabriel Pulido, Ramon Sanchez, Daniel Tucker, Alyssa Yee</t>
  </si>
  <si>
    <t>Error 303</t>
  </si>
  <si>
    <t>Bottling Change Part Wear Measuring Tool - Phase 2</t>
  </si>
  <si>
    <t xml:space="preserve">E&amp;J Gallo winery, headquartered in Modesto, California, is the largest family-owned winery and wine distributor in the US. The large-scale manufacturing of products on the factory floor requires several different parts to transport, align, and prep bottles for different stages of the manufacturing process. Over time, these parts can be worn down to a degree where the placement/alignment of bottles on the production line is no longer precise enough for other heavy machinery to operate on them. This leads to bottles being shattered, machinery being broken, and a halt in the production process while the error is corrected. Our team designed and built an application that utilizes image processing and computer vision to calculate the wear/usability of a given transfer part to determine if/when replacement is necessary as well as keeps a catalog for these transfer parts and their wear statuses. With this, Gallo line engineers will be able to determine if a transfer star is suitable for use before installing it, reducing the chance of equipment failure. </t>
  </si>
  <si>
    <t>Gabriel Benavidez, Isaac Luengas, Nabir Migadde, Ivan Tinoco</t>
  </si>
  <si>
    <t>CropFlow</t>
  </si>
  <si>
    <t>Planter Revitalization &amp; Modernization - App</t>
  </si>
  <si>
    <t>UC Merced Experimental Farm</t>
  </si>
  <si>
    <t>The UC Merced Experimental Smart Farm is a 45-acre facility that is dedicated to implementing cutting-edge agricultural techniques for future farming. Water management is a critical aspect of farming and currently there is no simple way to track valves. CropFlow developed a mobile application that tracks the status and activity of water wells and valves in real-time, automates computation of valve history, and enables the addition of new valves for scalability. An interactive map feature provides a quick overview of the farm's status, streamlining the monitoring process. The team's app represents a significant step towards efficient and sustainable farming practices, which shall benefit farmers and the wider community.</t>
  </si>
  <si>
    <t>Andrew Cardenas, Andrew Mouillesseaux, Valerie Nguyen, Derian Ramirez, Sawyer Shaddix, Johnson Tran</t>
  </si>
  <si>
    <t>RoadWise</t>
  </si>
  <si>
    <t>Using sensors to collect road user data</t>
  </si>
  <si>
    <t>Merced Bicycle Coalition (MBC)</t>
  </si>
  <si>
    <t>The Merced Bicycle Coalition aims to make Merced a more a bike friendly city by convincing the local government to implement safe bike infrastructure. In this process, they needed to track the frequency of different micro-mobile users at varying locations. We were tasked with classifying different micro-mobile users include cyclists, skateboarders, scooter riders, and many other small vehicle users. Using image data to train a machine learning model using Amazon Rekognition’s object recognition services, our system takes in video input and outputs how many times a given micro-mobility vehicle has appeared within the video. The revealed frequency of micro-mobility vehicles at the recorded locations will be used to further the development of new bike lanes that can be used by the micro-mobile users.</t>
  </si>
  <si>
    <t>Lucas Christenson, Peter Kinyanjui, Darren Roberson, Suyeon Shin, Athena Siaotong</t>
  </si>
  <si>
    <t>Farm Rovers</t>
  </si>
  <si>
    <t>Farm Robotics Challenge -- Autonomy/Course Navigation</t>
  </si>
  <si>
    <t>Farm Robotics Challenge</t>
  </si>
  <si>
    <t>Farm-ng provided the team with an Amiga robot, tasking them to move the four-wheeled machine autonomously, free of constant direction. In the context of a farming application, this project focuses on designing an autonomous robot that can navigate through predefined GPS way points within the agricultural landscape and return to its starting point. By employing two GPS modules and a list of target coordinates, the robot will move through the farm, ensuring close proximity to each way point. This technology has the potential to enhance precision agriculture practices, such as crop monitoring, soil sampling, and targeted pesticide application, ultimately increasing overall farm productivity and sustainability.</t>
  </si>
  <si>
    <t>Johann Atchoukeu, Octavio Gonzalez, Adrian Posadas, Krishna Sharma, Tristin Thant</t>
  </si>
  <si>
    <t>Valley Vision</t>
  </si>
  <si>
    <t>Farm Robotics Challenge -- Artificial Intelligence (Vision and sensing, dataset collection)</t>
  </si>
  <si>
    <t>Farm-ng has created the Amiga robot to help farmers with their daily tasks. Farming is a challenging and demanding endeavor that involves manual labor, patience, time, and significant financial investment. The tasks involved in farming require considerable effort and expertise, which can make it a difficult and often arduous task. Our team has worked on an Amiga app that detects and follows the farmer to help with some of these daily tasks such as carrying tools, holding harvest boxes, and finger weeding. Consequently, this helps to amplify the efficiency of workers in a moment where it is extremely difficult recruiting farm workers. With the app's capabilities, farmers can optimize their workflow and allocate resources more efficiently, resulting in cost savings and increased productivity.</t>
  </si>
  <si>
    <t>Christopher Andrade, Rylan Chao, Kiet Dang, Danielle rodriguez, Dustin Vy</t>
  </si>
  <si>
    <t>The Nut Job</t>
  </si>
  <si>
    <t>Virtual Warehouse</t>
  </si>
  <si>
    <t>Nutstar Software</t>
  </si>
  <si>
    <t>Nutstar Software LLC. is a company that develops custom software for the tree nut industry. They deal with grower purchasing, inventory management, and sales tracking for different nut businesses. Nutstar has noticed that many of their clients have trouble tracking their inventory when it gets lost and are constantly losing value in their product due to poor inventory tracking; Our team designed a software solution that uses Angle of Arrival (AOA) Locators and tags to give precise coordinates within a predetermined 3D matrix in order to track inventory movement and prevent any future shipment losses. Our team developed this solution in a Windows Application where a forklift driver will only have to click a button to fetch the coordinates of the bins being moved and be displayed in the Windows Application in the form of Row, Column, and Loft.</t>
  </si>
  <si>
    <t>Misael Casarez, Tim Chan, Ricardo Rodriguez, Titus Sun, Joshua Terriquez</t>
  </si>
  <si>
    <t>EzFile</t>
  </si>
  <si>
    <t>EZFileTrail</t>
  </si>
  <si>
    <t>Western Digital</t>
  </si>
  <si>
    <t>Computers</t>
  </si>
  <si>
    <t>Western Digital Corportation (WDC) is an American based-global company that has been at the forefront of computer storage innovation for half a century. Employing a workforce of thousands of skilled engineers, the individuals in research and experimental development inevitably generate massive amounts of technical specs, requirements, and design documents that are spread out across numerous sources. As a result, it is challenging to keep track of where these files reside at the time of access. The EZFile team has developed an innovative web-based file location organizing application that offers an all-inclusive solution to efficiently access, store and export data through the use of intuitive hyperlinks. The team's design and implementation will not only help increase productivity but also eliminate the headache of searching for missing files.</t>
  </si>
  <si>
    <t>Khalid Ali, Jose Gonzalez, Kevin Ruiz-Mejia, Alexys Sanchez Partida, Joey Truong</t>
  </si>
  <si>
    <t>Time Titans</t>
  </si>
  <si>
    <t>Relevance Weighted Multiple Meeting Scheduler</t>
  </si>
  <si>
    <t>UC Merced I2G</t>
  </si>
  <si>
    <t>Software</t>
  </si>
  <si>
    <t>Innovate to Grow (I2G) is a unique “experiential learning” program that engages external partner organizations with teams of students who design systems to solve real-world problems as well as develop modules that address problem and user needs when searching and organizing information. One of these problems include the limited availability of services or applications that allow attendees and organizers to determine optimal meeting times. Team 310 was assigned to address this problem by creating a visual analysis tool that offers more flexibility when creating schedules and displaying real-time variations of different attendee schedules. The team addressed the problem by creating a web application that allows attendees to create a schedule with an availability range for each block and allowing the organizer to see variations of the average schedule based on relevance values of each attendee and their respective schedules.</t>
  </si>
  <si>
    <t>Uriel Barba, Stewart Choi, Vikram Narendar, Akash Singh, Martin Urueta</t>
  </si>
  <si>
    <t>JustDetectIt</t>
  </si>
  <si>
    <t>GUI interface for the image recognition and classification open source software</t>
  </si>
  <si>
    <t>Western Digital Corporation, a technology company specializing in storage solutions for devices and data centers, requires a program that can use deep learning-based image processing and analysis to make specific observations about internal data. Currently, their data scientists manually perform object detection and image labeling through a command line, causing a time-consuming bottleneck in production and creating a technological barrier for domain experts. Therefore, the team was tasked to develop a platform that enables less experienced domain experts to perform object detection and image annotation without needing command-line operations or dependency installations. The team accomplished this by connecting the open-source graphical user interfaces of JustDeepIt and VGG Image Annotater to be deployed by a Dockerhub image.</t>
  </si>
  <si>
    <t>Samuel Campos, Angelo Fatali, Hunter Mcclellan, Amrita Mohandas, Jacky Yu</t>
  </si>
  <si>
    <t>Transplants vs Zombies</t>
  </si>
  <si>
    <t>Inventory and Condition of Vegetable Seedlings in Trays - Phase 2</t>
  </si>
  <si>
    <t>California Transplants is a grower supply company for seedlings located in Newman, California. They specialize in tomatoes, pepper, broccoli, cauliflower, melon, cabbage, and industrial hemp seedlings. Their facility consists of 274 greenhouses that use over 400 million seeds. Currently, CA Transplants manually counts germination rates or usable plants per order as a percentage. That data is then entered into their system manually which gives an estimate of the inventory per order. To save time, CA Transplants is looking for a system that automatically scans/classifies trays of plants in the greenhouses to help create an accurate inventory report. We focused on tomato plants, and created a tool to count the number of viable seedlings in a tray using image processing. A seedling is determined as 'viable' if it grows its cotyledon, or the first two or three leaves when the seed germinates. The solution we created constructs a virtual grid over the tray and processes each cell using pixel evaluation techniques such as thresholding to determine if a cell has a plant, no plant, or multiple plants. The resulting data can be uploaded to a database and exported to a CSV file.</t>
  </si>
  <si>
    <t>Guru Bachchu, Herminda Cisneros Duran, John Galindo, Mashaallah Moradi, Celeste Rodriguez Caballero</t>
  </si>
  <si>
    <t>Bin Chillin</t>
  </si>
  <si>
    <t>Assessing and Grading Wood Bin Parts</t>
  </si>
  <si>
    <t>The Morning Star Company</t>
  </si>
  <si>
    <t>The Morning Star Company is a tomato processing company that supplies about 10% of the world’s tomato production. Morning Star packages their products in reusable 300-gallon wooden bins, which can be collapsed into 6 separate components for return shipping.  The bin sort colleagues visually and physically inspect millions of bin parts and grade them based on whether they are usable or unusable.  The issue with this process is that sorters may have different opinions on whether a part’s damage causes the part to be unusable, which leads to Morning Star spending more money to repair parts or manufacture new parts. The team’s solution was to create a program to consistently discern usable parts based on a diverse range of factors, identify unusable or repairable parts, and create a program with the potential to learn and perform better over time. The program uses a machine learning model to look for part damages and grade the parts in real time. The model’s decision along with the sorter’s confirmation are stored in a database where the entries can be reviewed for any inconsistencies.</t>
  </si>
  <si>
    <t>Tony Doan, Renato Millan, Lucas Ortiz-Gonzalez, Rui Pan</t>
  </si>
  <si>
    <t>SiteSentry</t>
  </si>
  <si>
    <t>Connected Construction</t>
  </si>
  <si>
    <t>Telit Cinterion</t>
  </si>
  <si>
    <t>Networking</t>
  </si>
  <si>
    <t>In collaboration with Telit Cinterion, a leading provider of secure IoT solutions, products and services, this project aimed to develop an asset tracking admin dashboard to enhance visibility and management of valuable construction jobsite assets. The team designed a comprehensive dashboard with macro and micro views, detailed tool data, precise location tracking, and advanced geofencing capabilities to prevent tools from leaving designated areas. This solution enables Telit Cinterion’s Construction Industry customers to monitor and manage their assets, optimizing resources and increasing operational efficiency. The project showcases the team's expertise in creating customized IoT and dashboard solutions for intricate client needs.</t>
  </si>
  <si>
    <t>Luis Carrillo, Christian Doud, Sandeep Kaur, Emerald Nash, Jennifer Nhu, Christian Urbina</t>
  </si>
  <si>
    <t>Decel</t>
  </si>
  <si>
    <t>Real-time optimization of the deceleration profile of a mobile robot to achieve a highly accurate final position</t>
  </si>
  <si>
    <t>Omron is a robotics company developing industrial, mobile, and collaborative robots for a variety of applications. A common problem in automated warehouses is that the floor’s condition varies widely depending on location across a warehouse. The vastly different states of the floor can cause slippage and overshooting or excessive traction that current robots cannot predict. Team 315 designed and applied two reinforcement learning algorithms, Deep-Q-Network (DQN) and Proximal Policy Optimization (PPO) to adapt a simulated robot in an environment emulating the variety in warehouse floors. The resulting model will be deployed on autonomous robots and can be tuned by technicians if environmental constraints or robot specifications change over time.</t>
  </si>
  <si>
    <t>Lance Carrido, Gavin Cochrane, Jason Gates, Andrew Lin, Stanley Yang</t>
  </si>
  <si>
    <t>CTTA-utomators</t>
  </si>
  <si>
    <t>CTTA Member Database Management and Automation</t>
  </si>
  <si>
    <t>California Tow Truck Association</t>
  </si>
  <si>
    <t>The California Tow Truck Association (CTTA) is an organization that represents towing operators across the state. The association aims to empower tow truck companies and drivers to become more professional and progressive in the towing and emergency road-service industry. However, CTTA's current database management system is difficult to navigate and lacks the ability to transfer data between different systems, resulting in data loss. To address these issues, a team was tasked with building a new database management system that would communicate with other systems, store records without loss, and have an easy-to-use interface. The team collected feedback on the current system from CTTA, identified areas for improvement, and researched solutions to design the new system.</t>
  </si>
  <si>
    <t>Serenity Bassett, Xuanren Chen, Kulkaran Khaira, Alonso Ortiz, Inderpal Pannu, Mithil Patel</t>
  </si>
  <si>
    <t>Rat Patrol</t>
  </si>
  <si>
    <t>Smart Rodent Detection - Phase 2</t>
  </si>
  <si>
    <t>Agrecom</t>
  </si>
  <si>
    <t>Agrecom is a biosecurity company providing a spectrum of solutions in the areas of water treatment and sanitation, in agricultural, residential, and commercial sectors. Their inspection team determines the severity of rodent infestation at various facilities. Our team has designed a pipeline to automate the process of detecting rodents once cameras are placed in the client’s facility. The images retrieved from game cameras will automatically be uploaded onto a Raspberry Pi computer, via an FTP server linked to the cameras, where our machine learning image classifier will analyze the images and predict rodent presence in real time. Our database is then updated with the detection and other information that allow for various metrics of data to be viewed in our web application, including plots, and a heatmap. The implementation of our software eliminates all human interaction in the collection and analysis of data and allows Agrecom to remarkably expedite its analysis process.</t>
  </si>
  <si>
    <t>Dathan Hansell, Shalyn Nguyen, Brandon Pardi, Elguin Perez, Alejandro Vazquez</t>
  </si>
  <si>
    <t>HydroHeros</t>
  </si>
  <si>
    <t>Flood and hydrology alert and monitoring system</t>
  </si>
  <si>
    <t>Agrecom targets customers in the agricultural, residential, and commercial sectors and offers a range of solutions in the areas of water treatment, sanitation, and pest control. Recently, Merced has experienced floodings in areas throughout the county due to extreme weather causing nearby creeks and rivers to overflow. Without a website that consolidates this information, Merced residents may be left uninformed and unprepared. Our solution is to bring this information together in an easy to use website. Our website utilizes the Twilio API to send an SMS when a certain threshold for creek or dam levels are breached. Users can subscribe to these alerts to receive timely information. In addition, our website allows users to manually explore publicly recorded data for creeks, rivers, dams, and weather during times of crisis. With an easy-to-use interface and an efficient alert system, this project helps Merced County residents stay informed and safe during times of crisis.</t>
  </si>
  <si>
    <t>Paul Kim, Hao Mai, Rodrigo Martinez, Brandon Ortega, Andrew Plata</t>
  </si>
  <si>
    <t>Cilantro Connoisseurs</t>
  </si>
  <si>
    <t>Cilantro yield estimation</t>
  </si>
  <si>
    <t>Supherb Farms</t>
  </si>
  <si>
    <t>SupHerb Farms is a company whose primary business is contracting culinary herb production, processing of those herbs, and sales of finished products around the world. SupHerb Farms would like to be able to utilize cameras to see if they can accurately determine harvestable weight of cilantro from each production field, prior to harvest. The team, Cilantro Connoisseurs, devised a neural network and corresponding system that would take images as input and output an accurate estimation of harvestable weight of cilantro.</t>
  </si>
  <si>
    <t>Eduardo Barreto-Mendoza, Natalie Diaz, Harpreet Dosanjh, Charles Mazhar, Robert Smith</t>
  </si>
  <si>
    <t>UniVibes</t>
  </si>
  <si>
    <t>Student Experience Navigation</t>
  </si>
  <si>
    <t>Globidea</t>
  </si>
  <si>
    <t>University students need to navigate multiple websites to locate relevant information, which may be outdated or irrelevant. Globidea is an initiative aimed at enhancing the overall student experience by providing a centralized website with current and up-to-date information. The development team has created a website consisting of five phases that students go through: Planning to Attend, Getting Started, Making Progress, Finishing Up, and Moving Forward. The website features a way for an admin to manage the information and ensure that it is placed in the most relevant phase to simplify students' search for pertinent information that aligns with their current stage of the student journey. Each piece of information added to the different phases and subheadings contains a hyper-text linking back to the original source and directing the user to the precise location where the information was discovered.</t>
  </si>
  <si>
    <t>Cassandra Chen, Andrew Duran, Fiza Haroon, Andrew Olmos, Wen Zhao</t>
  </si>
  <si>
    <t>PowerWorks</t>
  </si>
  <si>
    <t>Training Matrix - Phase 2</t>
  </si>
  <si>
    <t>Betts Company</t>
  </si>
  <si>
    <t>Betts Company is a manufacturing company located in the Central Valley. In order to ensure a safe and productive work environment the company needs to ensure all employees are properly trained for the tasks they are assigned. Currently, they store all of this data on Microsoft Excel sheets. In order to track data more efficiently and effectively, they would like a Training Matrix Application built that allows them to create, edit, and view employee training.  Team “PowerWorks” has created a user-friendly application built within Microsoft PowerApps that will enable HR to effectively manage employee training.</t>
  </si>
  <si>
    <t>William Breytberg, Qihao Cai, Ryan Chazen, Chukwuemeka Elendu, Guillermo Zarate</t>
  </si>
  <si>
    <t>Valero's Reality</t>
  </si>
  <si>
    <t>Evaluation of Coordination: Telemedicine Using Virtual Reality</t>
  </si>
  <si>
    <t>The Valley Children’s Hospital (VCH), a healthcare institution in the central valley of California, provides excellent healthcare services to children. In order to enhance the VCH’s telemedicine services, this project explores the use of Virtual Reality (VR) to track eye movements and pupillary size during neurological examinations. The team developed a VR environment in which a standard neurological exam (visual exam) is performed to gather data on a patient’s neurologic-visual performance. This exam would track the patient’s pupil dilation and eye movements, extracting that data/performance to create a visual report in the form of graphs and models on a front-end website. The purpose of this VR project is to create a standardized exam for visual examinations to increase the accuracy of the neurological exam (visual exam). The front-end will allow the doctor to view exam information, along with generating a report on the exam results.</t>
  </si>
  <si>
    <t>Rodolfo Gutierrez, Tyler Ly, Axel Martinez Siliezar, Austin Matthews, Alfredo Torres, Sam Walley</t>
  </si>
  <si>
    <t>2023-08-Fall-CAP</t>
  </si>
  <si>
    <t>CAP-201</t>
  </si>
  <si>
    <t>Industrial, ergonomic, safe, uncorker</t>
  </si>
  <si>
    <t>Delicato Family Vineyards</t>
  </si>
  <si>
    <t>Abstract-201</t>
  </si>
  <si>
    <t>Students-201</t>
  </si>
  <si>
    <t>CAP-202</t>
  </si>
  <si>
    <t>Soil Sterilizer Flipper (SSF)</t>
  </si>
  <si>
    <t>Abstract-202</t>
  </si>
  <si>
    <t>Students-202</t>
  </si>
  <si>
    <t>CAP-203</t>
  </si>
  <si>
    <t>Elevator Unload Trigger Redesign</t>
  </si>
  <si>
    <t>Flory Industries</t>
  </si>
  <si>
    <t>Abstract-203</t>
  </si>
  <si>
    <t>Students-203</t>
  </si>
  <si>
    <t>CAP-204</t>
  </si>
  <si>
    <t>Garlic Bag to Bin</t>
  </si>
  <si>
    <t>Abstract-204</t>
  </si>
  <si>
    <t>Students-204</t>
  </si>
  <si>
    <t>CAP-205</t>
  </si>
  <si>
    <t>Off-Orchard On-Ground Aeration System for Almond Drying</t>
  </si>
  <si>
    <t>Abstract-205</t>
  </si>
  <si>
    <t>Students-205</t>
  </si>
  <si>
    <t>CAP-206</t>
  </si>
  <si>
    <t>Solar Industrial Process Heating - Automated Cleaning</t>
  </si>
  <si>
    <t>Winston Cone Optics</t>
  </si>
  <si>
    <t>Abstract-206</t>
  </si>
  <si>
    <t>Students-206</t>
  </si>
  <si>
    <t>CAP-207</t>
  </si>
  <si>
    <t>Wash Water Recycling System</t>
  </si>
  <si>
    <t>Live Oak Farms</t>
  </si>
  <si>
    <t>Abstract-207</t>
  </si>
  <si>
    <t>Students-207</t>
  </si>
  <si>
    <t>CAP-208</t>
  </si>
  <si>
    <t>Robots making robots using cobots to weld and screw-drive</t>
  </si>
  <si>
    <t>Abstract-208</t>
  </si>
  <si>
    <t>Students-208</t>
  </si>
  <si>
    <t>CAP-209</t>
  </si>
  <si>
    <t>Mandarin Seed Detection Solution</t>
  </si>
  <si>
    <t>Fowler Packing</t>
  </si>
  <si>
    <t>Abstract-209</t>
  </si>
  <si>
    <t>Students-209</t>
  </si>
  <si>
    <t>CAP-210</t>
  </si>
  <si>
    <t>Self Cleaning Harvester Kit</t>
  </si>
  <si>
    <t>Abstract-210</t>
  </si>
  <si>
    <t>Students-210</t>
  </si>
  <si>
    <t>CAP-211</t>
  </si>
  <si>
    <t>Shuttle Truck Connection Automation with Robotic Arm</t>
  </si>
  <si>
    <t>Abstract-211</t>
  </si>
  <si>
    <t>Students-211</t>
  </si>
  <si>
    <t>CAP-212</t>
  </si>
  <si>
    <t>Removal of MOO (Material Other than Olives)</t>
  </si>
  <si>
    <t>P-R Farms</t>
  </si>
  <si>
    <t>Abstract-212</t>
  </si>
  <si>
    <t>Students-212</t>
  </si>
  <si>
    <t>CAP-213</t>
  </si>
  <si>
    <t>640 Cheese Block Height Control</t>
  </si>
  <si>
    <t>Hilmar Cheese</t>
  </si>
  <si>
    <t>Abstract-213</t>
  </si>
  <si>
    <t>Students-213</t>
  </si>
  <si>
    <t>CAP-214</t>
  </si>
  <si>
    <t>Spring Cycle Life Tester</t>
  </si>
  <si>
    <t>Abstract-214</t>
  </si>
  <si>
    <t>Students-214</t>
  </si>
  <si>
    <t>CAP-215</t>
  </si>
  <si>
    <t>Spillage of Almond Steaming Line</t>
  </si>
  <si>
    <t>Abstract-215</t>
  </si>
  <si>
    <t>Students-215</t>
  </si>
  <si>
    <t>CAP-216</t>
  </si>
  <si>
    <t>Sweet Potato Planter Robotic End Effector</t>
  </si>
  <si>
    <t>Arnold Farms</t>
  </si>
  <si>
    <t>Abstract-216</t>
  </si>
  <si>
    <t>Students-216</t>
  </si>
  <si>
    <t>Michael Yang    Carlos Cruz    Heily Chavez Davila    Rene Mendoza Salgado    Alison Lopez Contreras</t>
  </si>
  <si>
    <t>Leslie Benitez    Ching Ting Roy Ng    Vanessa Lopez    Jaime Cueva Escoto    Alexis Araujo</t>
  </si>
  <si>
    <t>Estefania Gamino    Sofia Herrera-Padilla    Gehad Elhanafy    Evelyn Archuleta    Phoebe Adamyan</t>
  </si>
  <si>
    <t>Aaron Amanios    Joana Gutierrez Coss y Leon    George Aguilar    Gilberto De La Torre    Emily Junez</t>
  </si>
  <si>
    <t>Adrian Buitron Boada, Dion Deng, Christopher Flores Varona, Pedro-Alonso Rocha-Martin, Anthony
 Yang</t>
  </si>
  <si>
    <t xml:space="preserve">Adrian Buitron Boada    Dion Deng    Christopher Flores Varona    Pedro-Alonso Rocha-Martin    Anthony Yang                     </t>
  </si>
  <si>
    <t>Bianca Ortiz-Larios    Edwin Vilches    Kwame Cherukuri    Samantha Tran    Talha Shah</t>
  </si>
  <si>
    <t>Reid Mcleod    Antonio Villalobos    Kamila Ramirez    Govargiz Sayyad Shahbaz    Fernando Cruz</t>
  </si>
  <si>
    <t>Perla Mendoza Rueda    Jacob Murillo-Gil    Thinh Nguyen    Neftali Galis Castillo</t>
  </si>
  <si>
    <t>Cristian Mejia    Eric Olson    Anthony Estrada Rivera    Juan Castrejon    Cristian Zapien</t>
  </si>
  <si>
    <t>Alex Huynh    Galo Mora    Ricardo Diaz    Marco Garcia    Esmeralda Ochoa</t>
  </si>
  <si>
    <t>Joseph Whalen    Mohammad Syed    Ethan Osborne - Berman    Antonio Garcia    Angel Munoz</t>
  </si>
  <si>
    <t>George Montross    Sheindel Gamerberg    Marcoantonio Lopez    Xavier Garcia    Sergio Manriquez</t>
  </si>
  <si>
    <t>Oscar Pacas Alvarez    Caleb Hoppe    Alvin Yu    Andres Lua    Maranda Nicole Azurin</t>
  </si>
  <si>
    <t>Xaiver Vega    Lukas Fong    Ethan Murcia    Noah Johnson    Ray Medina</t>
  </si>
  <si>
    <t>Diego Rios    Joshua Murillo Gil    Francisco Aguirre    Joseph Del Mundo    Edward Rodriguez</t>
  </si>
  <si>
    <t>Anthony Navarro    Marlon Ayala    Isacc Ortiz-Madrigal    Nahum Lozano Samperio    Alex Chu</t>
  </si>
  <si>
    <t>Vivian Nguyen    Christian Quintero Meza    Annie Ly    Caroline Amadet Barragan-Laguna    Kristal Navarro</t>
  </si>
  <si>
    <t>Alexander Salinas Carino    Odes Kilpatrick    Miguel Paniagua    Jonathan Sevilla    Chase Williams</t>
  </si>
  <si>
    <t>Amani Byron    Chikaodili Obiorah    Ana Lopez    Jesus Beltran    Jingheng Huang</t>
  </si>
  <si>
    <t>Jamileth Bermudez    Daniel Ochoa    Jiajie Situ    Randy Hernandez    Joshua Vuong</t>
  </si>
  <si>
    <t>Austin Ashworth    Jackson Korsgaard    Anthony Travieso    Jair Martinez Martinez    Alexander Minton</t>
  </si>
  <si>
    <t>Kim Nguyen    Noel Gomez    Jose Zamora Bello    Angel Jauregui    Rodolfo Sanchez</t>
  </si>
  <si>
    <t>Brandon Baltazar    Adrian Rivera    Xerxes Zangeneh    Carlos Pedraza    Jessica Romero</t>
  </si>
  <si>
    <t>Basheer Hussin    Saul Macias    Arturo Baza    Carlos Padmore</t>
  </si>
  <si>
    <t>Alexis Castillo    Ismael Diaz Garcia    Evan Roxton Chibbaro    David Vasquez Gramajo    Casey Leong</t>
  </si>
  <si>
    <t>Estevan Marquez    Ryan Yeung    Joseph Jordan    Andrea Moran    Alejandro Valencia Salazar</t>
  </si>
  <si>
    <t>Isabel Arreola    Scott Garcia    Meghan Mendoza    Tony Chen    Atnasia Mengistu</t>
  </si>
  <si>
    <t>Artury Ramirez    Cesar Sotero    Jeremiah Timbol    Jocelyn Gonzalez    Victoria Okafor    Christopher Kaye</t>
  </si>
  <si>
    <t>Jennifer Esmay    Andrew Schwartz    Odysseus Hadjioannou    Rigoberto Jimenez    Edeline Ortiz</t>
  </si>
  <si>
    <t>Cyrus Adriel Arellano    Luan Huynh    Luis Mora    Jovan Singh    Elson Zeng</t>
  </si>
  <si>
    <t>Soraya Boza    Gabriel Pulido    Ramon Sanchez    Daniel Tucker    Alyssa Yee</t>
  </si>
  <si>
    <t>Gabriel Benavidez    Isaac Luengas    Nabir Migadde    Ivan Tinoco</t>
  </si>
  <si>
    <t>Andrew Cardenas    Andrew Mouillesseaux    Valerie Nguyen    Derian Ramirez    Sawyer Shaddix    Johnson Tran</t>
  </si>
  <si>
    <t>Lucas Christenson    Peter Kinyanjui    Darren Roberson    Suyeon Shin    Athena Siaotong</t>
  </si>
  <si>
    <t>Johann Atchoukeu    Octavio Gonzalez    Adrian Posadas    Krishna Sharma    Tristin Thant</t>
  </si>
  <si>
    <t>Christopher Andrade    Rylan Chao    Kiet Dang    Danielle rodriguez    Dustin Vy</t>
  </si>
  <si>
    <t>Misael Casarez    Tim Chan    Ricardo Rodriguez    Titus Sun    Joshua Terriquez</t>
  </si>
  <si>
    <t>Khalid Ali    Jose Gonzalez    Kevin Ruiz-Mejia    Alexys Sanchez Partida    Joey Truong</t>
  </si>
  <si>
    <t>Uriel Barba    Stewart Choi    Vikram Narendar    Akash Singh    Martin Urueta</t>
  </si>
  <si>
    <t>Samuel Campos    Angelo Fatali    Hunter Mcclellan    Amrita Mohandas    Jacky Yu</t>
  </si>
  <si>
    <t>Guru Bachchu    Herminda Cisneros Duran    John Galindo    Mashaallah Moradi    Celeste Rodriguez Caballero</t>
  </si>
  <si>
    <t>Tony Doan    Renato Millan    Lucas Ortiz-Gonzalez    Rui Pan</t>
  </si>
  <si>
    <t>Luis Carrillo    Christian Doud    Sandeep Kaur    Emerald Nash    Jennifer Nhu    Christian Urbina</t>
  </si>
  <si>
    <t>Lance Carrido    Gavin Cochrane    Jason Gates    Andrew Lin    Stanley Yang</t>
  </si>
  <si>
    <t>Serenity Bassett    Xuanren Chen    Kulkaran Khaira    Alonso Ortiz    Inderpal Pannu    Mithil Patel</t>
  </si>
  <si>
    <t>Dathan Hansell    Shalyn Nguyen    Brandon Pardi    Elguin Perez    Alejandro Vazquez</t>
  </si>
  <si>
    <t>Paul Kim    Hao Mai    Rodrigo Martinez    Brandon Ortega    Andrew Plata</t>
  </si>
  <si>
    <t>Eduardo Barreto-Mendoza    Natalie Diaz    Harpreet Dosanjh    Charles Mazhar    Robert Smith</t>
  </si>
  <si>
    <t>Cassandra Chen    Andrew Duran    Fiza Haroon    Andrew Olmos    Wen Zhao</t>
  </si>
  <si>
    <t>William Breytberg    Qihao Cai    Ryan Chazen    Chukwuemeka Elendu    Guillermo Zarate</t>
  </si>
  <si>
    <t>Rodolfo Gutierrez    Tyler Ly    Axel Martinez Siliezar    Austin Matthews    Alfredo Torres    Sam Walley</t>
  </si>
  <si>
    <t>2022-01-Spring-CAP1</t>
  </si>
  <si>
    <t>2022-01-Spring-CAP2</t>
  </si>
  <si>
    <t>Dave Wilson Nursery</t>
  </si>
  <si>
    <t>2022-01-Spring-CAP3</t>
  </si>
  <si>
    <t>2022-01-Spring-CAP4</t>
  </si>
  <si>
    <t>2022-01-Spring-CAP5</t>
  </si>
  <si>
    <t>2022-01-Spring-CAP6</t>
  </si>
  <si>
    <t>2022-01-Spring-CAP7</t>
  </si>
  <si>
    <t>2022-01-Spring-CAP8</t>
  </si>
  <si>
    <t>2022-01-Spring-CAP9</t>
  </si>
  <si>
    <t>Klingborg Enterprises</t>
  </si>
  <si>
    <t>Gemperle Orchards</t>
  </si>
  <si>
    <t>UC Merced - The Pi Shop</t>
  </si>
  <si>
    <t>Olam</t>
  </si>
  <si>
    <t>Duarte Nursery</t>
  </si>
  <si>
    <t>Neil Jones Foods (TomaTek)</t>
  </si>
  <si>
    <t>Neil Jones Foods (San Benito Foods)</t>
  </si>
  <si>
    <t>Corigin Solutions</t>
  </si>
  <si>
    <t>2022-01-Spring-CSE</t>
  </si>
  <si>
    <t>Sweep Energy</t>
  </si>
  <si>
    <t>Gemperle Family Farms</t>
  </si>
  <si>
    <t>US Cold Storage</t>
  </si>
  <si>
    <t>Veracruz Ventures</t>
  </si>
  <si>
    <t>ISSNAF</t>
  </si>
  <si>
    <t>SLAC National Accelerator Laboratory</t>
  </si>
  <si>
    <t>UCSF</t>
  </si>
  <si>
    <t>2022-01-Spring-CEE</t>
  </si>
  <si>
    <t>2022-01-Spring-EngSL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</si>
</sst>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b/>
      <sz val="9.0"/>
      <color theme="1"/>
      <name val="Arial"/>
    </font>
    <font>
      <sz val="9.0"/>
      <color theme="1"/>
      <name val="Arial"/>
    </font>
    <font>
      <sz val="9.0"/>
      <color theme="1"/>
      <name val="Arial"/>
      <scheme val="minor"/>
    </font>
    <font>
      <color theme="1"/>
      <name val="Arial"/>
      <scheme val="minor"/>
    </font>
    <font>
      <sz val="9.0"/>
      <color rgb="FF000000"/>
      <name val="Arial"/>
    </font>
  </fonts>
  <fills count="5">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164" xfId="0" applyAlignment="1" applyFont="1" applyNumberFormat="1">
      <alignment horizontal="left" shrinkToFit="0" vertical="center" wrapText="0"/>
    </xf>
    <xf borderId="0" fillId="2" fontId="1" numFmtId="0" xfId="0" applyAlignment="1" applyFont="1">
      <alignment horizontal="left" shrinkToFit="0" vertical="center" wrapText="0"/>
    </xf>
    <xf borderId="0" fillId="3"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4" fontId="2" numFmtId="0" xfId="0" applyAlignment="1" applyFill="1" applyFont="1">
      <alignment horizontal="left" readingOrder="0" shrinkToFit="0" vertical="center" wrapText="0"/>
    </xf>
    <xf borderId="0" fillId="0" fontId="3" numFmtId="0" xfId="0" applyAlignment="1" applyFont="1">
      <alignment horizontal="left" shrinkToFit="0" vertical="center" wrapText="0"/>
    </xf>
    <xf borderId="0" fillId="0" fontId="4" numFmtId="0" xfId="0" applyAlignment="1" applyFont="1">
      <alignment horizontal="left" shrinkToFit="0" vertical="center" wrapText="0"/>
    </xf>
    <xf borderId="0" fillId="0" fontId="2" numFmtId="0" xfId="0" applyAlignment="1" applyFont="1">
      <alignment horizontal="left" shrinkToFit="0" vertical="center" wrapText="0"/>
    </xf>
    <xf borderId="0" fillId="4"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vertical="center"/>
    </xf>
    <xf borderId="0" fillId="0" fontId="4"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6.13"/>
    <col customWidth="1" min="4" max="4" width="6.0"/>
    <col customWidth="1" min="5" max="5" width="7.38"/>
    <col customWidth="1" min="6" max="6" width="17.88"/>
    <col customWidth="1" min="7" max="7" width="30.88"/>
    <col customWidth="1" min="8" max="8" width="23.25"/>
    <col customWidth="1" min="9" max="9" width="19.0"/>
    <col customWidth="1" min="10" max="10" width="32.5"/>
    <col customWidth="1" min="11" max="11" width="76.88"/>
    <col customWidth="1" min="12" max="12" width="49.5"/>
  </cols>
  <sheetData>
    <row r="1" ht="18.75" customHeight="1">
      <c r="A1" s="1" t="s">
        <v>0</v>
      </c>
      <c r="B1" s="2" t="s">
        <v>1</v>
      </c>
      <c r="C1" s="1" t="s">
        <v>2</v>
      </c>
      <c r="D1" s="1" t="s">
        <v>3</v>
      </c>
      <c r="E1" s="3" t="s">
        <v>4</v>
      </c>
      <c r="F1" s="1" t="s">
        <v>5</v>
      </c>
      <c r="G1" s="1" t="s">
        <v>6</v>
      </c>
      <c r="H1" s="1" t="s">
        <v>7</v>
      </c>
      <c r="I1" s="1" t="s">
        <v>8</v>
      </c>
      <c r="J1" s="4" t="s">
        <v>9</v>
      </c>
      <c r="K1" s="4" t="s">
        <v>10</v>
      </c>
      <c r="L1" s="5" t="s">
        <v>11</v>
      </c>
      <c r="M1" s="6"/>
      <c r="N1" s="7"/>
      <c r="O1" s="7"/>
      <c r="P1" s="7"/>
      <c r="Q1" s="7"/>
      <c r="R1" s="7"/>
      <c r="S1" s="7"/>
      <c r="T1" s="7"/>
      <c r="U1" s="7"/>
      <c r="V1" s="7"/>
      <c r="W1" s="7"/>
      <c r="X1" s="7"/>
      <c r="Y1" s="7"/>
    </row>
    <row r="2" ht="18.75" customHeight="1">
      <c r="A2" s="6">
        <v>3.0</v>
      </c>
      <c r="B2" s="6">
        <v>5.0</v>
      </c>
      <c r="C2" s="8" t="s">
        <v>12</v>
      </c>
      <c r="D2" s="8" t="s">
        <v>13</v>
      </c>
      <c r="E2" s="6">
        <v>101.0</v>
      </c>
      <c r="F2" s="6" t="s">
        <v>14</v>
      </c>
      <c r="G2" s="6" t="s">
        <v>15</v>
      </c>
      <c r="H2" s="6" t="s">
        <v>16</v>
      </c>
      <c r="I2" s="6" t="s">
        <v>17</v>
      </c>
      <c r="J2" s="8" t="s">
        <v>18</v>
      </c>
      <c r="K2" s="6" t="s">
        <v>19</v>
      </c>
      <c r="L2" s="6" t="str">
        <f t="shared" ref="L2:L30" si="1">"Team: " &amp; F2 &amp; "  -  Project: " &amp; G2</f>
        <v>Team: Speedy Seeds  -  Project: Native Seed Cleaner</v>
      </c>
      <c r="M2" s="7"/>
      <c r="N2" s="9"/>
      <c r="O2" s="7"/>
      <c r="P2" s="7"/>
      <c r="Q2" s="7"/>
      <c r="R2" s="7"/>
      <c r="S2" s="7"/>
      <c r="T2" s="7"/>
      <c r="U2" s="7"/>
      <c r="V2" s="7"/>
      <c r="W2" s="7"/>
      <c r="X2" s="7"/>
      <c r="Y2" s="7"/>
    </row>
    <row r="3" ht="18.75" customHeight="1">
      <c r="A3" s="6">
        <v>3.0</v>
      </c>
      <c r="B3" s="6">
        <v>1.0</v>
      </c>
      <c r="C3" s="8" t="s">
        <v>12</v>
      </c>
      <c r="D3" s="8" t="s">
        <v>13</v>
      </c>
      <c r="E3" s="6">
        <v>102.0</v>
      </c>
      <c r="F3" s="6" t="s">
        <v>20</v>
      </c>
      <c r="G3" s="6" t="s">
        <v>21</v>
      </c>
      <c r="H3" s="6" t="s">
        <v>16</v>
      </c>
      <c r="I3" s="6" t="s">
        <v>17</v>
      </c>
      <c r="J3" s="8" t="s">
        <v>22</v>
      </c>
      <c r="K3" s="6" t="s">
        <v>23</v>
      </c>
      <c r="L3" s="6" t="str">
        <f t="shared" si="1"/>
        <v>Team: Noo-Noo  -  Project: Milkweed Seed Harvester</v>
      </c>
      <c r="M3" s="7"/>
      <c r="N3" s="9"/>
      <c r="O3" s="7"/>
      <c r="P3" s="7"/>
      <c r="Q3" s="7"/>
      <c r="R3" s="7"/>
      <c r="S3" s="7"/>
      <c r="T3" s="7"/>
      <c r="U3" s="7"/>
      <c r="V3" s="7"/>
      <c r="W3" s="7"/>
      <c r="X3" s="7"/>
      <c r="Y3" s="7"/>
    </row>
    <row r="4" ht="18.75" customHeight="1">
      <c r="A4" s="6">
        <v>1.0</v>
      </c>
      <c r="B4" s="6">
        <v>2.0</v>
      </c>
      <c r="C4" s="8" t="s">
        <v>12</v>
      </c>
      <c r="D4" s="8" t="s">
        <v>13</v>
      </c>
      <c r="E4" s="6">
        <v>103.0</v>
      </c>
      <c r="F4" s="6" t="s">
        <v>24</v>
      </c>
      <c r="G4" s="6" t="s">
        <v>25</v>
      </c>
      <c r="H4" s="6" t="s">
        <v>26</v>
      </c>
      <c r="I4" s="6" t="s">
        <v>27</v>
      </c>
      <c r="J4" s="8" t="s">
        <v>28</v>
      </c>
      <c r="K4" s="6" t="s">
        <v>29</v>
      </c>
      <c r="L4" s="6" t="str">
        <f t="shared" si="1"/>
        <v>Team: P.E.R.L  -  Project: Patient Environmental Logger and Reporting - Phase 3</v>
      </c>
      <c r="M4" s="7"/>
      <c r="N4" s="9"/>
      <c r="O4" s="7"/>
      <c r="P4" s="7"/>
      <c r="Q4" s="7"/>
      <c r="R4" s="7"/>
      <c r="S4" s="7"/>
      <c r="T4" s="7"/>
      <c r="U4" s="7"/>
      <c r="V4" s="7"/>
      <c r="W4" s="7"/>
      <c r="X4" s="7"/>
      <c r="Y4" s="7"/>
    </row>
    <row r="5" ht="18.75" customHeight="1">
      <c r="A5" s="6">
        <v>1.0</v>
      </c>
      <c r="B5" s="6">
        <v>3.0</v>
      </c>
      <c r="C5" s="8" t="s">
        <v>12</v>
      </c>
      <c r="D5" s="8" t="s">
        <v>13</v>
      </c>
      <c r="E5" s="6">
        <v>104.0</v>
      </c>
      <c r="F5" s="6" t="s">
        <v>30</v>
      </c>
      <c r="G5" s="6" t="s">
        <v>31</v>
      </c>
      <c r="H5" s="6" t="s">
        <v>26</v>
      </c>
      <c r="I5" s="6" t="s">
        <v>27</v>
      </c>
      <c r="J5" s="8" t="s">
        <v>32</v>
      </c>
      <c r="K5" s="6" t="s">
        <v>33</v>
      </c>
      <c r="L5" s="6" t="str">
        <f t="shared" si="1"/>
        <v>Team: QOMA  -  Project: Quantification of Organic Material in Air</v>
      </c>
      <c r="M5" s="7"/>
      <c r="N5" s="9"/>
      <c r="O5" s="7"/>
      <c r="P5" s="7"/>
      <c r="Q5" s="7"/>
      <c r="R5" s="7"/>
      <c r="S5" s="7"/>
      <c r="T5" s="7"/>
      <c r="U5" s="7"/>
      <c r="V5" s="7"/>
      <c r="W5" s="7"/>
      <c r="X5" s="7"/>
      <c r="Y5" s="7"/>
    </row>
    <row r="6" ht="18.75" customHeight="1">
      <c r="A6" s="6">
        <v>4.0</v>
      </c>
      <c r="B6" s="6">
        <v>4.0</v>
      </c>
      <c r="C6" s="8" t="s">
        <v>12</v>
      </c>
      <c r="D6" s="8" t="s">
        <v>13</v>
      </c>
      <c r="E6" s="6">
        <v>105.0</v>
      </c>
      <c r="F6" s="6" t="s">
        <v>34</v>
      </c>
      <c r="G6" s="6" t="s">
        <v>35</v>
      </c>
      <c r="H6" s="6" t="s">
        <v>36</v>
      </c>
      <c r="I6" s="6" t="s">
        <v>37</v>
      </c>
      <c r="J6" s="8" t="s">
        <v>38</v>
      </c>
      <c r="K6" s="6" t="s">
        <v>39</v>
      </c>
      <c r="L6" s="6" t="str">
        <f t="shared" si="1"/>
        <v>Team: Pinto Rice  -  Project: Automated Drum Lid Application and Removal</v>
      </c>
      <c r="M6" s="7"/>
      <c r="N6" s="9"/>
      <c r="O6" s="7"/>
      <c r="P6" s="7"/>
      <c r="Q6" s="7"/>
      <c r="R6" s="7"/>
      <c r="S6" s="7"/>
      <c r="T6" s="7"/>
      <c r="U6" s="7"/>
      <c r="V6" s="7"/>
      <c r="W6" s="7"/>
      <c r="X6" s="7"/>
      <c r="Y6" s="7"/>
    </row>
    <row r="7" ht="18.75" customHeight="1">
      <c r="A7" s="6">
        <v>4.0</v>
      </c>
      <c r="B7" s="6">
        <v>5.0</v>
      </c>
      <c r="C7" s="8" t="s">
        <v>12</v>
      </c>
      <c r="D7" s="8" t="s">
        <v>13</v>
      </c>
      <c r="E7" s="6">
        <v>106.0</v>
      </c>
      <c r="F7" s="6" t="s">
        <v>40</v>
      </c>
      <c r="G7" s="6" t="s">
        <v>41</v>
      </c>
      <c r="H7" s="6" t="s">
        <v>36</v>
      </c>
      <c r="I7" s="6" t="s">
        <v>37</v>
      </c>
      <c r="J7" s="8" t="s">
        <v>42</v>
      </c>
      <c r="K7" s="6" t="s">
        <v>43</v>
      </c>
      <c r="L7" s="6" t="str">
        <f t="shared" si="1"/>
        <v>Team: Sentient Chili  -  Project: Chili Cooking Optimization</v>
      </c>
      <c r="M7" s="7"/>
      <c r="N7" s="9"/>
      <c r="O7" s="7"/>
      <c r="P7" s="7"/>
      <c r="Q7" s="7"/>
      <c r="R7" s="7"/>
      <c r="S7" s="7"/>
      <c r="T7" s="7"/>
      <c r="U7" s="7"/>
      <c r="V7" s="7"/>
      <c r="W7" s="7"/>
      <c r="X7" s="7"/>
      <c r="Y7" s="7"/>
    </row>
    <row r="8" ht="18.75" customHeight="1">
      <c r="A8" s="6">
        <v>4.0</v>
      </c>
      <c r="B8" s="6">
        <v>2.0</v>
      </c>
      <c r="C8" s="8" t="s">
        <v>12</v>
      </c>
      <c r="D8" s="8" t="s">
        <v>13</v>
      </c>
      <c r="E8" s="6">
        <v>107.0</v>
      </c>
      <c r="F8" s="6" t="s">
        <v>44</v>
      </c>
      <c r="G8" s="6" t="s">
        <v>45</v>
      </c>
      <c r="H8" s="6" t="s">
        <v>46</v>
      </c>
      <c r="I8" s="6" t="s">
        <v>37</v>
      </c>
      <c r="J8" s="8" t="s">
        <v>47</v>
      </c>
      <c r="K8" s="6" t="s">
        <v>48</v>
      </c>
      <c r="L8" s="6" t="str">
        <f t="shared" si="1"/>
        <v>Team: Hose Key Tools Redesign  -  Project: Hose Key Redesign</v>
      </c>
      <c r="M8" s="7"/>
      <c r="N8" s="9"/>
      <c r="O8" s="7"/>
      <c r="P8" s="7"/>
      <c r="Q8" s="7"/>
      <c r="R8" s="7"/>
      <c r="S8" s="7"/>
      <c r="T8" s="7"/>
      <c r="U8" s="7"/>
      <c r="V8" s="7"/>
      <c r="W8" s="7"/>
      <c r="X8" s="7"/>
      <c r="Y8" s="7"/>
    </row>
    <row r="9" ht="18.75" customHeight="1">
      <c r="A9" s="6">
        <v>4.0</v>
      </c>
      <c r="B9" s="6">
        <v>1.0</v>
      </c>
      <c r="C9" s="8" t="s">
        <v>12</v>
      </c>
      <c r="D9" s="8" t="s">
        <v>13</v>
      </c>
      <c r="E9" s="6">
        <v>108.0</v>
      </c>
      <c r="F9" s="6" t="s">
        <v>49</v>
      </c>
      <c r="G9" s="6" t="s">
        <v>50</v>
      </c>
      <c r="H9" s="6" t="s">
        <v>46</v>
      </c>
      <c r="I9" s="6" t="s">
        <v>37</v>
      </c>
      <c r="J9" s="8" t="s">
        <v>51</v>
      </c>
      <c r="K9" s="6" t="s">
        <v>52</v>
      </c>
      <c r="L9" s="6" t="str">
        <f t="shared" si="1"/>
        <v>Team: Harvest Hustlers  -  Project: Hose Fitting Wear Measurement Tool</v>
      </c>
      <c r="M9" s="7"/>
      <c r="N9" s="9"/>
      <c r="O9" s="7"/>
      <c r="P9" s="7"/>
      <c r="Q9" s="7"/>
      <c r="R9" s="7"/>
      <c r="S9" s="7"/>
      <c r="T9" s="7"/>
      <c r="U9" s="7"/>
      <c r="V9" s="7"/>
      <c r="W9" s="7"/>
      <c r="X9" s="7"/>
      <c r="Y9" s="7"/>
    </row>
    <row r="10" ht="18.75" customHeight="1">
      <c r="A10" s="6">
        <v>4.0</v>
      </c>
      <c r="B10" s="6">
        <v>6.0</v>
      </c>
      <c r="C10" s="8" t="s">
        <v>12</v>
      </c>
      <c r="D10" s="8" t="s">
        <v>13</v>
      </c>
      <c r="E10" s="6">
        <v>109.0</v>
      </c>
      <c r="F10" s="6" t="s">
        <v>53</v>
      </c>
      <c r="G10" s="6" t="s">
        <v>54</v>
      </c>
      <c r="H10" s="6" t="s">
        <v>36</v>
      </c>
      <c r="I10" s="6" t="s">
        <v>37</v>
      </c>
      <c r="J10" s="8" t="s">
        <v>55</v>
      </c>
      <c r="K10" s="6" t="s">
        <v>56</v>
      </c>
      <c r="L10" s="6" t="str">
        <f t="shared" si="1"/>
        <v>Team: Sensient Product Recovery  -  Project: Dryer Product Spillage Improvements</v>
      </c>
      <c r="M10" s="7"/>
      <c r="N10" s="9"/>
      <c r="O10" s="7"/>
      <c r="P10" s="7"/>
      <c r="Q10" s="7"/>
      <c r="R10" s="7"/>
      <c r="S10" s="7"/>
      <c r="T10" s="7"/>
      <c r="U10" s="7"/>
      <c r="V10" s="7"/>
      <c r="W10" s="7"/>
      <c r="X10" s="7"/>
      <c r="Y10" s="7"/>
    </row>
    <row r="11" ht="18.75" customHeight="1">
      <c r="A11" s="6">
        <v>3.0</v>
      </c>
      <c r="B11" s="6">
        <v>6.0</v>
      </c>
      <c r="C11" s="8" t="s">
        <v>12</v>
      </c>
      <c r="D11" s="8" t="s">
        <v>13</v>
      </c>
      <c r="E11" s="6">
        <v>110.0</v>
      </c>
      <c r="F11" s="6" t="s">
        <v>57</v>
      </c>
      <c r="G11" s="6" t="s">
        <v>58</v>
      </c>
      <c r="H11" s="6" t="s">
        <v>59</v>
      </c>
      <c r="I11" s="6" t="s">
        <v>17</v>
      </c>
      <c r="J11" s="8" t="s">
        <v>60</v>
      </c>
      <c r="K11" s="6" t="s">
        <v>61</v>
      </c>
      <c r="L11" s="6" t="str">
        <f t="shared" si="1"/>
        <v>Team: Mowtion  -  Project: Mowing Vegetables</v>
      </c>
      <c r="M11" s="7"/>
      <c r="N11" s="9"/>
      <c r="O11" s="7"/>
      <c r="P11" s="7"/>
      <c r="Q11" s="7"/>
      <c r="R11" s="7"/>
      <c r="S11" s="7"/>
      <c r="T11" s="7"/>
      <c r="U11" s="7"/>
      <c r="V11" s="7"/>
      <c r="W11" s="7"/>
      <c r="X11" s="7"/>
      <c r="Y11" s="7"/>
    </row>
    <row r="12" ht="18.75" customHeight="1">
      <c r="A12" s="6">
        <v>2.0</v>
      </c>
      <c r="B12" s="6">
        <v>4.0</v>
      </c>
      <c r="C12" s="8" t="s">
        <v>12</v>
      </c>
      <c r="D12" s="8" t="s">
        <v>13</v>
      </c>
      <c r="E12" s="6">
        <v>111.0</v>
      </c>
      <c r="F12" s="6" t="s">
        <v>62</v>
      </c>
      <c r="G12" s="6" t="s">
        <v>63</v>
      </c>
      <c r="H12" s="6" t="s">
        <v>64</v>
      </c>
      <c r="I12" s="6" t="s">
        <v>65</v>
      </c>
      <c r="J12" s="8" t="s">
        <v>66</v>
      </c>
      <c r="K12" s="6" t="s">
        <v>67</v>
      </c>
      <c r="L12" s="6" t="str">
        <f t="shared" si="1"/>
        <v>Team: BART Obstruction Detection Team  -  Project: Track Obstruction Detection System</v>
      </c>
      <c r="M12" s="7"/>
      <c r="N12" s="9"/>
      <c r="O12" s="7"/>
      <c r="P12" s="7"/>
      <c r="Q12" s="7"/>
      <c r="R12" s="7"/>
      <c r="S12" s="7"/>
      <c r="T12" s="7"/>
      <c r="U12" s="7"/>
      <c r="V12" s="7"/>
      <c r="W12" s="7"/>
      <c r="X12" s="7"/>
      <c r="Y12" s="7"/>
    </row>
    <row r="13" ht="18.75" customHeight="1">
      <c r="A13" s="6">
        <v>3.0</v>
      </c>
      <c r="B13" s="6">
        <v>2.0</v>
      </c>
      <c r="C13" s="8" t="s">
        <v>12</v>
      </c>
      <c r="D13" s="8" t="s">
        <v>13</v>
      </c>
      <c r="E13" s="6">
        <v>112.0</v>
      </c>
      <c r="F13" s="6" t="s">
        <v>68</v>
      </c>
      <c r="G13" s="6" t="s">
        <v>69</v>
      </c>
      <c r="H13" s="6" t="s">
        <v>70</v>
      </c>
      <c r="I13" s="6" t="s">
        <v>17</v>
      </c>
      <c r="J13" s="8" t="s">
        <v>71</v>
      </c>
      <c r="K13" s="6" t="s">
        <v>72</v>
      </c>
      <c r="L13" s="6" t="str">
        <f t="shared" si="1"/>
        <v>Team: Apple Automaters  -  Project: Apple Harvesting Robot</v>
      </c>
      <c r="M13" s="7"/>
      <c r="N13" s="9"/>
      <c r="O13" s="7"/>
      <c r="P13" s="7"/>
      <c r="Q13" s="7"/>
      <c r="R13" s="7"/>
      <c r="S13" s="7"/>
      <c r="T13" s="7"/>
      <c r="U13" s="7"/>
      <c r="V13" s="7"/>
      <c r="W13" s="7"/>
      <c r="X13" s="7"/>
      <c r="Y13" s="7"/>
    </row>
    <row r="14" ht="18.75" customHeight="1">
      <c r="A14" s="6">
        <v>1.0</v>
      </c>
      <c r="B14" s="6">
        <v>1.0</v>
      </c>
      <c r="C14" s="8" t="s">
        <v>12</v>
      </c>
      <c r="D14" s="8" t="s">
        <v>13</v>
      </c>
      <c r="E14" s="6">
        <v>113.0</v>
      </c>
      <c r="F14" s="6" t="s">
        <v>73</v>
      </c>
      <c r="G14" s="6" t="s">
        <v>74</v>
      </c>
      <c r="H14" s="6" t="s">
        <v>70</v>
      </c>
      <c r="I14" s="6" t="s">
        <v>17</v>
      </c>
      <c r="J14" s="8" t="s">
        <v>75</v>
      </c>
      <c r="K14" s="6" t="s">
        <v>76</v>
      </c>
      <c r="L14" s="6" t="str">
        <f t="shared" si="1"/>
        <v>Team: Air quality care  -  Project: Air Quality Assistance System for Agriculture</v>
      </c>
      <c r="M14" s="7"/>
      <c r="N14" s="9"/>
      <c r="O14" s="7"/>
      <c r="P14" s="7"/>
      <c r="Q14" s="7"/>
      <c r="R14" s="7"/>
      <c r="S14" s="7"/>
      <c r="T14" s="7"/>
      <c r="U14" s="7"/>
      <c r="V14" s="7"/>
      <c r="W14" s="7"/>
      <c r="X14" s="7"/>
      <c r="Y14" s="7"/>
    </row>
    <row r="15" ht="18.75" customHeight="1">
      <c r="A15" s="6">
        <v>2.0</v>
      </c>
      <c r="B15" s="6">
        <v>2.0</v>
      </c>
      <c r="C15" s="8" t="s">
        <v>12</v>
      </c>
      <c r="D15" s="8" t="s">
        <v>13</v>
      </c>
      <c r="E15" s="6">
        <v>114.0</v>
      </c>
      <c r="F15" s="6" t="s">
        <v>77</v>
      </c>
      <c r="G15" s="6" t="s">
        <v>77</v>
      </c>
      <c r="H15" s="6" t="s">
        <v>78</v>
      </c>
      <c r="I15" s="6" t="s">
        <v>79</v>
      </c>
      <c r="J15" s="8" t="s">
        <v>80</v>
      </c>
      <c r="K15" s="6" t="s">
        <v>81</v>
      </c>
      <c r="L15" s="6" t="str">
        <f t="shared" si="1"/>
        <v>Team: HVAC System Design  -  Project: HVAC System Design</v>
      </c>
      <c r="M15" s="7"/>
      <c r="N15" s="9"/>
      <c r="O15" s="7"/>
      <c r="P15" s="7"/>
      <c r="Q15" s="7"/>
      <c r="R15" s="7"/>
      <c r="S15" s="7"/>
      <c r="T15" s="7"/>
      <c r="U15" s="7"/>
      <c r="V15" s="7"/>
      <c r="W15" s="7"/>
      <c r="X15" s="7"/>
      <c r="Y15" s="7"/>
    </row>
    <row r="16" ht="18.75" customHeight="1">
      <c r="A16" s="6">
        <v>2.0</v>
      </c>
      <c r="B16" s="6">
        <v>5.0</v>
      </c>
      <c r="C16" s="8" t="s">
        <v>12</v>
      </c>
      <c r="D16" s="8" t="s">
        <v>13</v>
      </c>
      <c r="E16" s="6">
        <v>115.0</v>
      </c>
      <c r="F16" s="6" t="s">
        <v>82</v>
      </c>
      <c r="G16" s="6" t="s">
        <v>83</v>
      </c>
      <c r="H16" s="6" t="s">
        <v>84</v>
      </c>
      <c r="I16" s="6" t="s">
        <v>17</v>
      </c>
      <c r="J16" s="8" t="s">
        <v>85</v>
      </c>
      <c r="K16" s="6" t="s">
        <v>86</v>
      </c>
      <c r="L16" s="6" t="str">
        <f t="shared" si="1"/>
        <v>Team: Dairy Feed-Out Engineering  -  Project: Improvements of Feed Out Options</v>
      </c>
      <c r="M16" s="7"/>
      <c r="N16" s="9"/>
      <c r="O16" s="7"/>
      <c r="P16" s="7"/>
      <c r="Q16" s="7"/>
      <c r="R16" s="7"/>
      <c r="S16" s="7"/>
      <c r="T16" s="7"/>
      <c r="U16" s="7"/>
      <c r="V16" s="7"/>
      <c r="W16" s="7"/>
      <c r="X16" s="7"/>
      <c r="Y16" s="7"/>
    </row>
    <row r="17" ht="18.75" customHeight="1">
      <c r="A17" s="6">
        <v>4.0</v>
      </c>
      <c r="B17" s="6">
        <v>3.0</v>
      </c>
      <c r="C17" s="8" t="s">
        <v>12</v>
      </c>
      <c r="D17" s="8" t="s">
        <v>13</v>
      </c>
      <c r="E17" s="6">
        <v>116.0</v>
      </c>
      <c r="F17" s="6" t="s">
        <v>87</v>
      </c>
      <c r="G17" s="6" t="s">
        <v>88</v>
      </c>
      <c r="H17" s="6" t="s">
        <v>89</v>
      </c>
      <c r="I17" s="6" t="s">
        <v>37</v>
      </c>
      <c r="J17" s="8" t="s">
        <v>90</v>
      </c>
      <c r="K17" s="6" t="s">
        <v>91</v>
      </c>
      <c r="L17" s="6" t="str">
        <f t="shared" si="1"/>
        <v>Team: OFI 116  -  Project: Pkg 1 - Flour Line Floor Sweeps</v>
      </c>
      <c r="M17" s="7"/>
      <c r="N17" s="9"/>
      <c r="O17" s="7"/>
      <c r="P17" s="7"/>
      <c r="Q17" s="7"/>
      <c r="R17" s="7"/>
      <c r="S17" s="7"/>
      <c r="T17" s="7"/>
      <c r="U17" s="7"/>
      <c r="V17" s="7"/>
      <c r="W17" s="7"/>
      <c r="X17" s="7"/>
      <c r="Y17" s="7"/>
    </row>
    <row r="18" ht="18.75" customHeight="1">
      <c r="A18" s="6">
        <v>1.0</v>
      </c>
      <c r="B18" s="6">
        <v>6.0</v>
      </c>
      <c r="C18" s="8" t="s">
        <v>12</v>
      </c>
      <c r="D18" s="8" t="s">
        <v>13</v>
      </c>
      <c r="E18" s="6">
        <v>117.0</v>
      </c>
      <c r="F18" s="6" t="s">
        <v>92</v>
      </c>
      <c r="G18" s="6" t="s">
        <v>93</v>
      </c>
      <c r="H18" s="6" t="s">
        <v>94</v>
      </c>
      <c r="I18" s="6" t="s">
        <v>27</v>
      </c>
      <c r="J18" s="8" t="s">
        <v>95</v>
      </c>
      <c r="K18" s="6" t="s">
        <v>96</v>
      </c>
      <c r="L18" s="6" t="str">
        <f t="shared" si="1"/>
        <v>Team: Tempus  -  Project: Early Diagnosis of Intracranial Pathology in Pediatrics by Sensor Development</v>
      </c>
      <c r="M18" s="7"/>
      <c r="N18" s="9"/>
      <c r="O18" s="7"/>
      <c r="P18" s="7"/>
      <c r="Q18" s="7"/>
      <c r="R18" s="7"/>
      <c r="S18" s="7"/>
      <c r="T18" s="7"/>
      <c r="U18" s="7"/>
      <c r="V18" s="7"/>
      <c r="W18" s="7"/>
      <c r="X18" s="7"/>
      <c r="Y18" s="7"/>
    </row>
    <row r="19" ht="18.75" customHeight="1">
      <c r="A19" s="6">
        <v>2.0</v>
      </c>
      <c r="B19" s="6">
        <v>3.0</v>
      </c>
      <c r="C19" s="8" t="s">
        <v>12</v>
      </c>
      <c r="D19" s="8" t="s">
        <v>13</v>
      </c>
      <c r="E19" s="6">
        <v>118.0</v>
      </c>
      <c r="F19" s="6" t="s">
        <v>97</v>
      </c>
      <c r="G19" s="6" t="s">
        <v>98</v>
      </c>
      <c r="H19" s="6" t="s">
        <v>99</v>
      </c>
      <c r="I19" s="6" t="s">
        <v>65</v>
      </c>
      <c r="J19" s="8" t="s">
        <v>100</v>
      </c>
      <c r="K19" s="6" t="s">
        <v>101</v>
      </c>
      <c r="L19" s="6" t="str">
        <f t="shared" si="1"/>
        <v>Team: Failure Analysis Toolkit  -  Project: Failure analysis toolkit - Shock/Vibration Measurement  - Industrial Robots</v>
      </c>
      <c r="M19" s="7"/>
      <c r="N19" s="9"/>
      <c r="O19" s="7"/>
      <c r="P19" s="7"/>
      <c r="Q19" s="7"/>
      <c r="R19" s="7"/>
      <c r="S19" s="7"/>
      <c r="T19" s="7"/>
      <c r="U19" s="7"/>
      <c r="V19" s="7"/>
      <c r="W19" s="7"/>
      <c r="X19" s="7"/>
      <c r="Y19" s="7"/>
    </row>
    <row r="20" ht="18.75" customHeight="1">
      <c r="A20" s="6">
        <v>1.0</v>
      </c>
      <c r="B20" s="6">
        <v>4.0</v>
      </c>
      <c r="C20" s="8" t="s">
        <v>12</v>
      </c>
      <c r="D20" s="8" t="s">
        <v>13</v>
      </c>
      <c r="E20" s="6">
        <v>119.0</v>
      </c>
      <c r="F20" s="6" t="s">
        <v>102</v>
      </c>
      <c r="G20" s="6" t="s">
        <v>103</v>
      </c>
      <c r="H20" s="6" t="s">
        <v>104</v>
      </c>
      <c r="I20" s="6" t="s">
        <v>27</v>
      </c>
      <c r="J20" s="8" t="s">
        <v>105</v>
      </c>
      <c r="K20" s="6" t="s">
        <v>106</v>
      </c>
      <c r="L20" s="6" t="str">
        <f t="shared" si="1"/>
        <v>Team: Unicare  -  Project: Comfort and Care</v>
      </c>
      <c r="M20" s="7"/>
      <c r="N20" s="9"/>
      <c r="O20" s="7"/>
      <c r="P20" s="7"/>
      <c r="Q20" s="7"/>
      <c r="R20" s="7"/>
      <c r="S20" s="7"/>
      <c r="T20" s="7"/>
      <c r="U20" s="7"/>
      <c r="V20" s="7"/>
      <c r="W20" s="7"/>
      <c r="X20" s="7"/>
      <c r="Y20" s="7"/>
    </row>
    <row r="21" ht="18.75" customHeight="1">
      <c r="A21" s="6">
        <v>2.0</v>
      </c>
      <c r="B21" s="6">
        <v>1.0</v>
      </c>
      <c r="C21" s="8" t="s">
        <v>12</v>
      </c>
      <c r="D21" s="8" t="s">
        <v>13</v>
      </c>
      <c r="E21" s="6">
        <v>120.0</v>
      </c>
      <c r="F21" s="6" t="s">
        <v>107</v>
      </c>
      <c r="G21" s="6" t="s">
        <v>108</v>
      </c>
      <c r="H21" s="6" t="s">
        <v>99</v>
      </c>
      <c r="I21" s="6" t="s">
        <v>65</v>
      </c>
      <c r="J21" s="8" t="s">
        <v>109</v>
      </c>
      <c r="K21" s="6" t="s">
        <v>110</v>
      </c>
      <c r="L21" s="6" t="str">
        <f t="shared" si="1"/>
        <v>Team: Team Viper  -  Project: Industrial robot payload detection</v>
      </c>
      <c r="M21" s="7"/>
      <c r="N21" s="9"/>
      <c r="O21" s="7"/>
      <c r="P21" s="7"/>
      <c r="Q21" s="7"/>
      <c r="R21" s="7"/>
      <c r="S21" s="7"/>
      <c r="T21" s="7"/>
      <c r="U21" s="7"/>
      <c r="V21" s="7"/>
      <c r="W21" s="7"/>
      <c r="X21" s="7"/>
      <c r="Y21" s="7"/>
    </row>
    <row r="22" ht="18.75" customHeight="1">
      <c r="A22" s="6">
        <v>5.0</v>
      </c>
      <c r="B22" s="6">
        <v>6.0</v>
      </c>
      <c r="C22" s="8" t="s">
        <v>12</v>
      </c>
      <c r="D22" s="8" t="s">
        <v>13</v>
      </c>
      <c r="E22" s="6">
        <v>121.0</v>
      </c>
      <c r="F22" s="6" t="s">
        <v>111</v>
      </c>
      <c r="G22" s="6" t="s">
        <v>112</v>
      </c>
      <c r="H22" s="6" t="s">
        <v>113</v>
      </c>
      <c r="I22" s="6" t="s">
        <v>37</v>
      </c>
      <c r="J22" s="8" t="s">
        <v>114</v>
      </c>
      <c r="K22" s="6" t="s">
        <v>115</v>
      </c>
      <c r="L22" s="6" t="str">
        <f t="shared" si="1"/>
        <v>Team: Assisted Bin Assembly  -  Project: Semi-automated Tomato Bin Assembly</v>
      </c>
      <c r="M22" s="7"/>
      <c r="N22" s="9"/>
      <c r="O22" s="7"/>
      <c r="P22" s="7"/>
      <c r="Q22" s="7"/>
      <c r="R22" s="7"/>
      <c r="S22" s="7"/>
      <c r="T22" s="7"/>
      <c r="U22" s="7"/>
      <c r="V22" s="7"/>
      <c r="W22" s="7"/>
      <c r="X22" s="7"/>
      <c r="Y22" s="7"/>
    </row>
    <row r="23" ht="18.75" customHeight="1">
      <c r="A23" s="6">
        <v>5.0</v>
      </c>
      <c r="B23" s="6">
        <v>5.0</v>
      </c>
      <c r="C23" s="8" t="s">
        <v>12</v>
      </c>
      <c r="D23" s="8" t="s">
        <v>13</v>
      </c>
      <c r="E23" s="6">
        <v>122.0</v>
      </c>
      <c r="F23" s="6" t="s">
        <v>116</v>
      </c>
      <c r="G23" s="6" t="s">
        <v>117</v>
      </c>
      <c r="H23" s="6" t="s">
        <v>118</v>
      </c>
      <c r="I23" s="6" t="s">
        <v>37</v>
      </c>
      <c r="J23" s="8" t="s">
        <v>119</v>
      </c>
      <c r="K23" s="6" t="s">
        <v>120</v>
      </c>
      <c r="L23" s="6" t="str">
        <f t="shared" si="1"/>
        <v>Team: Project Flamin’ Automation  -  Project: Design New Perfect Service Lane Conveyor</v>
      </c>
      <c r="M23" s="7"/>
      <c r="N23" s="9"/>
      <c r="O23" s="7"/>
      <c r="P23" s="7"/>
      <c r="Q23" s="7"/>
      <c r="R23" s="7"/>
      <c r="S23" s="7"/>
      <c r="T23" s="7"/>
      <c r="U23" s="7"/>
      <c r="V23" s="7"/>
      <c r="W23" s="7"/>
      <c r="X23" s="7"/>
      <c r="Y23" s="7"/>
    </row>
    <row r="24" ht="18.75" customHeight="1">
      <c r="A24" s="6">
        <v>5.0</v>
      </c>
      <c r="B24" s="6">
        <v>4.0</v>
      </c>
      <c r="C24" s="8" t="s">
        <v>12</v>
      </c>
      <c r="D24" s="8" t="s">
        <v>13</v>
      </c>
      <c r="E24" s="6">
        <v>123.0</v>
      </c>
      <c r="F24" s="6" t="s">
        <v>121</v>
      </c>
      <c r="G24" s="6" t="s">
        <v>122</v>
      </c>
      <c r="H24" s="6" t="s">
        <v>123</v>
      </c>
      <c r="I24" s="6" t="s">
        <v>37</v>
      </c>
      <c r="J24" s="8" t="s">
        <v>124</v>
      </c>
      <c r="K24" s="6" t="s">
        <v>125</v>
      </c>
      <c r="L24" s="6" t="str">
        <f t="shared" si="1"/>
        <v>Team: Fruit Spillage Reduction  -  Project: Fresh Pack Spillage Loss</v>
      </c>
      <c r="M24" s="7"/>
      <c r="N24" s="9"/>
      <c r="O24" s="7"/>
      <c r="P24" s="7"/>
      <c r="Q24" s="7"/>
      <c r="R24" s="7"/>
      <c r="S24" s="7"/>
      <c r="T24" s="7"/>
      <c r="U24" s="7"/>
      <c r="V24" s="7"/>
      <c r="W24" s="7"/>
      <c r="X24" s="7"/>
      <c r="Y24" s="7"/>
    </row>
    <row r="25" ht="18.75" customHeight="1">
      <c r="A25" s="6">
        <v>5.0</v>
      </c>
      <c r="B25" s="6">
        <v>3.0</v>
      </c>
      <c r="C25" s="8" t="s">
        <v>12</v>
      </c>
      <c r="D25" s="8" t="s">
        <v>13</v>
      </c>
      <c r="E25" s="6">
        <v>124.0</v>
      </c>
      <c r="F25" s="6" t="s">
        <v>126</v>
      </c>
      <c r="G25" s="6" t="s">
        <v>127</v>
      </c>
      <c r="H25" s="6" t="s">
        <v>123</v>
      </c>
      <c r="I25" s="6" t="s">
        <v>37</v>
      </c>
      <c r="J25" s="8" t="s">
        <v>128</v>
      </c>
      <c r="K25" s="6" t="s">
        <v>129</v>
      </c>
      <c r="L25" s="6" t="str">
        <f t="shared" si="1"/>
        <v>Team: Team Automation  -  Project: Project Automation</v>
      </c>
      <c r="M25" s="7"/>
      <c r="N25" s="9"/>
      <c r="O25" s="7"/>
      <c r="P25" s="7"/>
      <c r="Q25" s="7"/>
      <c r="R25" s="7"/>
      <c r="S25" s="7"/>
      <c r="T25" s="7"/>
      <c r="U25" s="7"/>
      <c r="V25" s="7"/>
      <c r="W25" s="7"/>
      <c r="X25" s="7"/>
      <c r="Y25" s="7"/>
    </row>
    <row r="26" ht="18.75" customHeight="1">
      <c r="A26" s="6">
        <v>5.0</v>
      </c>
      <c r="B26" s="6">
        <v>2.0</v>
      </c>
      <c r="C26" s="8" t="s">
        <v>12</v>
      </c>
      <c r="D26" s="8" t="s">
        <v>13</v>
      </c>
      <c r="E26" s="6">
        <v>125.0</v>
      </c>
      <c r="F26" s="6" t="s">
        <v>130</v>
      </c>
      <c r="G26" s="6" t="s">
        <v>130</v>
      </c>
      <c r="H26" s="6" t="s">
        <v>123</v>
      </c>
      <c r="I26" s="6" t="s">
        <v>37</v>
      </c>
      <c r="J26" s="8" t="s">
        <v>131</v>
      </c>
      <c r="K26" s="6" t="s">
        <v>132</v>
      </c>
      <c r="L26" s="6" t="str">
        <f t="shared" si="1"/>
        <v>Team: Ribbon Blender Upgrades  -  Project: Ribbon Blender Upgrades</v>
      </c>
      <c r="M26" s="7"/>
      <c r="N26" s="9"/>
      <c r="O26" s="7"/>
      <c r="P26" s="7"/>
      <c r="Q26" s="7"/>
      <c r="R26" s="7"/>
      <c r="S26" s="7"/>
      <c r="T26" s="7"/>
      <c r="U26" s="7"/>
      <c r="V26" s="7"/>
      <c r="W26" s="7"/>
      <c r="X26" s="7"/>
      <c r="Y26" s="7"/>
    </row>
    <row r="27" ht="18.75" customHeight="1">
      <c r="A27" s="6">
        <v>5.0</v>
      </c>
      <c r="B27" s="6">
        <v>1.0</v>
      </c>
      <c r="C27" s="8" t="s">
        <v>12</v>
      </c>
      <c r="D27" s="8" t="s">
        <v>13</v>
      </c>
      <c r="E27" s="6">
        <v>126.0</v>
      </c>
      <c r="F27" s="6" t="s">
        <v>133</v>
      </c>
      <c r="G27" s="6" t="s">
        <v>134</v>
      </c>
      <c r="H27" s="6" t="s">
        <v>123</v>
      </c>
      <c r="I27" s="6" t="s">
        <v>37</v>
      </c>
      <c r="J27" s="8" t="s">
        <v>135</v>
      </c>
      <c r="K27" s="6" t="s">
        <v>136</v>
      </c>
      <c r="L27" s="6" t="str">
        <f t="shared" si="1"/>
        <v>Team: Team Lane Dividers  -  Project: Empty Can Conveyor Upgrade</v>
      </c>
      <c r="M27" s="7"/>
      <c r="N27" s="9"/>
      <c r="O27" s="7"/>
      <c r="P27" s="7"/>
      <c r="Q27" s="7"/>
      <c r="R27" s="7"/>
      <c r="S27" s="7"/>
      <c r="T27" s="7"/>
      <c r="U27" s="7"/>
      <c r="V27" s="7"/>
      <c r="W27" s="7"/>
      <c r="X27" s="7"/>
      <c r="Y27" s="7"/>
    </row>
    <row r="28" ht="18.75" customHeight="1">
      <c r="A28" s="6">
        <v>3.0</v>
      </c>
      <c r="B28" s="6">
        <v>4.0</v>
      </c>
      <c r="C28" s="8" t="s">
        <v>12</v>
      </c>
      <c r="D28" s="8" t="s">
        <v>13</v>
      </c>
      <c r="E28" s="6">
        <v>127.0</v>
      </c>
      <c r="F28" s="6" t="s">
        <v>137</v>
      </c>
      <c r="G28" s="6" t="s">
        <v>138</v>
      </c>
      <c r="H28" s="6" t="s">
        <v>139</v>
      </c>
      <c r="I28" s="6" t="s">
        <v>37</v>
      </c>
      <c r="J28" s="8" t="s">
        <v>140</v>
      </c>
      <c r="K28" s="6" t="s">
        <v>141</v>
      </c>
      <c r="L28" s="6" t="str">
        <f t="shared" si="1"/>
        <v>Team: H2GrOw  -  Project: Tulare Water Quality to improve Water Sustainability</v>
      </c>
      <c r="M28" s="10"/>
      <c r="N28" s="9"/>
      <c r="O28" s="7"/>
      <c r="P28" s="7"/>
      <c r="Q28" s="7"/>
      <c r="R28" s="7"/>
      <c r="S28" s="7"/>
      <c r="T28" s="7"/>
      <c r="U28" s="7"/>
      <c r="V28" s="7"/>
      <c r="W28" s="7"/>
      <c r="X28" s="7"/>
      <c r="Y28" s="7"/>
    </row>
    <row r="29" ht="18.75" customHeight="1">
      <c r="A29" s="6">
        <v>1.0</v>
      </c>
      <c r="B29" s="6">
        <v>5.0</v>
      </c>
      <c r="C29" s="8" t="s">
        <v>12</v>
      </c>
      <c r="D29" s="8" t="s">
        <v>13</v>
      </c>
      <c r="E29" s="6">
        <v>128.0</v>
      </c>
      <c r="F29" s="6" t="s">
        <v>142</v>
      </c>
      <c r="G29" s="6" t="s">
        <v>143</v>
      </c>
      <c r="H29" s="6" t="s">
        <v>144</v>
      </c>
      <c r="I29" s="6" t="s">
        <v>145</v>
      </c>
      <c r="J29" s="8" t="s">
        <v>146</v>
      </c>
      <c r="K29" s="6" t="s">
        <v>147</v>
      </c>
      <c r="L29" s="6" t="str">
        <f t="shared" si="1"/>
        <v>Team: Citrified BioEngineers  -  Project: Implementation of nanoscale position scanning capabilities into a fluorescence confocal microscope for visualization of single protein molecules</v>
      </c>
      <c r="M29" s="7"/>
      <c r="N29" s="9"/>
      <c r="O29" s="7"/>
      <c r="P29" s="7"/>
      <c r="Q29" s="7"/>
      <c r="R29" s="7"/>
      <c r="S29" s="7"/>
      <c r="T29" s="7"/>
      <c r="U29" s="7"/>
      <c r="V29" s="7"/>
      <c r="W29" s="7"/>
      <c r="X29" s="7"/>
      <c r="Y29" s="7"/>
    </row>
    <row r="30" ht="18.75" customHeight="1">
      <c r="A30" s="6">
        <v>3.0</v>
      </c>
      <c r="B30" s="6">
        <v>3.0</v>
      </c>
      <c r="C30" s="8" t="s">
        <v>12</v>
      </c>
      <c r="D30" s="8" t="s">
        <v>13</v>
      </c>
      <c r="E30" s="6">
        <v>129.0</v>
      </c>
      <c r="F30" s="6" t="s">
        <v>148</v>
      </c>
      <c r="G30" s="6" t="s">
        <v>149</v>
      </c>
      <c r="H30" s="6" t="s">
        <v>150</v>
      </c>
      <c r="I30" s="6" t="s">
        <v>17</v>
      </c>
      <c r="J30" s="8" t="s">
        <v>151</v>
      </c>
      <c r="K30" s="6" t="s">
        <v>152</v>
      </c>
      <c r="L30" s="6" t="str">
        <f t="shared" si="1"/>
        <v>Team: IoT4Ag Growbot  -  Project: Design and implementation of a robotic actuation mechanism for collecting leaf spectral data.</v>
      </c>
      <c r="M30" s="7"/>
      <c r="N30" s="9"/>
      <c r="O30" s="7"/>
      <c r="P30" s="7"/>
      <c r="Q30" s="7"/>
      <c r="R30" s="7"/>
      <c r="S30" s="7"/>
      <c r="T30" s="7"/>
      <c r="U30" s="7"/>
      <c r="V30" s="7"/>
      <c r="W30" s="7"/>
      <c r="X30" s="7"/>
      <c r="Y30" s="7"/>
    </row>
    <row r="31" ht="18.75" customHeight="1">
      <c r="A31" s="6">
        <v>6.0</v>
      </c>
      <c r="B31" s="6">
        <v>1.0</v>
      </c>
      <c r="C31" s="8" t="s">
        <v>153</v>
      </c>
      <c r="D31" s="8" t="s">
        <v>154</v>
      </c>
      <c r="E31" s="6">
        <v>401.0</v>
      </c>
      <c r="F31" s="6" t="s">
        <v>155</v>
      </c>
      <c r="G31" s="6" t="s">
        <v>156</v>
      </c>
      <c r="H31" s="6" t="s">
        <v>157</v>
      </c>
      <c r="I31" s="6" t="s">
        <v>158</v>
      </c>
      <c r="J31" s="8"/>
      <c r="K31" s="6" t="s">
        <v>159</v>
      </c>
      <c r="L31" s="6" t="str">
        <f t="shared" ref="L31:L34" si="2">"Team: " &amp; F31 &amp; "  -  Project: " &amp; H31</f>
        <v>Team: CE401  -  Project: River Partners</v>
      </c>
      <c r="M31" s="7"/>
      <c r="N31" s="9"/>
      <c r="O31" s="7"/>
      <c r="P31" s="7"/>
      <c r="Q31" s="7"/>
      <c r="R31" s="7"/>
      <c r="S31" s="7"/>
      <c r="T31" s="7"/>
      <c r="U31" s="7"/>
      <c r="V31" s="7"/>
      <c r="W31" s="7"/>
      <c r="X31" s="7"/>
      <c r="Y31" s="7"/>
    </row>
    <row r="32" ht="18.75" customHeight="1">
      <c r="A32" s="6">
        <v>6.0</v>
      </c>
      <c r="B32" s="6">
        <v>2.0</v>
      </c>
      <c r="C32" s="8" t="s">
        <v>153</v>
      </c>
      <c r="D32" s="8" t="s">
        <v>154</v>
      </c>
      <c r="E32" s="6">
        <v>402.0</v>
      </c>
      <c r="F32" s="6" t="s">
        <v>160</v>
      </c>
      <c r="G32" s="6" t="s">
        <v>161</v>
      </c>
      <c r="H32" s="6" t="s">
        <v>162</v>
      </c>
      <c r="I32" s="6" t="s">
        <v>158</v>
      </c>
      <c r="J32" s="8"/>
      <c r="K32" s="6" t="s">
        <v>163</v>
      </c>
      <c r="L32" s="6" t="str">
        <f t="shared" si="2"/>
        <v>Team: CE402  -  Project: Metropolitan Water District Southern California</v>
      </c>
      <c r="M32" s="7"/>
      <c r="N32" s="9"/>
      <c r="O32" s="7"/>
      <c r="P32" s="7"/>
      <c r="Q32" s="7"/>
      <c r="R32" s="7"/>
      <c r="S32" s="7"/>
      <c r="T32" s="7"/>
      <c r="U32" s="7"/>
      <c r="V32" s="7"/>
      <c r="W32" s="7"/>
      <c r="X32" s="7"/>
      <c r="Y32" s="7"/>
    </row>
    <row r="33" ht="18.75" customHeight="1">
      <c r="A33" s="6">
        <v>6.0</v>
      </c>
      <c r="B33" s="6">
        <v>3.0</v>
      </c>
      <c r="C33" s="8" t="s">
        <v>153</v>
      </c>
      <c r="D33" s="8" t="s">
        <v>154</v>
      </c>
      <c r="E33" s="6">
        <v>403.0</v>
      </c>
      <c r="F33" s="6" t="s">
        <v>164</v>
      </c>
      <c r="G33" s="6" t="s">
        <v>165</v>
      </c>
      <c r="H33" s="6" t="s">
        <v>166</v>
      </c>
      <c r="I33" s="6" t="s">
        <v>158</v>
      </c>
      <c r="J33" s="8"/>
      <c r="K33" s="6" t="s">
        <v>167</v>
      </c>
      <c r="L33" s="6" t="str">
        <f t="shared" si="2"/>
        <v>Team: CE403  -  Project: City of Merced</v>
      </c>
      <c r="M33" s="7"/>
      <c r="N33" s="9"/>
      <c r="O33" s="7"/>
      <c r="P33" s="7"/>
      <c r="Q33" s="7"/>
      <c r="R33" s="7"/>
      <c r="S33" s="7"/>
      <c r="T33" s="7"/>
      <c r="U33" s="7"/>
      <c r="V33" s="7"/>
      <c r="W33" s="7"/>
      <c r="X33" s="7"/>
      <c r="Y33" s="7"/>
    </row>
    <row r="34" ht="18.75" customHeight="1">
      <c r="A34" s="6">
        <v>6.0</v>
      </c>
      <c r="B34" s="6">
        <v>4.0</v>
      </c>
      <c r="C34" s="8" t="s">
        <v>153</v>
      </c>
      <c r="D34" s="8" t="s">
        <v>154</v>
      </c>
      <c r="E34" s="6">
        <v>404.0</v>
      </c>
      <c r="F34" s="6" t="s">
        <v>168</v>
      </c>
      <c r="G34" s="6" t="s">
        <v>169</v>
      </c>
      <c r="H34" s="6" t="s">
        <v>170</v>
      </c>
      <c r="I34" s="6" t="s">
        <v>158</v>
      </c>
      <c r="J34" s="8"/>
      <c r="K34" s="6" t="s">
        <v>171</v>
      </c>
      <c r="L34" s="6" t="str">
        <f t="shared" si="2"/>
        <v>Team: CE404  -  Project: UC Merced</v>
      </c>
      <c r="M34" s="7"/>
      <c r="N34" s="9"/>
      <c r="O34" s="7"/>
      <c r="P34" s="7"/>
      <c r="Q34" s="7"/>
      <c r="R34" s="7"/>
      <c r="S34" s="7"/>
      <c r="T34" s="7"/>
      <c r="U34" s="7"/>
      <c r="V34" s="7"/>
      <c r="W34" s="7"/>
      <c r="X34" s="7"/>
      <c r="Y34" s="7"/>
    </row>
    <row r="35" ht="18.75" customHeight="1">
      <c r="A35" s="6">
        <v>7.0</v>
      </c>
      <c r="B35" s="6">
        <v>2.0</v>
      </c>
      <c r="C35" s="8" t="s">
        <v>172</v>
      </c>
      <c r="D35" s="8" t="s">
        <v>173</v>
      </c>
      <c r="E35" s="6">
        <v>301.0</v>
      </c>
      <c r="F35" s="6" t="s">
        <v>174</v>
      </c>
      <c r="G35" s="6" t="s">
        <v>175</v>
      </c>
      <c r="H35" s="6" t="s">
        <v>176</v>
      </c>
      <c r="I35" s="6" t="s">
        <v>37</v>
      </c>
      <c r="J35" s="8" t="s">
        <v>177</v>
      </c>
      <c r="K35" s="6" t="s">
        <v>178</v>
      </c>
      <c r="L35" s="6" t="str">
        <f t="shared" ref="L35:L72" si="3">"Team: " &amp; F35 &amp; "  -  Project: " &amp; G35</f>
        <v>Team: KetchupCoders  -  Project: Can damage detection by vision</v>
      </c>
      <c r="M35" s="7"/>
      <c r="N35" s="9"/>
      <c r="O35" s="7"/>
      <c r="P35" s="7"/>
      <c r="Q35" s="7"/>
      <c r="R35" s="7"/>
      <c r="S35" s="7"/>
      <c r="T35" s="7"/>
      <c r="U35" s="7"/>
      <c r="V35" s="7"/>
      <c r="W35" s="7"/>
      <c r="X35" s="7"/>
      <c r="Y35" s="7"/>
    </row>
    <row r="36" ht="18.75" customHeight="1">
      <c r="A36" s="6">
        <v>8.0</v>
      </c>
      <c r="B36" s="6">
        <v>4.0</v>
      </c>
      <c r="C36" s="8" t="s">
        <v>172</v>
      </c>
      <c r="D36" s="8" t="s">
        <v>173</v>
      </c>
      <c r="E36" s="6">
        <v>302.0</v>
      </c>
      <c r="F36" s="6" t="s">
        <v>179</v>
      </c>
      <c r="G36" s="6" t="s">
        <v>180</v>
      </c>
      <c r="H36" s="6" t="s">
        <v>181</v>
      </c>
      <c r="I36" s="6" t="s">
        <v>182</v>
      </c>
      <c r="J36" s="8" t="s">
        <v>183</v>
      </c>
      <c r="K36" s="6" t="s">
        <v>184</v>
      </c>
      <c r="L36" s="6" t="str">
        <f t="shared" si="3"/>
        <v>Team: Slotters  -  Project: TA Allocation Algorithm Implementation</v>
      </c>
      <c r="M36" s="7"/>
      <c r="N36" s="9"/>
      <c r="O36" s="7"/>
      <c r="P36" s="7"/>
      <c r="Q36" s="7"/>
      <c r="R36" s="7"/>
      <c r="S36" s="7"/>
      <c r="T36" s="7"/>
      <c r="U36" s="7"/>
      <c r="V36" s="7"/>
      <c r="W36" s="7"/>
      <c r="X36" s="7"/>
      <c r="Y36" s="7"/>
    </row>
    <row r="37" ht="18.75" customHeight="1">
      <c r="A37" s="6">
        <v>9.0</v>
      </c>
      <c r="B37" s="6">
        <v>6.0</v>
      </c>
      <c r="C37" s="8" t="s">
        <v>172</v>
      </c>
      <c r="D37" s="8" t="s">
        <v>173</v>
      </c>
      <c r="E37" s="6">
        <v>303.0</v>
      </c>
      <c r="F37" s="6" t="s">
        <v>185</v>
      </c>
      <c r="G37" s="6" t="s">
        <v>186</v>
      </c>
      <c r="H37" s="6" t="s">
        <v>46</v>
      </c>
      <c r="I37" s="6" t="s">
        <v>37</v>
      </c>
      <c r="J37" s="8" t="s">
        <v>187</v>
      </c>
      <c r="K37" s="6" t="s">
        <v>188</v>
      </c>
      <c r="L37" s="6" t="str">
        <f t="shared" si="3"/>
        <v>Team: Error 303  -  Project: Bottling Change Part Wear Measuring Tool - Phase 2</v>
      </c>
      <c r="M37" s="7"/>
      <c r="N37" s="9"/>
      <c r="O37" s="7"/>
      <c r="P37" s="7"/>
      <c r="Q37" s="7"/>
      <c r="R37" s="7"/>
      <c r="S37" s="7"/>
      <c r="T37" s="7"/>
      <c r="U37" s="7"/>
      <c r="V37" s="7"/>
      <c r="W37" s="7"/>
      <c r="X37" s="7"/>
      <c r="Y37" s="7"/>
    </row>
    <row r="38" ht="18.75" customHeight="1">
      <c r="A38" s="6">
        <v>7.0</v>
      </c>
      <c r="B38" s="6">
        <v>3.0</v>
      </c>
      <c r="C38" s="8" t="s">
        <v>172</v>
      </c>
      <c r="D38" s="8" t="s">
        <v>173</v>
      </c>
      <c r="E38" s="6">
        <v>304.0</v>
      </c>
      <c r="F38" s="6" t="s">
        <v>189</v>
      </c>
      <c r="G38" s="6" t="s">
        <v>190</v>
      </c>
      <c r="H38" s="6" t="s">
        <v>191</v>
      </c>
      <c r="I38" s="6" t="s">
        <v>17</v>
      </c>
      <c r="J38" s="8" t="s">
        <v>192</v>
      </c>
      <c r="K38" s="6" t="s">
        <v>193</v>
      </c>
      <c r="L38" s="6" t="str">
        <f t="shared" si="3"/>
        <v>Team: CropFlow  -  Project: Planter Revitalization &amp; Modernization - App</v>
      </c>
      <c r="M38" s="7"/>
      <c r="N38" s="9"/>
      <c r="O38" s="7"/>
      <c r="P38" s="7"/>
      <c r="Q38" s="7"/>
      <c r="R38" s="7"/>
      <c r="S38" s="7"/>
      <c r="T38" s="7"/>
      <c r="U38" s="7"/>
      <c r="V38" s="7"/>
      <c r="W38" s="7"/>
      <c r="X38" s="7"/>
      <c r="Y38" s="7"/>
    </row>
    <row r="39" ht="18.75" customHeight="1">
      <c r="A39" s="6">
        <v>9.0</v>
      </c>
      <c r="B39" s="6">
        <v>2.0</v>
      </c>
      <c r="C39" s="8" t="s">
        <v>172</v>
      </c>
      <c r="D39" s="8" t="s">
        <v>173</v>
      </c>
      <c r="E39" s="6">
        <v>305.0</v>
      </c>
      <c r="F39" s="6" t="s">
        <v>194</v>
      </c>
      <c r="G39" s="6" t="s">
        <v>195</v>
      </c>
      <c r="H39" s="6" t="s">
        <v>196</v>
      </c>
      <c r="I39" s="6" t="s">
        <v>65</v>
      </c>
      <c r="J39" s="8" t="s">
        <v>197</v>
      </c>
      <c r="K39" s="6" t="s">
        <v>198</v>
      </c>
      <c r="L39" s="6" t="str">
        <f t="shared" si="3"/>
        <v>Team: RoadWise  -  Project: Using sensors to collect road user data</v>
      </c>
      <c r="M39" s="7"/>
      <c r="N39" s="9"/>
      <c r="O39" s="7"/>
      <c r="P39" s="7"/>
      <c r="Q39" s="7"/>
      <c r="R39" s="7"/>
      <c r="S39" s="7"/>
      <c r="T39" s="7"/>
      <c r="U39" s="7"/>
      <c r="V39" s="7"/>
      <c r="W39" s="7"/>
      <c r="X39" s="7"/>
      <c r="Y39" s="7"/>
    </row>
    <row r="40" ht="18.75" customHeight="1">
      <c r="A40" s="6">
        <v>7.0</v>
      </c>
      <c r="B40" s="6">
        <v>5.0</v>
      </c>
      <c r="C40" s="8" t="s">
        <v>172</v>
      </c>
      <c r="D40" s="8" t="s">
        <v>173</v>
      </c>
      <c r="E40" s="6">
        <v>306.0</v>
      </c>
      <c r="F40" s="6" t="s">
        <v>199</v>
      </c>
      <c r="G40" s="6" t="s">
        <v>200</v>
      </c>
      <c r="H40" s="6" t="s">
        <v>201</v>
      </c>
      <c r="I40" s="6" t="s">
        <v>17</v>
      </c>
      <c r="J40" s="8" t="s">
        <v>202</v>
      </c>
      <c r="K40" s="6" t="s">
        <v>203</v>
      </c>
      <c r="L40" s="6" t="str">
        <f t="shared" si="3"/>
        <v>Team: Farm Rovers  -  Project: Farm Robotics Challenge -- Autonomy/Course Navigation</v>
      </c>
      <c r="M40" s="7"/>
      <c r="N40" s="9"/>
      <c r="O40" s="7"/>
      <c r="P40" s="7"/>
      <c r="Q40" s="7"/>
      <c r="R40" s="7"/>
      <c r="S40" s="7"/>
      <c r="T40" s="7"/>
      <c r="U40" s="7"/>
      <c r="V40" s="7"/>
      <c r="W40" s="7"/>
      <c r="X40" s="7"/>
      <c r="Y40" s="7"/>
    </row>
    <row r="41" ht="18.75" customHeight="1">
      <c r="A41" s="6">
        <v>9.0</v>
      </c>
      <c r="B41" s="6">
        <v>3.0</v>
      </c>
      <c r="C41" s="8" t="s">
        <v>172</v>
      </c>
      <c r="D41" s="8" t="s">
        <v>173</v>
      </c>
      <c r="E41" s="6">
        <v>307.0</v>
      </c>
      <c r="F41" s="6" t="s">
        <v>204</v>
      </c>
      <c r="G41" s="6" t="s">
        <v>205</v>
      </c>
      <c r="H41" s="6" t="s">
        <v>201</v>
      </c>
      <c r="I41" s="6" t="s">
        <v>17</v>
      </c>
      <c r="J41" s="8" t="s">
        <v>206</v>
      </c>
      <c r="K41" s="6" t="s">
        <v>207</v>
      </c>
      <c r="L41" s="6" t="str">
        <f t="shared" si="3"/>
        <v>Team: Valley Vision  -  Project: Farm Robotics Challenge -- Artificial Intelligence (Vision and sensing, dataset collection)</v>
      </c>
      <c r="M41" s="7"/>
      <c r="N41" s="9"/>
      <c r="O41" s="7"/>
      <c r="P41" s="7"/>
      <c r="Q41" s="7"/>
      <c r="R41" s="7"/>
      <c r="S41" s="7"/>
      <c r="T41" s="7"/>
      <c r="U41" s="7"/>
      <c r="V41" s="7"/>
      <c r="W41" s="7"/>
      <c r="X41" s="7"/>
      <c r="Y41" s="7"/>
    </row>
    <row r="42" ht="18.75" customHeight="1">
      <c r="A42" s="6">
        <v>9.0</v>
      </c>
      <c r="B42" s="6">
        <v>4.0</v>
      </c>
      <c r="C42" s="8" t="s">
        <v>172</v>
      </c>
      <c r="D42" s="8" t="s">
        <v>173</v>
      </c>
      <c r="E42" s="6">
        <v>308.0</v>
      </c>
      <c r="F42" s="6" t="s">
        <v>208</v>
      </c>
      <c r="G42" s="6" t="s">
        <v>209</v>
      </c>
      <c r="H42" s="6" t="s">
        <v>210</v>
      </c>
      <c r="I42" s="6" t="s">
        <v>65</v>
      </c>
      <c r="J42" s="8" t="s">
        <v>211</v>
      </c>
      <c r="K42" s="6" t="s">
        <v>212</v>
      </c>
      <c r="L42" s="6" t="str">
        <f t="shared" si="3"/>
        <v>Team: The Nut Job  -  Project: Virtual Warehouse</v>
      </c>
      <c r="M42" s="7"/>
      <c r="N42" s="9"/>
      <c r="O42" s="7"/>
      <c r="P42" s="7"/>
      <c r="Q42" s="7"/>
      <c r="R42" s="7"/>
      <c r="S42" s="7"/>
      <c r="T42" s="7"/>
      <c r="U42" s="7"/>
      <c r="V42" s="7"/>
      <c r="W42" s="7"/>
      <c r="X42" s="7"/>
      <c r="Y42" s="7"/>
    </row>
    <row r="43" ht="18.75" customHeight="1">
      <c r="A43" s="6">
        <v>8.0</v>
      </c>
      <c r="B43" s="6">
        <v>2.0</v>
      </c>
      <c r="C43" s="8" t="s">
        <v>172</v>
      </c>
      <c r="D43" s="8" t="s">
        <v>173</v>
      </c>
      <c r="E43" s="6">
        <v>309.0</v>
      </c>
      <c r="F43" s="6" t="s">
        <v>213</v>
      </c>
      <c r="G43" s="6" t="s">
        <v>214</v>
      </c>
      <c r="H43" s="6" t="s">
        <v>215</v>
      </c>
      <c r="I43" s="6" t="s">
        <v>216</v>
      </c>
      <c r="J43" s="8" t="s">
        <v>217</v>
      </c>
      <c r="K43" s="6" t="s">
        <v>218</v>
      </c>
      <c r="L43" s="6" t="str">
        <f t="shared" si="3"/>
        <v>Team: EzFile  -  Project: EZFileTrail</v>
      </c>
      <c r="M43" s="7"/>
      <c r="N43" s="9"/>
      <c r="O43" s="7"/>
      <c r="P43" s="7"/>
      <c r="Q43" s="7"/>
      <c r="R43" s="7"/>
      <c r="S43" s="7"/>
      <c r="T43" s="7"/>
      <c r="U43" s="7"/>
      <c r="V43" s="7"/>
      <c r="W43" s="7"/>
      <c r="X43" s="7"/>
      <c r="Y43" s="7"/>
    </row>
    <row r="44" ht="18.75" customHeight="1">
      <c r="A44" s="6">
        <v>8.0</v>
      </c>
      <c r="B44" s="6">
        <v>7.0</v>
      </c>
      <c r="C44" s="8" t="s">
        <v>172</v>
      </c>
      <c r="D44" s="8" t="s">
        <v>173</v>
      </c>
      <c r="E44" s="6">
        <v>310.0</v>
      </c>
      <c r="F44" s="6" t="s">
        <v>219</v>
      </c>
      <c r="G44" s="6" t="s">
        <v>220</v>
      </c>
      <c r="H44" s="6" t="s">
        <v>221</v>
      </c>
      <c r="I44" s="6" t="s">
        <v>222</v>
      </c>
      <c r="J44" s="8" t="s">
        <v>223</v>
      </c>
      <c r="K44" s="6" t="s">
        <v>224</v>
      </c>
      <c r="L44" s="6" t="str">
        <f t="shared" si="3"/>
        <v>Team: Time Titans  -  Project: Relevance Weighted Multiple Meeting Scheduler</v>
      </c>
      <c r="M44" s="7"/>
      <c r="N44" s="9"/>
      <c r="O44" s="7"/>
      <c r="P44" s="7"/>
      <c r="Q44" s="7"/>
      <c r="R44" s="7"/>
      <c r="S44" s="7"/>
      <c r="T44" s="7"/>
      <c r="U44" s="7"/>
      <c r="V44" s="7"/>
      <c r="W44" s="7"/>
      <c r="X44" s="7"/>
      <c r="Y44" s="7"/>
    </row>
    <row r="45" ht="18.75" customHeight="1">
      <c r="A45" s="6">
        <v>8.0</v>
      </c>
      <c r="B45" s="6">
        <v>3.0</v>
      </c>
      <c r="C45" s="8" t="s">
        <v>172</v>
      </c>
      <c r="D45" s="8" t="s">
        <v>173</v>
      </c>
      <c r="E45" s="6">
        <v>311.0</v>
      </c>
      <c r="F45" s="6" t="s">
        <v>225</v>
      </c>
      <c r="G45" s="6" t="s">
        <v>226</v>
      </c>
      <c r="H45" s="6" t="s">
        <v>215</v>
      </c>
      <c r="I45" s="6" t="s">
        <v>216</v>
      </c>
      <c r="J45" s="8" t="s">
        <v>227</v>
      </c>
      <c r="K45" s="6" t="s">
        <v>228</v>
      </c>
      <c r="L45" s="6" t="str">
        <f t="shared" si="3"/>
        <v>Team: JustDetectIt  -  Project: GUI interface for the image recognition and classification open source software</v>
      </c>
      <c r="M45" s="7"/>
      <c r="N45" s="9"/>
      <c r="O45" s="7"/>
      <c r="P45" s="7"/>
      <c r="Q45" s="7"/>
      <c r="R45" s="7"/>
      <c r="S45" s="7"/>
      <c r="T45" s="7"/>
      <c r="U45" s="7"/>
      <c r="V45" s="7"/>
      <c r="W45" s="7"/>
      <c r="X45" s="7"/>
      <c r="Y45" s="7"/>
    </row>
    <row r="46" ht="18.75" customHeight="1">
      <c r="A46" s="6">
        <v>7.0</v>
      </c>
      <c r="B46" s="6">
        <v>4.0</v>
      </c>
      <c r="C46" s="8" t="s">
        <v>172</v>
      </c>
      <c r="D46" s="8" t="s">
        <v>173</v>
      </c>
      <c r="E46" s="6">
        <v>312.0</v>
      </c>
      <c r="F46" s="6" t="s">
        <v>229</v>
      </c>
      <c r="G46" s="6" t="s">
        <v>230</v>
      </c>
      <c r="H46" s="6" t="s">
        <v>59</v>
      </c>
      <c r="I46" s="6" t="s">
        <v>17</v>
      </c>
      <c r="J46" s="8" t="s">
        <v>231</v>
      </c>
      <c r="K46" s="6" t="s">
        <v>232</v>
      </c>
      <c r="L46" s="6" t="str">
        <f t="shared" si="3"/>
        <v>Team: Transplants vs Zombies  -  Project: Inventory and Condition of Vegetable Seedlings in Trays - Phase 2</v>
      </c>
      <c r="M46" s="7"/>
      <c r="N46" s="9"/>
      <c r="O46" s="7"/>
      <c r="P46" s="7"/>
      <c r="Q46" s="7"/>
      <c r="R46" s="7"/>
      <c r="S46" s="7"/>
      <c r="T46" s="7"/>
      <c r="U46" s="7"/>
      <c r="V46" s="7"/>
      <c r="W46" s="7"/>
      <c r="X46" s="7"/>
      <c r="Y46" s="7"/>
    </row>
    <row r="47" ht="18.75" customHeight="1">
      <c r="A47" s="6">
        <v>7.0</v>
      </c>
      <c r="B47" s="6">
        <v>6.0</v>
      </c>
      <c r="C47" s="8" t="s">
        <v>172</v>
      </c>
      <c r="D47" s="8" t="s">
        <v>173</v>
      </c>
      <c r="E47" s="6">
        <v>313.0</v>
      </c>
      <c r="F47" s="6" t="s">
        <v>233</v>
      </c>
      <c r="G47" s="6" t="s">
        <v>234</v>
      </c>
      <c r="H47" s="6" t="s">
        <v>235</v>
      </c>
      <c r="I47" s="6" t="s">
        <v>37</v>
      </c>
      <c r="J47" s="8" t="s">
        <v>236</v>
      </c>
      <c r="K47" s="6" t="s">
        <v>237</v>
      </c>
      <c r="L47" s="6" t="str">
        <f t="shared" si="3"/>
        <v>Team: Bin Chillin  -  Project: Assessing and Grading Wood Bin Parts</v>
      </c>
      <c r="M47" s="7"/>
      <c r="N47" s="9"/>
      <c r="O47" s="7"/>
      <c r="P47" s="7"/>
      <c r="Q47" s="7"/>
      <c r="R47" s="7"/>
      <c r="S47" s="7"/>
      <c r="T47" s="7"/>
      <c r="U47" s="7"/>
      <c r="V47" s="7"/>
      <c r="W47" s="7"/>
      <c r="X47" s="7"/>
      <c r="Y47" s="7"/>
    </row>
    <row r="48" ht="18.75" customHeight="1">
      <c r="A48" s="6">
        <v>9.0</v>
      </c>
      <c r="B48" s="6">
        <v>5.0</v>
      </c>
      <c r="C48" s="8" t="s">
        <v>172</v>
      </c>
      <c r="D48" s="8" t="s">
        <v>173</v>
      </c>
      <c r="E48" s="6">
        <v>314.0</v>
      </c>
      <c r="F48" s="6" t="s">
        <v>238</v>
      </c>
      <c r="G48" s="6" t="s">
        <v>239</v>
      </c>
      <c r="H48" s="6" t="s">
        <v>240</v>
      </c>
      <c r="I48" s="6" t="s">
        <v>241</v>
      </c>
      <c r="J48" s="8" t="s">
        <v>242</v>
      </c>
      <c r="K48" s="6" t="s">
        <v>243</v>
      </c>
      <c r="L48" s="6" t="str">
        <f t="shared" si="3"/>
        <v>Team: SiteSentry  -  Project: Connected Construction</v>
      </c>
      <c r="M48" s="7"/>
      <c r="N48" s="9"/>
      <c r="O48" s="7"/>
      <c r="P48" s="7"/>
      <c r="Q48" s="7"/>
      <c r="R48" s="7"/>
      <c r="S48" s="7"/>
      <c r="T48" s="7"/>
      <c r="U48" s="7"/>
      <c r="V48" s="7"/>
      <c r="W48" s="7"/>
      <c r="X48" s="7"/>
      <c r="Y48" s="7"/>
    </row>
    <row r="49" ht="18.75" customHeight="1">
      <c r="A49" s="6">
        <v>9.0</v>
      </c>
      <c r="B49" s="6">
        <v>1.0</v>
      </c>
      <c r="C49" s="8" t="s">
        <v>172</v>
      </c>
      <c r="D49" s="8" t="s">
        <v>173</v>
      </c>
      <c r="E49" s="6">
        <v>315.0</v>
      </c>
      <c r="F49" s="6" t="s">
        <v>244</v>
      </c>
      <c r="G49" s="6" t="s">
        <v>245</v>
      </c>
      <c r="H49" s="6" t="s">
        <v>99</v>
      </c>
      <c r="I49" s="6" t="s">
        <v>65</v>
      </c>
      <c r="J49" s="8" t="s">
        <v>246</v>
      </c>
      <c r="K49" s="6" t="s">
        <v>247</v>
      </c>
      <c r="L49" s="6" t="str">
        <f t="shared" si="3"/>
        <v>Team: Decel  -  Project: Real-time optimization of the deceleration profile of a mobile robot to achieve a highly accurate final position</v>
      </c>
      <c r="M49" s="7"/>
      <c r="N49" s="9"/>
      <c r="O49" s="7"/>
      <c r="P49" s="7"/>
      <c r="Q49" s="7"/>
      <c r="R49" s="7"/>
      <c r="S49" s="7"/>
      <c r="T49" s="7"/>
      <c r="U49" s="7"/>
      <c r="V49" s="7"/>
      <c r="W49" s="7"/>
      <c r="X49" s="7"/>
      <c r="Y49" s="7"/>
    </row>
    <row r="50" ht="18.75" customHeight="1">
      <c r="A50" s="6">
        <v>8.0</v>
      </c>
      <c r="B50" s="6">
        <v>5.0</v>
      </c>
      <c r="C50" s="8" t="s">
        <v>172</v>
      </c>
      <c r="D50" s="8" t="s">
        <v>173</v>
      </c>
      <c r="E50" s="6">
        <v>316.0</v>
      </c>
      <c r="F50" s="6" t="s">
        <v>248</v>
      </c>
      <c r="G50" s="6" t="s">
        <v>249</v>
      </c>
      <c r="H50" s="6" t="s">
        <v>250</v>
      </c>
      <c r="I50" s="6" t="s">
        <v>65</v>
      </c>
      <c r="J50" s="8" t="s">
        <v>251</v>
      </c>
      <c r="K50" s="6" t="s">
        <v>252</v>
      </c>
      <c r="L50" s="6" t="str">
        <f t="shared" si="3"/>
        <v>Team: CTTA-utomators  -  Project: CTTA Member Database Management and Automation</v>
      </c>
      <c r="M50" s="7"/>
      <c r="N50" s="9"/>
      <c r="O50" s="7"/>
      <c r="P50" s="7"/>
      <c r="Q50" s="7"/>
      <c r="R50" s="7"/>
      <c r="S50" s="7"/>
      <c r="T50" s="7"/>
      <c r="U50" s="7"/>
      <c r="V50" s="7"/>
      <c r="W50" s="7"/>
      <c r="X50" s="7"/>
      <c r="Y50" s="7"/>
    </row>
    <row r="51" ht="18.75" customHeight="1">
      <c r="A51" s="6">
        <v>7.0</v>
      </c>
      <c r="B51" s="6">
        <v>1.0</v>
      </c>
      <c r="C51" s="8" t="s">
        <v>172</v>
      </c>
      <c r="D51" s="8" t="s">
        <v>173</v>
      </c>
      <c r="E51" s="6">
        <v>317.0</v>
      </c>
      <c r="F51" s="6" t="s">
        <v>253</v>
      </c>
      <c r="G51" s="6" t="s">
        <v>254</v>
      </c>
      <c r="H51" s="6" t="s">
        <v>255</v>
      </c>
      <c r="I51" s="6" t="s">
        <v>37</v>
      </c>
      <c r="J51" s="8" t="s">
        <v>256</v>
      </c>
      <c r="K51" s="6" t="s">
        <v>257</v>
      </c>
      <c r="L51" s="6" t="str">
        <f t="shared" si="3"/>
        <v>Team: Rat Patrol  -  Project: Smart Rodent Detection - Phase 2</v>
      </c>
      <c r="M51" s="7"/>
      <c r="N51" s="9"/>
      <c r="O51" s="7"/>
      <c r="P51" s="7"/>
      <c r="Q51" s="7"/>
      <c r="R51" s="7"/>
      <c r="S51" s="7"/>
      <c r="T51" s="7"/>
      <c r="U51" s="7"/>
      <c r="V51" s="7"/>
      <c r="W51" s="7"/>
      <c r="X51" s="7"/>
      <c r="Y51" s="7"/>
    </row>
    <row r="52" ht="18.75" customHeight="1">
      <c r="A52" s="6">
        <v>9.0</v>
      </c>
      <c r="B52" s="6">
        <v>7.0</v>
      </c>
      <c r="C52" s="8" t="s">
        <v>172</v>
      </c>
      <c r="D52" s="8" t="s">
        <v>173</v>
      </c>
      <c r="E52" s="6">
        <v>318.0</v>
      </c>
      <c r="F52" s="6" t="s">
        <v>258</v>
      </c>
      <c r="G52" s="6" t="s">
        <v>259</v>
      </c>
      <c r="H52" s="6" t="s">
        <v>255</v>
      </c>
      <c r="I52" s="6" t="s">
        <v>158</v>
      </c>
      <c r="J52" s="8" t="s">
        <v>260</v>
      </c>
      <c r="K52" s="6" t="s">
        <v>261</v>
      </c>
      <c r="L52" s="6" t="str">
        <f t="shared" si="3"/>
        <v>Team: HydroHeros  -  Project: Flood and hydrology alert and monitoring system</v>
      </c>
      <c r="M52" s="7"/>
      <c r="N52" s="9"/>
      <c r="O52" s="7"/>
      <c r="P52" s="7"/>
      <c r="Q52" s="7"/>
      <c r="R52" s="7"/>
      <c r="S52" s="7"/>
      <c r="T52" s="7"/>
      <c r="U52" s="7"/>
      <c r="V52" s="7"/>
      <c r="W52" s="7"/>
      <c r="X52" s="7"/>
      <c r="Y52" s="7"/>
    </row>
    <row r="53" ht="18.75" customHeight="1">
      <c r="A53" s="6">
        <v>7.0</v>
      </c>
      <c r="B53" s="6">
        <v>7.0</v>
      </c>
      <c r="C53" s="8" t="s">
        <v>172</v>
      </c>
      <c r="D53" s="8" t="s">
        <v>173</v>
      </c>
      <c r="E53" s="6">
        <v>319.0</v>
      </c>
      <c r="F53" s="6" t="s">
        <v>262</v>
      </c>
      <c r="G53" s="6" t="s">
        <v>263</v>
      </c>
      <c r="H53" s="6" t="s">
        <v>264</v>
      </c>
      <c r="I53" s="6" t="s">
        <v>37</v>
      </c>
      <c r="J53" s="8" t="s">
        <v>265</v>
      </c>
      <c r="K53" s="6" t="s">
        <v>266</v>
      </c>
      <c r="L53" s="6" t="str">
        <f t="shared" si="3"/>
        <v>Team: Cilantro Connoisseurs  -  Project: Cilantro yield estimation</v>
      </c>
      <c r="M53" s="7"/>
      <c r="N53" s="9"/>
      <c r="O53" s="7"/>
      <c r="P53" s="7"/>
      <c r="Q53" s="7"/>
      <c r="R53" s="7"/>
      <c r="S53" s="7"/>
      <c r="T53" s="7"/>
      <c r="U53" s="7"/>
      <c r="V53" s="7"/>
      <c r="W53" s="7"/>
      <c r="X53" s="7"/>
      <c r="Y53" s="7"/>
    </row>
    <row r="54" ht="18.75" customHeight="1">
      <c r="A54" s="6">
        <v>8.0</v>
      </c>
      <c r="B54" s="6">
        <v>6.0</v>
      </c>
      <c r="C54" s="8" t="s">
        <v>172</v>
      </c>
      <c r="D54" s="8" t="s">
        <v>173</v>
      </c>
      <c r="E54" s="6">
        <v>320.0</v>
      </c>
      <c r="F54" s="6" t="s">
        <v>267</v>
      </c>
      <c r="G54" s="6" t="s">
        <v>268</v>
      </c>
      <c r="H54" s="6" t="s">
        <v>269</v>
      </c>
      <c r="I54" s="6" t="s">
        <v>182</v>
      </c>
      <c r="J54" s="8" t="s">
        <v>270</v>
      </c>
      <c r="K54" s="6" t="s">
        <v>271</v>
      </c>
      <c r="L54" s="6" t="str">
        <f t="shared" si="3"/>
        <v>Team: UniVibes  -  Project: Student Experience Navigation</v>
      </c>
      <c r="M54" s="7"/>
      <c r="N54" s="9"/>
      <c r="O54" s="7"/>
      <c r="P54" s="7"/>
      <c r="Q54" s="7"/>
      <c r="R54" s="7"/>
      <c r="S54" s="7"/>
      <c r="T54" s="7"/>
      <c r="U54" s="7"/>
      <c r="V54" s="7"/>
      <c r="W54" s="7"/>
      <c r="X54" s="7"/>
      <c r="Y54" s="7"/>
    </row>
    <row r="55" ht="18.75" customHeight="1">
      <c r="A55" s="6">
        <v>8.0</v>
      </c>
      <c r="B55" s="6">
        <v>8.0</v>
      </c>
      <c r="C55" s="8" t="s">
        <v>172</v>
      </c>
      <c r="D55" s="8" t="s">
        <v>173</v>
      </c>
      <c r="E55" s="6">
        <v>321.0</v>
      </c>
      <c r="F55" s="6" t="s">
        <v>272</v>
      </c>
      <c r="G55" s="6" t="s">
        <v>273</v>
      </c>
      <c r="H55" s="6" t="s">
        <v>274</v>
      </c>
      <c r="I55" s="6" t="s">
        <v>65</v>
      </c>
      <c r="J55" s="8" t="s">
        <v>275</v>
      </c>
      <c r="K55" s="6" t="s">
        <v>276</v>
      </c>
      <c r="L55" s="6" t="str">
        <f t="shared" si="3"/>
        <v>Team: PowerWorks  -  Project: Training Matrix - Phase 2</v>
      </c>
      <c r="M55" s="7"/>
      <c r="N55" s="9"/>
      <c r="O55" s="7"/>
      <c r="P55" s="7"/>
      <c r="Q55" s="7"/>
      <c r="R55" s="7"/>
      <c r="S55" s="7"/>
      <c r="T55" s="7"/>
      <c r="U55" s="7"/>
      <c r="V55" s="7"/>
      <c r="W55" s="7"/>
      <c r="X55" s="7"/>
      <c r="Y55" s="7"/>
    </row>
    <row r="56" ht="18.75" customHeight="1">
      <c r="A56" s="6">
        <v>8.0</v>
      </c>
      <c r="B56" s="6">
        <v>1.0</v>
      </c>
      <c r="C56" s="8" t="s">
        <v>172</v>
      </c>
      <c r="D56" s="8" t="s">
        <v>173</v>
      </c>
      <c r="E56" s="6">
        <v>322.0</v>
      </c>
      <c r="F56" s="6" t="s">
        <v>277</v>
      </c>
      <c r="G56" s="6" t="s">
        <v>278</v>
      </c>
      <c r="H56" s="6" t="s">
        <v>94</v>
      </c>
      <c r="I56" s="6" t="s">
        <v>27</v>
      </c>
      <c r="J56" s="8" t="s">
        <v>279</v>
      </c>
      <c r="K56" s="6" t="s">
        <v>280</v>
      </c>
      <c r="L56" s="6" t="str">
        <f t="shared" si="3"/>
        <v>Team: Valero's Reality  -  Project: Evaluation of Coordination: Telemedicine Using Virtual Reality</v>
      </c>
      <c r="M56" s="7"/>
      <c r="N56" s="9"/>
      <c r="O56" s="7"/>
      <c r="P56" s="7"/>
      <c r="Q56" s="7"/>
      <c r="R56" s="7"/>
      <c r="S56" s="7"/>
      <c r="T56" s="7"/>
      <c r="U56" s="7"/>
      <c r="V56" s="7"/>
      <c r="W56" s="7"/>
      <c r="X56" s="7"/>
      <c r="Y56" s="7"/>
    </row>
    <row r="57" ht="18.75" customHeight="1">
      <c r="A57" s="6"/>
      <c r="B57" s="6"/>
      <c r="C57" s="8" t="s">
        <v>281</v>
      </c>
      <c r="D57" s="8" t="s">
        <v>13</v>
      </c>
      <c r="E57" s="6">
        <v>201.0</v>
      </c>
      <c r="F57" s="6" t="s">
        <v>282</v>
      </c>
      <c r="G57" s="11" t="s">
        <v>283</v>
      </c>
      <c r="H57" s="11" t="s">
        <v>284</v>
      </c>
      <c r="I57" s="6" t="s">
        <v>37</v>
      </c>
      <c r="J57" s="8" t="s">
        <v>285</v>
      </c>
      <c r="K57" s="6" t="s">
        <v>286</v>
      </c>
      <c r="L57" s="6" t="str">
        <f t="shared" si="3"/>
        <v>Team: CAP-201  -  Project: Industrial, ergonomic, safe, uncorker</v>
      </c>
      <c r="M57" s="7"/>
      <c r="N57" s="9"/>
      <c r="O57" s="7"/>
      <c r="P57" s="7"/>
      <c r="Q57" s="7"/>
      <c r="R57" s="7"/>
      <c r="S57" s="7"/>
      <c r="T57" s="7"/>
      <c r="U57" s="7"/>
      <c r="V57" s="7"/>
      <c r="W57" s="7"/>
      <c r="X57" s="7"/>
      <c r="Y57" s="7"/>
    </row>
    <row r="58" ht="18.75" customHeight="1">
      <c r="A58" s="6"/>
      <c r="B58" s="6"/>
      <c r="C58" s="8" t="s">
        <v>281</v>
      </c>
      <c r="D58" s="8" t="s">
        <v>13</v>
      </c>
      <c r="E58" s="6">
        <v>202.0</v>
      </c>
      <c r="F58" s="6" t="s">
        <v>287</v>
      </c>
      <c r="G58" s="11" t="s">
        <v>288</v>
      </c>
      <c r="H58" s="11" t="s">
        <v>191</v>
      </c>
      <c r="I58" s="6" t="s">
        <v>17</v>
      </c>
      <c r="J58" s="8" t="s">
        <v>289</v>
      </c>
      <c r="K58" s="6" t="s">
        <v>290</v>
      </c>
      <c r="L58" s="6" t="str">
        <f t="shared" si="3"/>
        <v>Team: CAP-202  -  Project: Soil Sterilizer Flipper (SSF)</v>
      </c>
      <c r="M58" s="7"/>
      <c r="N58" s="9"/>
      <c r="O58" s="7"/>
      <c r="P58" s="7"/>
      <c r="Q58" s="7"/>
      <c r="R58" s="7"/>
      <c r="S58" s="7"/>
      <c r="T58" s="7"/>
      <c r="U58" s="7"/>
      <c r="V58" s="7"/>
      <c r="W58" s="7"/>
      <c r="X58" s="7"/>
      <c r="Y58" s="7"/>
    </row>
    <row r="59" ht="18.75" customHeight="1">
      <c r="A59" s="6"/>
      <c r="B59" s="6"/>
      <c r="C59" s="8" t="s">
        <v>281</v>
      </c>
      <c r="D59" s="8" t="s">
        <v>13</v>
      </c>
      <c r="E59" s="6">
        <v>203.0</v>
      </c>
      <c r="F59" s="6" t="s">
        <v>291</v>
      </c>
      <c r="G59" s="12" t="s">
        <v>292</v>
      </c>
      <c r="H59" s="11" t="s">
        <v>293</v>
      </c>
      <c r="I59" s="6" t="s">
        <v>17</v>
      </c>
      <c r="J59" s="8" t="s">
        <v>294</v>
      </c>
      <c r="K59" s="6" t="s">
        <v>295</v>
      </c>
      <c r="L59" s="6" t="str">
        <f t="shared" si="3"/>
        <v>Team: CAP-203  -  Project: Elevator Unload Trigger Redesign</v>
      </c>
      <c r="M59" s="7"/>
      <c r="N59" s="9"/>
      <c r="O59" s="7"/>
      <c r="P59" s="7"/>
      <c r="Q59" s="7"/>
      <c r="R59" s="7"/>
      <c r="S59" s="7"/>
      <c r="T59" s="7"/>
      <c r="U59" s="7"/>
      <c r="V59" s="7"/>
      <c r="W59" s="7"/>
      <c r="X59" s="7"/>
      <c r="Y59" s="7"/>
    </row>
    <row r="60" ht="18.75" customHeight="1">
      <c r="A60" s="6"/>
      <c r="B60" s="6"/>
      <c r="C60" s="8" t="s">
        <v>281</v>
      </c>
      <c r="D60" s="8" t="s">
        <v>13</v>
      </c>
      <c r="E60" s="6">
        <v>204.0</v>
      </c>
      <c r="F60" s="6" t="s">
        <v>296</v>
      </c>
      <c r="G60" s="11" t="s">
        <v>297</v>
      </c>
      <c r="H60" s="11" t="s">
        <v>36</v>
      </c>
      <c r="I60" s="6" t="s">
        <v>17</v>
      </c>
      <c r="J60" s="8" t="s">
        <v>298</v>
      </c>
      <c r="K60" s="6" t="s">
        <v>299</v>
      </c>
      <c r="L60" s="6" t="str">
        <f t="shared" si="3"/>
        <v>Team: CAP-204  -  Project: Garlic Bag to Bin</v>
      </c>
      <c r="M60" s="7"/>
      <c r="N60" s="9"/>
      <c r="O60" s="7"/>
      <c r="P60" s="7"/>
      <c r="Q60" s="7"/>
      <c r="R60" s="7"/>
      <c r="S60" s="7"/>
      <c r="T60" s="7"/>
      <c r="U60" s="7"/>
      <c r="V60" s="7"/>
      <c r="W60" s="7"/>
      <c r="X60" s="7"/>
      <c r="Y60" s="7"/>
    </row>
    <row r="61" ht="18.75" customHeight="1">
      <c r="A61" s="6"/>
      <c r="B61" s="6"/>
      <c r="C61" s="8" t="s">
        <v>281</v>
      </c>
      <c r="D61" s="8" t="s">
        <v>13</v>
      </c>
      <c r="E61" s="6">
        <v>205.0</v>
      </c>
      <c r="F61" s="6" t="s">
        <v>300</v>
      </c>
      <c r="G61" s="12" t="s">
        <v>301</v>
      </c>
      <c r="H61" s="11" t="s">
        <v>221</v>
      </c>
      <c r="I61" s="6" t="s">
        <v>17</v>
      </c>
      <c r="J61" s="8" t="s">
        <v>302</v>
      </c>
      <c r="K61" s="6" t="s">
        <v>303</v>
      </c>
      <c r="L61" s="6" t="str">
        <f t="shared" si="3"/>
        <v>Team: CAP-205  -  Project: Off-Orchard On-Ground Aeration System for Almond Drying</v>
      </c>
      <c r="M61" s="7"/>
      <c r="N61" s="9"/>
      <c r="O61" s="7"/>
      <c r="P61" s="7"/>
      <c r="Q61" s="7"/>
      <c r="R61" s="7"/>
      <c r="S61" s="7"/>
      <c r="T61" s="7"/>
      <c r="U61" s="7"/>
      <c r="V61" s="7"/>
      <c r="W61" s="7"/>
      <c r="X61" s="7"/>
      <c r="Y61" s="7"/>
    </row>
    <row r="62" ht="18.75" customHeight="1">
      <c r="A62" s="6"/>
      <c r="B62" s="6"/>
      <c r="C62" s="8" t="s">
        <v>281</v>
      </c>
      <c r="D62" s="8" t="s">
        <v>13</v>
      </c>
      <c r="E62" s="6">
        <v>206.0</v>
      </c>
      <c r="F62" s="6" t="s">
        <v>304</v>
      </c>
      <c r="G62" s="12" t="s">
        <v>305</v>
      </c>
      <c r="H62" s="11" t="s">
        <v>306</v>
      </c>
      <c r="I62" s="6" t="s">
        <v>79</v>
      </c>
      <c r="J62" s="8" t="s">
        <v>307</v>
      </c>
      <c r="K62" s="6" t="s">
        <v>308</v>
      </c>
      <c r="L62" s="6" t="str">
        <f t="shared" si="3"/>
        <v>Team: CAP-206  -  Project: Solar Industrial Process Heating - Automated Cleaning</v>
      </c>
      <c r="M62" s="7"/>
      <c r="N62" s="9"/>
      <c r="O62" s="7"/>
      <c r="P62" s="7"/>
      <c r="Q62" s="7"/>
      <c r="R62" s="7"/>
      <c r="S62" s="7"/>
      <c r="T62" s="7"/>
      <c r="U62" s="7"/>
      <c r="V62" s="7"/>
      <c r="W62" s="7"/>
      <c r="X62" s="7"/>
      <c r="Y62" s="7"/>
    </row>
    <row r="63" ht="18.75" customHeight="1">
      <c r="A63" s="6"/>
      <c r="B63" s="6"/>
      <c r="C63" s="8" t="s">
        <v>281</v>
      </c>
      <c r="D63" s="8" t="s">
        <v>13</v>
      </c>
      <c r="E63" s="6">
        <v>207.0</v>
      </c>
      <c r="F63" s="6" t="s">
        <v>309</v>
      </c>
      <c r="G63" s="12" t="s">
        <v>310</v>
      </c>
      <c r="H63" s="11" t="s">
        <v>311</v>
      </c>
      <c r="I63" s="6" t="s">
        <v>17</v>
      </c>
      <c r="J63" s="8" t="s">
        <v>312</v>
      </c>
      <c r="K63" s="6" t="s">
        <v>313</v>
      </c>
      <c r="L63" s="6" t="str">
        <f t="shared" si="3"/>
        <v>Team: CAP-207  -  Project: Wash Water Recycling System</v>
      </c>
      <c r="M63" s="7"/>
      <c r="N63" s="9"/>
      <c r="O63" s="7"/>
      <c r="P63" s="7"/>
      <c r="Q63" s="7"/>
      <c r="R63" s="7"/>
      <c r="S63" s="7"/>
      <c r="T63" s="7"/>
      <c r="U63" s="7"/>
      <c r="V63" s="7"/>
      <c r="W63" s="7"/>
      <c r="X63" s="7"/>
      <c r="Y63" s="7"/>
    </row>
    <row r="64" ht="18.75" customHeight="1">
      <c r="A64" s="6"/>
      <c r="B64" s="6"/>
      <c r="C64" s="8" t="s">
        <v>281</v>
      </c>
      <c r="D64" s="8" t="s">
        <v>13</v>
      </c>
      <c r="E64" s="6">
        <v>208.0</v>
      </c>
      <c r="F64" s="6" t="s">
        <v>314</v>
      </c>
      <c r="G64" s="11" t="s">
        <v>315</v>
      </c>
      <c r="H64" s="11" t="s">
        <v>99</v>
      </c>
      <c r="I64" s="6" t="s">
        <v>65</v>
      </c>
      <c r="J64" s="8" t="s">
        <v>316</v>
      </c>
      <c r="K64" s="6" t="s">
        <v>317</v>
      </c>
      <c r="L64" s="6" t="str">
        <f t="shared" si="3"/>
        <v>Team: CAP-208  -  Project: Robots making robots using cobots to weld and screw-drive</v>
      </c>
      <c r="M64" s="7"/>
      <c r="N64" s="9"/>
      <c r="O64" s="7"/>
      <c r="P64" s="7"/>
      <c r="Q64" s="7"/>
      <c r="R64" s="7"/>
      <c r="S64" s="7"/>
      <c r="T64" s="7"/>
      <c r="U64" s="7"/>
      <c r="V64" s="7"/>
      <c r="W64" s="7"/>
      <c r="X64" s="7"/>
      <c r="Y64" s="7"/>
    </row>
    <row r="65" ht="18.75" customHeight="1">
      <c r="A65" s="6"/>
      <c r="B65" s="6"/>
      <c r="C65" s="8" t="s">
        <v>281</v>
      </c>
      <c r="D65" s="8" t="s">
        <v>13</v>
      </c>
      <c r="E65" s="6">
        <v>209.0</v>
      </c>
      <c r="F65" s="6" t="s">
        <v>318</v>
      </c>
      <c r="G65" s="12" t="s">
        <v>319</v>
      </c>
      <c r="H65" s="11" t="s">
        <v>320</v>
      </c>
      <c r="I65" s="6" t="s">
        <v>37</v>
      </c>
      <c r="J65" s="8" t="s">
        <v>321</v>
      </c>
      <c r="K65" s="6" t="s">
        <v>322</v>
      </c>
      <c r="L65" s="6" t="str">
        <f t="shared" si="3"/>
        <v>Team: CAP-209  -  Project: Mandarin Seed Detection Solution</v>
      </c>
      <c r="M65" s="7"/>
      <c r="N65" s="9"/>
      <c r="O65" s="7"/>
      <c r="P65" s="7"/>
      <c r="Q65" s="7"/>
      <c r="R65" s="7"/>
      <c r="S65" s="7"/>
      <c r="T65" s="7"/>
      <c r="U65" s="7"/>
      <c r="V65" s="7"/>
      <c r="W65" s="7"/>
      <c r="X65" s="7"/>
      <c r="Y65" s="7"/>
    </row>
    <row r="66" ht="18.75" customHeight="1">
      <c r="A66" s="6"/>
      <c r="B66" s="6"/>
      <c r="C66" s="8" t="s">
        <v>281</v>
      </c>
      <c r="D66" s="8" t="s">
        <v>13</v>
      </c>
      <c r="E66" s="6">
        <v>210.0</v>
      </c>
      <c r="F66" s="6" t="s">
        <v>323</v>
      </c>
      <c r="G66" s="12" t="s">
        <v>324</v>
      </c>
      <c r="H66" s="11" t="s">
        <v>235</v>
      </c>
      <c r="I66" s="6" t="s">
        <v>37</v>
      </c>
      <c r="J66" s="8" t="s">
        <v>325</v>
      </c>
      <c r="K66" s="6" t="s">
        <v>326</v>
      </c>
      <c r="L66" s="6" t="str">
        <f t="shared" si="3"/>
        <v>Team: CAP-210  -  Project: Self Cleaning Harvester Kit</v>
      </c>
      <c r="M66" s="7"/>
      <c r="N66" s="9"/>
      <c r="O66" s="7"/>
      <c r="P66" s="7"/>
      <c r="Q66" s="7"/>
      <c r="R66" s="7"/>
      <c r="S66" s="7"/>
      <c r="T66" s="7"/>
      <c r="U66" s="7"/>
      <c r="V66" s="7"/>
      <c r="W66" s="7"/>
      <c r="X66" s="7"/>
      <c r="Y66" s="7"/>
    </row>
    <row r="67" ht="18.75" customHeight="1">
      <c r="A67" s="6"/>
      <c r="B67" s="6"/>
      <c r="C67" s="8" t="s">
        <v>281</v>
      </c>
      <c r="D67" s="8" t="s">
        <v>13</v>
      </c>
      <c r="E67" s="6">
        <v>211.0</v>
      </c>
      <c r="F67" s="6" t="s">
        <v>327</v>
      </c>
      <c r="G67" s="12" t="s">
        <v>328</v>
      </c>
      <c r="H67" s="11" t="s">
        <v>235</v>
      </c>
      <c r="I67" s="6" t="s">
        <v>37</v>
      </c>
      <c r="J67" s="8" t="s">
        <v>329</v>
      </c>
      <c r="K67" s="6" t="s">
        <v>330</v>
      </c>
      <c r="L67" s="6" t="str">
        <f t="shared" si="3"/>
        <v>Team: CAP-211  -  Project: Shuttle Truck Connection Automation with Robotic Arm</v>
      </c>
      <c r="M67" s="7"/>
      <c r="N67" s="9"/>
      <c r="O67" s="7"/>
      <c r="P67" s="7"/>
      <c r="Q67" s="7"/>
      <c r="R67" s="7"/>
      <c r="S67" s="7"/>
      <c r="T67" s="7"/>
      <c r="U67" s="7"/>
      <c r="V67" s="7"/>
      <c r="W67" s="7"/>
      <c r="X67" s="7"/>
      <c r="Y67" s="7"/>
    </row>
    <row r="68" ht="18.75" customHeight="1">
      <c r="A68" s="6"/>
      <c r="B68" s="6"/>
      <c r="C68" s="8" t="s">
        <v>281</v>
      </c>
      <c r="D68" s="8" t="s">
        <v>13</v>
      </c>
      <c r="E68" s="6">
        <v>212.0</v>
      </c>
      <c r="F68" s="6" t="s">
        <v>331</v>
      </c>
      <c r="G68" s="11" t="s">
        <v>332</v>
      </c>
      <c r="H68" s="11" t="s">
        <v>333</v>
      </c>
      <c r="I68" s="6" t="s">
        <v>37</v>
      </c>
      <c r="J68" s="8" t="s">
        <v>334</v>
      </c>
      <c r="K68" s="6" t="s">
        <v>335</v>
      </c>
      <c r="L68" s="6" t="str">
        <f t="shared" si="3"/>
        <v>Team: CAP-212  -  Project: Removal of MOO (Material Other than Olives)</v>
      </c>
      <c r="M68" s="7"/>
      <c r="N68" s="9"/>
      <c r="O68" s="7"/>
      <c r="P68" s="7"/>
      <c r="Q68" s="7"/>
      <c r="R68" s="7"/>
      <c r="S68" s="7"/>
      <c r="T68" s="7"/>
      <c r="U68" s="7"/>
      <c r="V68" s="7"/>
      <c r="W68" s="7"/>
      <c r="X68" s="7"/>
      <c r="Y68" s="7"/>
    </row>
    <row r="69" ht="18.75" customHeight="1">
      <c r="A69" s="6"/>
      <c r="B69" s="6"/>
      <c r="C69" s="8" t="s">
        <v>281</v>
      </c>
      <c r="D69" s="8" t="s">
        <v>13</v>
      </c>
      <c r="E69" s="6">
        <v>213.0</v>
      </c>
      <c r="F69" s="6" t="s">
        <v>336</v>
      </c>
      <c r="G69" s="12" t="s">
        <v>337</v>
      </c>
      <c r="H69" s="11" t="s">
        <v>338</v>
      </c>
      <c r="I69" s="6" t="s">
        <v>37</v>
      </c>
      <c r="J69" s="8" t="s">
        <v>339</v>
      </c>
      <c r="K69" s="6" t="s">
        <v>340</v>
      </c>
      <c r="L69" s="6" t="str">
        <f t="shared" si="3"/>
        <v>Team: CAP-213  -  Project: 640 Cheese Block Height Control</v>
      </c>
      <c r="M69" s="7"/>
      <c r="N69" s="9"/>
      <c r="O69" s="7"/>
      <c r="P69" s="7"/>
      <c r="Q69" s="7"/>
      <c r="R69" s="7"/>
      <c r="S69" s="7"/>
      <c r="T69" s="7"/>
      <c r="U69" s="7"/>
      <c r="V69" s="7"/>
      <c r="W69" s="7"/>
      <c r="X69" s="7"/>
      <c r="Y69" s="7"/>
    </row>
    <row r="70" ht="18.75" customHeight="1">
      <c r="A70" s="6"/>
      <c r="B70" s="6"/>
      <c r="C70" s="8" t="s">
        <v>281</v>
      </c>
      <c r="D70" s="8" t="s">
        <v>13</v>
      </c>
      <c r="E70" s="6">
        <v>214.0</v>
      </c>
      <c r="F70" s="6" t="s">
        <v>341</v>
      </c>
      <c r="G70" s="12" t="s">
        <v>342</v>
      </c>
      <c r="H70" s="11" t="s">
        <v>274</v>
      </c>
      <c r="I70" s="6" t="s">
        <v>65</v>
      </c>
      <c r="J70" s="8" t="s">
        <v>343</v>
      </c>
      <c r="K70" s="6" t="s">
        <v>344</v>
      </c>
      <c r="L70" s="6" t="str">
        <f t="shared" si="3"/>
        <v>Team: CAP-214  -  Project: Spring Cycle Life Tester</v>
      </c>
      <c r="M70" s="7"/>
      <c r="N70" s="9"/>
      <c r="O70" s="7"/>
      <c r="P70" s="7"/>
      <c r="Q70" s="7"/>
      <c r="R70" s="7"/>
      <c r="S70" s="7"/>
      <c r="T70" s="7"/>
      <c r="U70" s="7"/>
      <c r="V70" s="7"/>
      <c r="W70" s="7"/>
      <c r="X70" s="7"/>
      <c r="Y70" s="7"/>
    </row>
    <row r="71" ht="18.75" customHeight="1">
      <c r="A71" s="6"/>
      <c r="B71" s="6"/>
      <c r="C71" s="8" t="s">
        <v>281</v>
      </c>
      <c r="D71" s="8" t="s">
        <v>13</v>
      </c>
      <c r="E71" s="6">
        <v>215.0</v>
      </c>
      <c r="F71" s="6" t="s">
        <v>345</v>
      </c>
      <c r="G71" s="12" t="s">
        <v>346</v>
      </c>
      <c r="H71" s="11" t="s">
        <v>89</v>
      </c>
      <c r="I71" s="6" t="s">
        <v>37</v>
      </c>
      <c r="J71" s="8" t="s">
        <v>347</v>
      </c>
      <c r="K71" s="6" t="s">
        <v>348</v>
      </c>
      <c r="L71" s="6" t="str">
        <f t="shared" si="3"/>
        <v>Team: CAP-215  -  Project: Spillage of Almond Steaming Line</v>
      </c>
      <c r="M71" s="7"/>
      <c r="N71" s="9"/>
      <c r="O71" s="7"/>
      <c r="P71" s="7"/>
      <c r="Q71" s="7"/>
      <c r="R71" s="7"/>
      <c r="S71" s="7"/>
      <c r="T71" s="7"/>
      <c r="U71" s="7"/>
      <c r="V71" s="7"/>
      <c r="W71" s="7"/>
      <c r="X71" s="7"/>
      <c r="Y71" s="7"/>
    </row>
    <row r="72" ht="18.75" customHeight="1">
      <c r="A72" s="6"/>
      <c r="B72" s="6"/>
      <c r="C72" s="8" t="s">
        <v>281</v>
      </c>
      <c r="D72" s="8" t="s">
        <v>13</v>
      </c>
      <c r="E72" s="6">
        <v>216.0</v>
      </c>
      <c r="F72" s="6" t="s">
        <v>349</v>
      </c>
      <c r="G72" s="12" t="s">
        <v>350</v>
      </c>
      <c r="H72" s="11" t="s">
        <v>351</v>
      </c>
      <c r="I72" s="6" t="s">
        <v>17</v>
      </c>
      <c r="J72" s="8" t="s">
        <v>352</v>
      </c>
      <c r="K72" s="6" t="s">
        <v>353</v>
      </c>
      <c r="L72" s="6" t="str">
        <f t="shared" si="3"/>
        <v>Team: CAP-216  -  Project: Sweet Potato Planter Robotic End Effector</v>
      </c>
      <c r="M72" s="7"/>
      <c r="N72" s="9"/>
      <c r="O72" s="7"/>
      <c r="P72" s="7"/>
      <c r="Q72" s="7"/>
      <c r="R72" s="7"/>
      <c r="S72" s="7"/>
      <c r="T72" s="7"/>
      <c r="U72" s="7"/>
      <c r="V72" s="7"/>
      <c r="W72" s="7"/>
      <c r="X72" s="7"/>
      <c r="Y72"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67.13"/>
    <col customWidth="1" min="3" max="3" width="43.5"/>
    <col customWidth="1" min="4" max="7" width="23.75"/>
    <col customWidth="1" min="8" max="8" width="37.38"/>
    <col customWidth="1" min="9" max="19" width="23.75"/>
  </cols>
  <sheetData>
    <row r="1" ht="14.25" customHeight="1">
      <c r="A1" s="6">
        <v>101.0</v>
      </c>
      <c r="B1" s="6" t="s">
        <v>19</v>
      </c>
      <c r="C1" s="6"/>
      <c r="D1" s="6" t="s">
        <v>354</v>
      </c>
      <c r="E1" s="13"/>
      <c r="F1" s="13"/>
      <c r="G1" s="13"/>
      <c r="H1" s="13"/>
      <c r="I1" s="13"/>
      <c r="J1" s="13"/>
      <c r="K1" s="13"/>
      <c r="L1" s="13"/>
      <c r="M1" s="13"/>
      <c r="N1" s="13"/>
      <c r="O1" s="13"/>
      <c r="P1" s="13"/>
      <c r="Q1" s="13"/>
      <c r="R1" s="13"/>
      <c r="S1" s="13"/>
    </row>
    <row r="2" ht="14.25" customHeight="1">
      <c r="A2" s="6">
        <v>102.0</v>
      </c>
      <c r="B2" s="6" t="s">
        <v>23</v>
      </c>
      <c r="C2" s="6"/>
      <c r="D2" s="6" t="s">
        <v>355</v>
      </c>
      <c r="E2" s="13"/>
      <c r="F2" s="13"/>
      <c r="G2" s="13"/>
      <c r="H2" s="13"/>
      <c r="I2" s="13"/>
      <c r="J2" s="13"/>
      <c r="K2" s="13"/>
      <c r="L2" s="13"/>
      <c r="M2" s="13"/>
      <c r="N2" s="13"/>
      <c r="O2" s="13"/>
      <c r="P2" s="13"/>
      <c r="Q2" s="13"/>
      <c r="R2" s="13"/>
      <c r="S2" s="13"/>
    </row>
    <row r="3" ht="14.25" customHeight="1">
      <c r="A3" s="6">
        <v>103.0</v>
      </c>
      <c r="B3" s="6" t="s">
        <v>29</v>
      </c>
      <c r="C3" s="6"/>
      <c r="D3" s="6" t="s">
        <v>356</v>
      </c>
      <c r="E3" s="13"/>
      <c r="F3" s="13"/>
      <c r="G3" s="13"/>
      <c r="H3" s="13"/>
      <c r="I3" s="13"/>
      <c r="J3" s="13"/>
      <c r="K3" s="13"/>
      <c r="L3" s="13"/>
      <c r="M3" s="13"/>
      <c r="N3" s="13"/>
      <c r="O3" s="13"/>
      <c r="P3" s="13"/>
      <c r="Q3" s="13"/>
      <c r="R3" s="13"/>
      <c r="S3" s="13"/>
    </row>
    <row r="4" ht="14.25" customHeight="1">
      <c r="A4" s="6">
        <v>104.0</v>
      </c>
      <c r="B4" s="6" t="s">
        <v>33</v>
      </c>
      <c r="C4" s="6"/>
      <c r="D4" s="6" t="s">
        <v>357</v>
      </c>
      <c r="E4" s="13"/>
      <c r="F4" s="13"/>
      <c r="G4" s="13"/>
      <c r="H4" s="13"/>
      <c r="I4" s="13"/>
      <c r="J4" s="13"/>
      <c r="K4" s="13"/>
      <c r="L4" s="13"/>
      <c r="M4" s="13"/>
      <c r="N4" s="13"/>
      <c r="O4" s="13"/>
      <c r="P4" s="13"/>
      <c r="Q4" s="13"/>
      <c r="R4" s="13"/>
      <c r="S4" s="13"/>
    </row>
    <row r="5" ht="14.25" customHeight="1">
      <c r="A5" s="6">
        <v>105.0</v>
      </c>
      <c r="B5" s="6" t="s">
        <v>358</v>
      </c>
      <c r="C5" s="6"/>
      <c r="D5" s="6" t="s">
        <v>359</v>
      </c>
      <c r="E5" s="13"/>
      <c r="F5" s="13"/>
      <c r="G5" s="13"/>
      <c r="H5" s="13"/>
      <c r="I5" s="13"/>
      <c r="J5" s="13"/>
      <c r="K5" s="13"/>
      <c r="L5" s="13"/>
      <c r="M5" s="13"/>
      <c r="N5" s="13"/>
      <c r="O5" s="13"/>
      <c r="P5" s="13"/>
      <c r="Q5" s="13"/>
      <c r="R5" s="13"/>
      <c r="S5" s="13"/>
    </row>
    <row r="6" ht="14.25" customHeight="1">
      <c r="A6" s="6">
        <v>106.0</v>
      </c>
      <c r="B6" s="6" t="s">
        <v>43</v>
      </c>
      <c r="C6" s="6"/>
      <c r="D6" s="6" t="s">
        <v>360</v>
      </c>
      <c r="E6" s="13"/>
      <c r="F6" s="13"/>
      <c r="G6" s="13"/>
      <c r="H6" s="13"/>
      <c r="I6" s="13"/>
      <c r="J6" s="13"/>
      <c r="K6" s="13"/>
      <c r="L6" s="13"/>
      <c r="M6" s="13"/>
      <c r="N6" s="13"/>
      <c r="O6" s="13"/>
      <c r="P6" s="13"/>
      <c r="Q6" s="13"/>
      <c r="R6" s="13"/>
      <c r="S6" s="13"/>
    </row>
    <row r="7" ht="14.25" customHeight="1">
      <c r="A7" s="6">
        <v>107.0</v>
      </c>
      <c r="B7" s="6" t="s">
        <v>48</v>
      </c>
      <c r="C7" s="6"/>
      <c r="D7" s="6" t="s">
        <v>361</v>
      </c>
      <c r="E7" s="13"/>
      <c r="F7" s="13"/>
      <c r="G7" s="13"/>
      <c r="H7" s="13"/>
      <c r="I7" s="13"/>
      <c r="J7" s="13"/>
      <c r="K7" s="13"/>
      <c r="L7" s="13"/>
      <c r="M7" s="13"/>
      <c r="N7" s="13"/>
      <c r="O7" s="13"/>
      <c r="P7" s="13"/>
      <c r="Q7" s="13"/>
      <c r="R7" s="13"/>
      <c r="S7" s="13"/>
    </row>
    <row r="8" ht="14.25" customHeight="1">
      <c r="A8" s="6">
        <v>108.0</v>
      </c>
      <c r="B8" s="6" t="s">
        <v>52</v>
      </c>
      <c r="C8" s="6"/>
      <c r="D8" s="6" t="s">
        <v>362</v>
      </c>
      <c r="E8" s="13"/>
      <c r="F8" s="13"/>
      <c r="G8" s="13"/>
      <c r="H8" s="13"/>
      <c r="I8" s="13"/>
      <c r="J8" s="13"/>
      <c r="K8" s="13"/>
      <c r="L8" s="13"/>
      <c r="M8" s="13"/>
      <c r="N8" s="13"/>
      <c r="O8" s="13"/>
      <c r="P8" s="13"/>
      <c r="Q8" s="13"/>
      <c r="R8" s="13"/>
      <c r="S8" s="13"/>
    </row>
    <row r="9" ht="14.25" customHeight="1">
      <c r="A9" s="6">
        <v>109.0</v>
      </c>
      <c r="B9" s="6" t="s">
        <v>56</v>
      </c>
      <c r="C9" s="6"/>
      <c r="D9" s="6" t="s">
        <v>363</v>
      </c>
      <c r="E9" s="13"/>
      <c r="F9" s="13"/>
      <c r="G9" s="13"/>
      <c r="H9" s="13"/>
      <c r="I9" s="13"/>
      <c r="J9" s="13"/>
      <c r="K9" s="13"/>
      <c r="L9" s="13"/>
      <c r="M9" s="13"/>
      <c r="N9" s="13"/>
      <c r="O9" s="13"/>
      <c r="P9" s="13"/>
      <c r="Q9" s="13"/>
      <c r="R9" s="13"/>
      <c r="S9" s="13"/>
    </row>
    <row r="10" ht="14.25" customHeight="1">
      <c r="A10" s="6">
        <v>110.0</v>
      </c>
      <c r="B10" s="6" t="s">
        <v>61</v>
      </c>
      <c r="C10" s="6"/>
      <c r="D10" s="6" t="s">
        <v>364</v>
      </c>
      <c r="E10" s="13"/>
      <c r="F10" s="13"/>
      <c r="G10" s="13"/>
      <c r="H10" s="13"/>
      <c r="I10" s="13"/>
      <c r="J10" s="13"/>
      <c r="K10" s="13"/>
      <c r="L10" s="13"/>
      <c r="M10" s="13"/>
      <c r="N10" s="13"/>
      <c r="O10" s="13"/>
      <c r="P10" s="13"/>
      <c r="Q10" s="13"/>
      <c r="R10" s="13"/>
      <c r="S10" s="13"/>
    </row>
    <row r="11" ht="14.25" customHeight="1">
      <c r="A11" s="6">
        <v>111.0</v>
      </c>
      <c r="B11" s="6" t="s">
        <v>67</v>
      </c>
      <c r="C11" s="6"/>
      <c r="D11" s="6" t="s">
        <v>365</v>
      </c>
      <c r="E11" s="13"/>
      <c r="F11" s="13"/>
      <c r="G11" s="13"/>
      <c r="H11" s="13"/>
      <c r="I11" s="13"/>
      <c r="J11" s="13"/>
      <c r="K11" s="13"/>
      <c r="L11" s="13"/>
      <c r="M11" s="13"/>
      <c r="N11" s="13"/>
      <c r="O11" s="13"/>
      <c r="P11" s="13"/>
      <c r="Q11" s="13"/>
      <c r="R11" s="13"/>
      <c r="S11" s="13"/>
    </row>
    <row r="12" ht="14.25" customHeight="1">
      <c r="A12" s="6">
        <v>112.0</v>
      </c>
      <c r="B12" s="6" t="s">
        <v>72</v>
      </c>
      <c r="C12" s="6"/>
      <c r="D12" s="6" t="s">
        <v>366</v>
      </c>
      <c r="E12" s="13"/>
      <c r="F12" s="13"/>
      <c r="G12" s="13"/>
      <c r="H12" s="13"/>
      <c r="I12" s="13"/>
      <c r="J12" s="13"/>
      <c r="K12" s="13"/>
      <c r="L12" s="13"/>
      <c r="M12" s="13"/>
      <c r="N12" s="13"/>
      <c r="O12" s="13"/>
      <c r="P12" s="13"/>
      <c r="Q12" s="13"/>
      <c r="R12" s="13"/>
      <c r="S12" s="13"/>
    </row>
    <row r="13" ht="14.25" customHeight="1">
      <c r="A13" s="6">
        <v>113.0</v>
      </c>
      <c r="B13" s="6" t="s">
        <v>76</v>
      </c>
      <c r="C13" s="6"/>
      <c r="D13" s="6" t="s">
        <v>367</v>
      </c>
      <c r="E13" s="13"/>
      <c r="F13" s="13"/>
      <c r="G13" s="13"/>
      <c r="H13" s="13"/>
      <c r="I13" s="13"/>
      <c r="J13" s="13"/>
      <c r="K13" s="13"/>
      <c r="L13" s="13"/>
      <c r="M13" s="13"/>
      <c r="N13" s="13"/>
      <c r="O13" s="13"/>
      <c r="P13" s="13"/>
      <c r="Q13" s="13"/>
      <c r="R13" s="13"/>
      <c r="S13" s="13"/>
    </row>
    <row r="14" ht="14.25" customHeight="1">
      <c r="A14" s="6">
        <v>114.0</v>
      </c>
      <c r="B14" s="6" t="s">
        <v>81</v>
      </c>
      <c r="C14" s="6"/>
      <c r="D14" s="6" t="s">
        <v>368</v>
      </c>
      <c r="E14" s="13"/>
      <c r="F14" s="13"/>
      <c r="G14" s="13"/>
      <c r="H14" s="13"/>
      <c r="I14" s="13"/>
      <c r="J14" s="13"/>
      <c r="K14" s="13"/>
      <c r="L14" s="13"/>
      <c r="M14" s="13"/>
      <c r="N14" s="13"/>
      <c r="O14" s="13"/>
      <c r="P14" s="13"/>
      <c r="Q14" s="13"/>
      <c r="R14" s="13"/>
      <c r="S14" s="13"/>
    </row>
    <row r="15" ht="14.25" customHeight="1">
      <c r="A15" s="6">
        <v>115.0</v>
      </c>
      <c r="B15" s="6" t="s">
        <v>86</v>
      </c>
      <c r="C15" s="6"/>
      <c r="D15" s="6" t="s">
        <v>369</v>
      </c>
      <c r="E15" s="13"/>
      <c r="F15" s="13"/>
      <c r="G15" s="13"/>
      <c r="H15" s="13"/>
      <c r="I15" s="13"/>
      <c r="J15" s="13"/>
      <c r="K15" s="13"/>
      <c r="L15" s="13"/>
      <c r="M15" s="13"/>
      <c r="N15" s="13"/>
      <c r="O15" s="13"/>
      <c r="P15" s="13"/>
      <c r="Q15" s="13"/>
      <c r="R15" s="13"/>
      <c r="S15" s="13"/>
    </row>
    <row r="16" ht="14.25" customHeight="1">
      <c r="A16" s="6">
        <v>116.0</v>
      </c>
      <c r="B16" s="6" t="s">
        <v>91</v>
      </c>
      <c r="C16" s="6"/>
      <c r="D16" s="6" t="s">
        <v>370</v>
      </c>
      <c r="E16" s="13"/>
      <c r="F16" s="13"/>
      <c r="G16" s="13"/>
      <c r="H16" s="13"/>
      <c r="I16" s="13"/>
      <c r="J16" s="13"/>
      <c r="K16" s="13"/>
      <c r="L16" s="13"/>
      <c r="M16" s="13"/>
      <c r="N16" s="13"/>
      <c r="O16" s="13"/>
      <c r="P16" s="13"/>
      <c r="Q16" s="13"/>
      <c r="R16" s="13"/>
      <c r="S16" s="13"/>
    </row>
    <row r="17" ht="14.25" customHeight="1">
      <c r="A17" s="6">
        <v>117.0</v>
      </c>
      <c r="B17" s="6" t="s">
        <v>96</v>
      </c>
      <c r="C17" s="6"/>
      <c r="D17" s="6" t="s">
        <v>371</v>
      </c>
      <c r="E17" s="13"/>
      <c r="F17" s="13"/>
      <c r="G17" s="13"/>
      <c r="H17" s="13"/>
      <c r="I17" s="13"/>
      <c r="J17" s="13"/>
      <c r="K17" s="13"/>
      <c r="L17" s="13"/>
      <c r="M17" s="13"/>
      <c r="N17" s="13"/>
      <c r="O17" s="13"/>
      <c r="P17" s="13"/>
      <c r="Q17" s="13"/>
      <c r="R17" s="13"/>
      <c r="S17" s="13"/>
    </row>
    <row r="18" ht="14.25" customHeight="1">
      <c r="A18" s="6">
        <v>118.0</v>
      </c>
      <c r="B18" s="6" t="s">
        <v>101</v>
      </c>
      <c r="C18" s="6"/>
      <c r="D18" s="6" t="s">
        <v>372</v>
      </c>
      <c r="E18" s="13"/>
      <c r="F18" s="13"/>
      <c r="G18" s="13"/>
      <c r="H18" s="13"/>
      <c r="I18" s="13"/>
      <c r="J18" s="13"/>
      <c r="K18" s="13"/>
      <c r="L18" s="13"/>
      <c r="M18" s="13"/>
      <c r="N18" s="13"/>
      <c r="O18" s="13"/>
      <c r="P18" s="13"/>
      <c r="Q18" s="13"/>
      <c r="R18" s="13"/>
      <c r="S18" s="13"/>
    </row>
    <row r="19" ht="14.25" customHeight="1">
      <c r="A19" s="6">
        <v>119.0</v>
      </c>
      <c r="B19" s="6" t="s">
        <v>106</v>
      </c>
      <c r="C19" s="6"/>
      <c r="D19" s="6" t="s">
        <v>373</v>
      </c>
      <c r="E19" s="6"/>
      <c r="F19" s="6"/>
      <c r="G19" s="13"/>
      <c r="H19" s="13"/>
      <c r="I19" s="13"/>
      <c r="J19" s="13"/>
      <c r="K19" s="13"/>
      <c r="L19" s="13"/>
      <c r="M19" s="13"/>
      <c r="N19" s="13"/>
      <c r="O19" s="13"/>
      <c r="P19" s="13"/>
      <c r="Q19" s="13"/>
      <c r="R19" s="13"/>
      <c r="S19" s="13"/>
    </row>
    <row r="20" ht="14.25" customHeight="1">
      <c r="A20" s="6">
        <v>120.0</v>
      </c>
      <c r="B20" s="6" t="s">
        <v>110</v>
      </c>
      <c r="C20" s="6"/>
      <c r="D20" s="6" t="s">
        <v>374</v>
      </c>
      <c r="E20" s="6"/>
      <c r="F20" s="6"/>
      <c r="G20" s="13"/>
      <c r="H20" s="13"/>
      <c r="I20" s="13"/>
      <c r="J20" s="13"/>
      <c r="K20" s="13"/>
      <c r="L20" s="13"/>
      <c r="M20" s="13"/>
      <c r="N20" s="13"/>
      <c r="O20" s="13"/>
      <c r="P20" s="13"/>
      <c r="Q20" s="13"/>
      <c r="R20" s="13"/>
      <c r="S20" s="13"/>
    </row>
    <row r="21" ht="14.25" customHeight="1">
      <c r="A21" s="6">
        <v>121.0</v>
      </c>
      <c r="B21" s="6" t="s">
        <v>115</v>
      </c>
      <c r="C21" s="6"/>
      <c r="D21" s="6" t="s">
        <v>375</v>
      </c>
      <c r="E21" s="6"/>
      <c r="F21" s="6"/>
      <c r="G21" s="13"/>
      <c r="H21" s="13"/>
      <c r="I21" s="13"/>
      <c r="J21" s="13"/>
      <c r="K21" s="13"/>
      <c r="L21" s="13"/>
      <c r="M21" s="13"/>
      <c r="N21" s="13"/>
      <c r="O21" s="13"/>
      <c r="P21" s="13"/>
      <c r="Q21" s="13"/>
      <c r="R21" s="13"/>
      <c r="S21" s="13"/>
    </row>
    <row r="22" ht="14.25" customHeight="1">
      <c r="A22" s="6">
        <v>122.0</v>
      </c>
      <c r="B22" s="14" t="s">
        <v>120</v>
      </c>
      <c r="C22" s="14"/>
      <c r="D22" s="6" t="s">
        <v>376</v>
      </c>
      <c r="E22" s="6"/>
      <c r="F22" s="6"/>
      <c r="G22" s="13"/>
      <c r="H22" s="13"/>
      <c r="I22" s="13"/>
      <c r="J22" s="13"/>
      <c r="K22" s="13"/>
      <c r="L22" s="13"/>
      <c r="M22" s="13"/>
      <c r="N22" s="13"/>
      <c r="O22" s="13"/>
      <c r="P22" s="13"/>
      <c r="Q22" s="13"/>
      <c r="R22" s="13"/>
      <c r="S22" s="13"/>
    </row>
    <row r="23" ht="14.25" customHeight="1">
      <c r="A23" s="6">
        <v>123.0</v>
      </c>
      <c r="B23" s="14" t="s">
        <v>125</v>
      </c>
      <c r="C23" s="14"/>
      <c r="D23" s="6" t="s">
        <v>377</v>
      </c>
      <c r="E23" s="6"/>
      <c r="F23" s="6"/>
      <c r="G23" s="13"/>
      <c r="H23" s="13"/>
      <c r="I23" s="13"/>
      <c r="J23" s="13"/>
      <c r="K23" s="13"/>
      <c r="L23" s="13"/>
      <c r="M23" s="13"/>
      <c r="N23" s="13"/>
      <c r="O23" s="13"/>
      <c r="P23" s="13"/>
      <c r="Q23" s="13"/>
      <c r="R23" s="13"/>
      <c r="S23" s="13"/>
    </row>
    <row r="24" ht="14.25" customHeight="1">
      <c r="A24" s="6">
        <v>124.0</v>
      </c>
      <c r="B24" s="14" t="s">
        <v>129</v>
      </c>
      <c r="C24" s="14"/>
      <c r="D24" s="6" t="s">
        <v>378</v>
      </c>
      <c r="E24" s="6"/>
      <c r="F24" s="6"/>
      <c r="G24" s="13"/>
      <c r="H24" s="13"/>
      <c r="I24" s="13"/>
      <c r="J24" s="13"/>
      <c r="K24" s="13"/>
      <c r="L24" s="13"/>
      <c r="M24" s="13"/>
      <c r="N24" s="13"/>
      <c r="O24" s="13"/>
      <c r="P24" s="13"/>
      <c r="Q24" s="13"/>
      <c r="R24" s="13"/>
      <c r="S24" s="13"/>
    </row>
    <row r="25" ht="14.25" customHeight="1">
      <c r="A25" s="6">
        <v>125.0</v>
      </c>
      <c r="B25" s="14" t="s">
        <v>132</v>
      </c>
      <c r="C25" s="14"/>
      <c r="D25" s="6" t="s">
        <v>379</v>
      </c>
      <c r="E25" s="6"/>
      <c r="F25" s="6"/>
      <c r="G25" s="13"/>
      <c r="H25" s="13"/>
      <c r="I25" s="13"/>
      <c r="J25" s="13"/>
      <c r="K25" s="13"/>
      <c r="L25" s="13"/>
      <c r="M25" s="13"/>
      <c r="N25" s="13"/>
      <c r="O25" s="13"/>
      <c r="P25" s="13"/>
      <c r="Q25" s="13"/>
      <c r="R25" s="13"/>
      <c r="S25" s="13"/>
    </row>
    <row r="26" ht="14.25" customHeight="1">
      <c r="A26" s="6">
        <v>126.0</v>
      </c>
      <c r="B26" s="14" t="s">
        <v>136</v>
      </c>
      <c r="C26" s="14"/>
      <c r="D26" s="6" t="s">
        <v>380</v>
      </c>
      <c r="E26" s="6"/>
      <c r="F26" s="6"/>
      <c r="G26" s="13"/>
      <c r="H26" s="13"/>
      <c r="I26" s="13"/>
      <c r="J26" s="13"/>
      <c r="K26" s="13"/>
      <c r="L26" s="13"/>
      <c r="M26" s="13"/>
      <c r="N26" s="13"/>
      <c r="O26" s="13"/>
      <c r="P26" s="13"/>
      <c r="Q26" s="13"/>
      <c r="R26" s="13"/>
      <c r="S26" s="13"/>
    </row>
    <row r="27" ht="14.25" customHeight="1">
      <c r="A27" s="6">
        <v>127.0</v>
      </c>
      <c r="B27" s="14" t="s">
        <v>141</v>
      </c>
      <c r="C27" s="14"/>
      <c r="D27" s="6" t="s">
        <v>381</v>
      </c>
      <c r="E27" s="6"/>
      <c r="F27" s="6"/>
      <c r="G27" s="13"/>
      <c r="H27" s="13"/>
      <c r="I27" s="13"/>
      <c r="J27" s="13"/>
      <c r="K27" s="13"/>
      <c r="L27" s="13"/>
      <c r="M27" s="13"/>
      <c r="N27" s="13"/>
      <c r="O27" s="13"/>
      <c r="P27" s="13"/>
      <c r="Q27" s="13"/>
      <c r="R27" s="13"/>
      <c r="S27" s="13"/>
    </row>
    <row r="28" ht="14.25" customHeight="1">
      <c r="A28" s="6">
        <v>128.0</v>
      </c>
      <c r="B28" s="14" t="s">
        <v>147</v>
      </c>
      <c r="C28" s="14"/>
      <c r="D28" s="6" t="s">
        <v>382</v>
      </c>
      <c r="E28" s="6"/>
      <c r="F28" s="6"/>
      <c r="G28" s="13"/>
      <c r="H28" s="13"/>
      <c r="I28" s="13"/>
      <c r="J28" s="13"/>
      <c r="K28" s="13"/>
      <c r="L28" s="13"/>
      <c r="M28" s="13"/>
      <c r="N28" s="13"/>
      <c r="O28" s="13"/>
      <c r="P28" s="13"/>
      <c r="Q28" s="13"/>
      <c r="R28" s="13"/>
      <c r="S28" s="13"/>
    </row>
    <row r="29" ht="14.25" customHeight="1">
      <c r="A29" s="6">
        <v>129.0</v>
      </c>
      <c r="B29" s="14" t="s">
        <v>152</v>
      </c>
      <c r="C29" s="14"/>
      <c r="D29" s="6" t="s">
        <v>383</v>
      </c>
      <c r="E29" s="6"/>
      <c r="F29" s="6"/>
      <c r="G29" s="13"/>
      <c r="H29" s="13"/>
      <c r="I29" s="13"/>
      <c r="J29" s="13"/>
      <c r="K29" s="13"/>
      <c r="L29" s="13"/>
      <c r="M29" s="13"/>
      <c r="N29" s="13"/>
      <c r="O29" s="13"/>
      <c r="P29" s="13"/>
      <c r="Q29" s="13"/>
      <c r="R29" s="13"/>
      <c r="S29" s="13"/>
    </row>
    <row r="30" ht="14.25" customHeight="1">
      <c r="A30" s="6">
        <v>301.0</v>
      </c>
      <c r="B30" s="14" t="s">
        <v>178</v>
      </c>
      <c r="C30" s="14"/>
      <c r="D30" s="13" t="s">
        <v>384</v>
      </c>
      <c r="E30" s="13"/>
      <c r="H30" s="13"/>
      <c r="I30" s="13"/>
      <c r="J30" s="13"/>
      <c r="K30" s="13"/>
      <c r="L30" s="13"/>
      <c r="M30" s="13"/>
      <c r="N30" s="13"/>
      <c r="O30" s="13"/>
      <c r="P30" s="13"/>
      <c r="Q30" s="13"/>
      <c r="R30" s="13"/>
      <c r="S30" s="13"/>
    </row>
    <row r="31" ht="14.25" customHeight="1">
      <c r="A31" s="6">
        <v>302.0</v>
      </c>
      <c r="B31" s="14" t="s">
        <v>184</v>
      </c>
      <c r="C31" s="14"/>
      <c r="D31" s="13" t="s">
        <v>385</v>
      </c>
      <c r="E31" s="13"/>
      <c r="H31" s="13"/>
      <c r="I31" s="13"/>
      <c r="J31" s="13"/>
      <c r="K31" s="13"/>
      <c r="L31" s="13"/>
      <c r="M31" s="13"/>
      <c r="N31" s="13"/>
      <c r="O31" s="13"/>
      <c r="P31" s="13"/>
      <c r="Q31" s="13"/>
      <c r="R31" s="13"/>
      <c r="S31" s="13"/>
    </row>
    <row r="32" ht="14.25" customHeight="1">
      <c r="A32" s="6">
        <v>303.0</v>
      </c>
      <c r="B32" s="14" t="s">
        <v>188</v>
      </c>
      <c r="C32" s="14"/>
      <c r="D32" s="13" t="s">
        <v>386</v>
      </c>
      <c r="E32" s="13"/>
      <c r="H32" s="13"/>
      <c r="I32" s="13"/>
      <c r="J32" s="13"/>
      <c r="K32" s="13"/>
      <c r="L32" s="13"/>
      <c r="M32" s="13"/>
      <c r="N32" s="13"/>
      <c r="O32" s="13"/>
      <c r="P32" s="13"/>
      <c r="Q32" s="13"/>
      <c r="R32" s="13"/>
      <c r="S32" s="13"/>
    </row>
    <row r="33" ht="14.25" customHeight="1">
      <c r="A33" s="6">
        <v>304.0</v>
      </c>
      <c r="B33" s="14" t="s">
        <v>193</v>
      </c>
      <c r="C33" s="14"/>
      <c r="D33" s="13" t="s">
        <v>387</v>
      </c>
      <c r="E33" s="13"/>
      <c r="H33" s="13"/>
      <c r="I33" s="13"/>
      <c r="J33" s="13"/>
      <c r="K33" s="13"/>
      <c r="L33" s="13"/>
      <c r="M33" s="13"/>
      <c r="N33" s="13"/>
      <c r="O33" s="13"/>
      <c r="P33" s="13"/>
      <c r="Q33" s="13"/>
      <c r="R33" s="13"/>
      <c r="S33" s="13"/>
    </row>
    <row r="34" ht="14.25" customHeight="1">
      <c r="A34" s="6">
        <v>305.0</v>
      </c>
      <c r="B34" s="14" t="s">
        <v>198</v>
      </c>
      <c r="C34" s="14"/>
      <c r="D34" s="13" t="s">
        <v>388</v>
      </c>
      <c r="E34" s="13"/>
      <c r="F34" s="13"/>
      <c r="G34" s="13"/>
      <c r="H34" s="13"/>
      <c r="I34" s="13"/>
      <c r="J34" s="13"/>
      <c r="K34" s="13"/>
      <c r="L34" s="13"/>
      <c r="M34" s="13"/>
      <c r="N34" s="13"/>
      <c r="O34" s="13"/>
      <c r="P34" s="13"/>
      <c r="Q34" s="13"/>
      <c r="R34" s="13"/>
      <c r="S34" s="13"/>
    </row>
    <row r="35" ht="14.25" customHeight="1">
      <c r="A35" s="6">
        <v>306.0</v>
      </c>
      <c r="B35" s="14" t="s">
        <v>203</v>
      </c>
      <c r="C35" s="14"/>
      <c r="D35" s="13" t="s">
        <v>389</v>
      </c>
      <c r="E35" s="13"/>
      <c r="F35" s="13"/>
      <c r="G35" s="13"/>
      <c r="H35" s="13"/>
      <c r="I35" s="13"/>
      <c r="J35" s="13"/>
      <c r="K35" s="13"/>
      <c r="L35" s="13"/>
      <c r="M35" s="13"/>
      <c r="N35" s="13"/>
      <c r="O35" s="13"/>
      <c r="P35" s="13"/>
      <c r="Q35" s="13"/>
      <c r="R35" s="13"/>
      <c r="S35" s="13"/>
    </row>
    <row r="36" ht="14.25" customHeight="1">
      <c r="A36" s="6">
        <v>307.0</v>
      </c>
      <c r="B36" s="14" t="s">
        <v>207</v>
      </c>
      <c r="C36" s="14"/>
      <c r="D36" s="13" t="s">
        <v>390</v>
      </c>
      <c r="E36" s="13"/>
      <c r="F36" s="13"/>
      <c r="G36" s="13"/>
      <c r="H36" s="13"/>
      <c r="I36" s="13"/>
      <c r="J36" s="13"/>
      <c r="K36" s="13"/>
      <c r="L36" s="13"/>
      <c r="M36" s="13"/>
      <c r="N36" s="13"/>
      <c r="O36" s="13"/>
      <c r="P36" s="13"/>
      <c r="Q36" s="13"/>
      <c r="R36" s="13"/>
      <c r="S36" s="13"/>
    </row>
    <row r="37" ht="14.25" customHeight="1">
      <c r="A37" s="6">
        <v>308.0</v>
      </c>
      <c r="B37" s="14" t="s">
        <v>212</v>
      </c>
      <c r="C37" s="14"/>
      <c r="D37" s="13" t="s">
        <v>391</v>
      </c>
      <c r="E37" s="13"/>
      <c r="F37" s="13"/>
      <c r="G37" s="13"/>
      <c r="H37" s="13"/>
      <c r="I37" s="13"/>
      <c r="J37" s="13"/>
      <c r="K37" s="13"/>
      <c r="L37" s="13"/>
      <c r="M37" s="13"/>
      <c r="N37" s="13"/>
      <c r="O37" s="13"/>
      <c r="P37" s="13"/>
      <c r="Q37" s="13"/>
      <c r="R37" s="13"/>
      <c r="S37" s="13"/>
    </row>
    <row r="38" ht="14.25" customHeight="1">
      <c r="A38" s="6">
        <v>309.0</v>
      </c>
      <c r="B38" s="14" t="s">
        <v>218</v>
      </c>
      <c r="C38" s="14"/>
      <c r="D38" s="13" t="s">
        <v>392</v>
      </c>
      <c r="E38" s="13"/>
      <c r="F38" s="13"/>
      <c r="G38" s="13"/>
      <c r="H38" s="13"/>
      <c r="I38" s="13"/>
      <c r="J38" s="13"/>
      <c r="K38" s="13"/>
      <c r="L38" s="13"/>
      <c r="M38" s="13"/>
      <c r="N38" s="13"/>
      <c r="O38" s="13"/>
      <c r="P38" s="13"/>
      <c r="Q38" s="13"/>
      <c r="R38" s="13"/>
      <c r="S38" s="13"/>
    </row>
    <row r="39" ht="14.25" customHeight="1">
      <c r="A39" s="6">
        <v>310.0</v>
      </c>
      <c r="B39" s="14" t="s">
        <v>224</v>
      </c>
      <c r="C39" s="14"/>
      <c r="D39" s="13" t="s">
        <v>393</v>
      </c>
      <c r="E39" s="13"/>
      <c r="F39" s="13"/>
      <c r="G39" s="13"/>
      <c r="H39" s="13"/>
      <c r="I39" s="13"/>
      <c r="J39" s="13"/>
      <c r="K39" s="13"/>
      <c r="L39" s="13"/>
      <c r="M39" s="13"/>
      <c r="N39" s="13"/>
      <c r="O39" s="13"/>
      <c r="P39" s="13"/>
      <c r="Q39" s="13"/>
      <c r="R39" s="13"/>
      <c r="S39" s="13"/>
    </row>
    <row r="40" ht="14.25" customHeight="1">
      <c r="A40" s="6">
        <v>311.0</v>
      </c>
      <c r="B40" s="14" t="s">
        <v>228</v>
      </c>
      <c r="C40" s="14"/>
      <c r="D40" s="13" t="s">
        <v>394</v>
      </c>
      <c r="E40" s="13"/>
      <c r="F40" s="13"/>
      <c r="G40" s="13"/>
      <c r="H40" s="13"/>
      <c r="I40" s="13"/>
      <c r="J40" s="13"/>
      <c r="K40" s="13"/>
      <c r="L40" s="13"/>
      <c r="M40" s="13"/>
      <c r="N40" s="13"/>
      <c r="O40" s="13"/>
      <c r="P40" s="13"/>
      <c r="Q40" s="13"/>
      <c r="R40" s="13"/>
      <c r="S40" s="13"/>
    </row>
    <row r="41" ht="14.25" customHeight="1">
      <c r="A41" s="6">
        <v>312.0</v>
      </c>
      <c r="B41" s="14" t="s">
        <v>232</v>
      </c>
      <c r="C41" s="14"/>
      <c r="D41" s="13" t="s">
        <v>395</v>
      </c>
      <c r="E41" s="13"/>
      <c r="F41" s="13"/>
      <c r="G41" s="13"/>
      <c r="H41" s="13"/>
      <c r="I41" s="13"/>
      <c r="J41" s="13"/>
      <c r="K41" s="13"/>
      <c r="L41" s="13"/>
      <c r="M41" s="13"/>
      <c r="N41" s="13"/>
      <c r="O41" s="13"/>
      <c r="P41" s="13"/>
      <c r="Q41" s="13"/>
      <c r="R41" s="13"/>
      <c r="S41" s="13"/>
    </row>
    <row r="42" ht="14.25" customHeight="1">
      <c r="A42" s="6">
        <v>313.0</v>
      </c>
      <c r="B42" s="14" t="s">
        <v>237</v>
      </c>
      <c r="C42" s="14"/>
      <c r="D42" s="13" t="s">
        <v>396</v>
      </c>
      <c r="E42" s="13"/>
      <c r="F42" s="13"/>
      <c r="G42" s="13"/>
      <c r="H42" s="13"/>
      <c r="I42" s="13"/>
      <c r="J42" s="13"/>
      <c r="K42" s="13"/>
      <c r="L42" s="13"/>
      <c r="M42" s="13"/>
      <c r="N42" s="13"/>
      <c r="O42" s="13"/>
      <c r="P42" s="13"/>
      <c r="Q42" s="13"/>
      <c r="R42" s="13"/>
      <c r="S42" s="13"/>
    </row>
    <row r="43" ht="14.25" customHeight="1">
      <c r="A43" s="6">
        <v>314.0</v>
      </c>
      <c r="B43" s="14" t="s">
        <v>243</v>
      </c>
      <c r="C43" s="14"/>
      <c r="D43" s="13" t="s">
        <v>397</v>
      </c>
      <c r="E43" s="13"/>
      <c r="F43" s="13"/>
      <c r="G43" s="13"/>
      <c r="H43" s="13"/>
      <c r="I43" s="13"/>
      <c r="J43" s="13"/>
      <c r="K43" s="13"/>
      <c r="L43" s="13"/>
      <c r="M43" s="13"/>
      <c r="N43" s="13"/>
      <c r="O43" s="13"/>
      <c r="P43" s="13"/>
      <c r="Q43" s="13"/>
      <c r="R43" s="13"/>
      <c r="S43" s="13"/>
    </row>
    <row r="44" ht="14.25" customHeight="1">
      <c r="A44" s="6">
        <v>315.0</v>
      </c>
      <c r="B44" s="14" t="s">
        <v>247</v>
      </c>
      <c r="C44" s="14"/>
      <c r="D44" s="13" t="s">
        <v>398</v>
      </c>
      <c r="E44" s="13"/>
      <c r="F44" s="13"/>
      <c r="G44" s="13"/>
      <c r="H44" s="13"/>
      <c r="I44" s="13"/>
      <c r="J44" s="13"/>
      <c r="K44" s="13"/>
      <c r="L44" s="13"/>
      <c r="M44" s="13"/>
      <c r="N44" s="13"/>
      <c r="O44" s="13"/>
      <c r="P44" s="13"/>
      <c r="Q44" s="13"/>
      <c r="R44" s="13"/>
      <c r="S44" s="13"/>
    </row>
    <row r="45" ht="14.25" customHeight="1">
      <c r="A45" s="6">
        <v>316.0</v>
      </c>
      <c r="B45" s="14" t="s">
        <v>252</v>
      </c>
      <c r="C45" s="14"/>
      <c r="D45" s="13" t="s">
        <v>399</v>
      </c>
      <c r="E45" s="13"/>
      <c r="F45" s="13"/>
      <c r="G45" s="13"/>
      <c r="H45" s="13"/>
      <c r="I45" s="13"/>
      <c r="J45" s="13"/>
      <c r="K45" s="13"/>
      <c r="L45" s="13"/>
      <c r="M45" s="13"/>
      <c r="N45" s="13"/>
      <c r="O45" s="13"/>
      <c r="P45" s="13"/>
      <c r="Q45" s="13"/>
      <c r="R45" s="13"/>
      <c r="S45" s="13"/>
    </row>
    <row r="46" ht="14.25" customHeight="1">
      <c r="A46" s="6">
        <v>317.0</v>
      </c>
      <c r="B46" s="14" t="s">
        <v>257</v>
      </c>
      <c r="C46" s="14"/>
      <c r="D46" s="13" t="s">
        <v>400</v>
      </c>
      <c r="E46" s="13"/>
      <c r="F46" s="13"/>
      <c r="G46" s="13"/>
      <c r="H46" s="13"/>
      <c r="I46" s="13"/>
      <c r="J46" s="13"/>
      <c r="K46" s="13"/>
      <c r="L46" s="13"/>
      <c r="M46" s="13"/>
      <c r="N46" s="13"/>
      <c r="O46" s="13"/>
      <c r="P46" s="13"/>
      <c r="Q46" s="13"/>
      <c r="R46" s="13"/>
      <c r="S46" s="13"/>
    </row>
    <row r="47" ht="14.25" customHeight="1">
      <c r="A47" s="6">
        <v>318.0</v>
      </c>
      <c r="B47" s="14" t="s">
        <v>261</v>
      </c>
      <c r="C47" s="14"/>
      <c r="D47" s="13" t="s">
        <v>401</v>
      </c>
      <c r="E47" s="13"/>
      <c r="F47" s="13"/>
      <c r="G47" s="13"/>
      <c r="H47" s="13"/>
      <c r="I47" s="13"/>
      <c r="J47" s="13"/>
      <c r="K47" s="13"/>
      <c r="L47" s="13"/>
      <c r="M47" s="13"/>
      <c r="N47" s="13"/>
      <c r="O47" s="13"/>
      <c r="P47" s="13"/>
      <c r="Q47" s="13"/>
      <c r="R47" s="13"/>
      <c r="S47" s="13"/>
    </row>
    <row r="48" ht="14.25" customHeight="1">
      <c r="A48" s="6">
        <v>319.0</v>
      </c>
      <c r="B48" s="14" t="s">
        <v>266</v>
      </c>
      <c r="C48" s="14"/>
      <c r="D48" s="13" t="s">
        <v>402</v>
      </c>
      <c r="E48" s="13"/>
      <c r="F48" s="13"/>
      <c r="G48" s="13"/>
      <c r="H48" s="13"/>
      <c r="I48" s="13"/>
      <c r="J48" s="13"/>
      <c r="K48" s="13"/>
      <c r="L48" s="13"/>
      <c r="M48" s="13"/>
      <c r="N48" s="13"/>
      <c r="O48" s="13"/>
      <c r="P48" s="13"/>
      <c r="Q48" s="13"/>
      <c r="R48" s="13"/>
      <c r="S48" s="13"/>
    </row>
    <row r="49" ht="14.25" customHeight="1">
      <c r="A49" s="6">
        <v>320.0</v>
      </c>
      <c r="B49" s="14" t="s">
        <v>271</v>
      </c>
      <c r="C49" s="14"/>
      <c r="D49" s="13" t="s">
        <v>403</v>
      </c>
      <c r="E49" s="13"/>
      <c r="F49" s="13"/>
      <c r="G49" s="13"/>
      <c r="H49" s="13"/>
      <c r="I49" s="13"/>
      <c r="J49" s="13"/>
      <c r="K49" s="13"/>
      <c r="L49" s="13"/>
      <c r="M49" s="13"/>
      <c r="N49" s="13"/>
      <c r="O49" s="13"/>
      <c r="P49" s="13"/>
      <c r="Q49" s="13"/>
      <c r="R49" s="13"/>
      <c r="S49" s="13"/>
    </row>
    <row r="50" ht="14.25" customHeight="1">
      <c r="A50" s="6">
        <v>321.0</v>
      </c>
      <c r="B50" s="14" t="s">
        <v>276</v>
      </c>
      <c r="C50" s="14"/>
      <c r="D50" s="13" t="s">
        <v>404</v>
      </c>
      <c r="E50" s="13"/>
      <c r="F50" s="13"/>
      <c r="G50" s="13"/>
      <c r="H50" s="13"/>
      <c r="I50" s="13"/>
      <c r="J50" s="13"/>
      <c r="K50" s="13"/>
      <c r="L50" s="13"/>
      <c r="M50" s="13"/>
      <c r="N50" s="13"/>
      <c r="O50" s="13"/>
      <c r="P50" s="13"/>
      <c r="Q50" s="13"/>
      <c r="R50" s="13"/>
      <c r="S50" s="13"/>
    </row>
    <row r="51" ht="14.25" customHeight="1">
      <c r="A51" s="6">
        <v>322.0</v>
      </c>
      <c r="B51" s="14" t="s">
        <v>280</v>
      </c>
      <c r="C51" s="14"/>
      <c r="D51" s="13" t="s">
        <v>405</v>
      </c>
      <c r="E51" s="13"/>
      <c r="F51" s="13"/>
      <c r="G51" s="13"/>
      <c r="H51" s="13"/>
      <c r="I51" s="13"/>
      <c r="J51" s="13"/>
      <c r="K51" s="13"/>
      <c r="L51" s="13"/>
      <c r="M51" s="13"/>
      <c r="N51" s="13"/>
      <c r="O51" s="13"/>
      <c r="P51" s="13"/>
      <c r="Q51" s="13"/>
      <c r="R51" s="13"/>
      <c r="S51" s="13"/>
    </row>
    <row r="52" ht="14.25" customHeight="1">
      <c r="A52" s="6">
        <v>401.0</v>
      </c>
      <c r="B52" s="15" t="s">
        <v>159</v>
      </c>
      <c r="F52" s="13"/>
      <c r="G52" s="13"/>
      <c r="H52" s="13"/>
      <c r="I52" s="13"/>
      <c r="J52" s="13"/>
      <c r="K52" s="13"/>
      <c r="L52" s="13"/>
      <c r="M52" s="13"/>
      <c r="N52" s="13"/>
      <c r="O52" s="13"/>
      <c r="P52" s="13"/>
      <c r="Q52" s="13"/>
      <c r="R52" s="13"/>
      <c r="S52" s="13"/>
    </row>
    <row r="53" ht="14.25" customHeight="1">
      <c r="A53" s="6">
        <v>402.0</v>
      </c>
      <c r="B53" s="15" t="s">
        <v>163</v>
      </c>
      <c r="F53" s="13"/>
      <c r="G53" s="13"/>
      <c r="H53" s="13"/>
      <c r="I53" s="13"/>
      <c r="J53" s="13"/>
      <c r="K53" s="13"/>
      <c r="L53" s="13"/>
      <c r="M53" s="13"/>
      <c r="N53" s="13"/>
      <c r="O53" s="13"/>
      <c r="P53" s="13"/>
      <c r="Q53" s="13"/>
      <c r="R53" s="13"/>
      <c r="S53" s="13"/>
    </row>
    <row r="54" ht="14.25" customHeight="1">
      <c r="A54" s="6">
        <v>403.0</v>
      </c>
      <c r="B54" s="15" t="s">
        <v>167</v>
      </c>
      <c r="F54" s="13"/>
      <c r="G54" s="13"/>
      <c r="H54" s="13"/>
      <c r="I54" s="13"/>
      <c r="J54" s="13"/>
      <c r="K54" s="13"/>
      <c r="L54" s="13"/>
      <c r="M54" s="13"/>
      <c r="N54" s="13"/>
      <c r="O54" s="13"/>
      <c r="P54" s="13"/>
      <c r="Q54" s="13"/>
      <c r="R54" s="13"/>
      <c r="S54" s="13"/>
    </row>
    <row r="55" ht="14.25" customHeight="1">
      <c r="A55" s="6">
        <v>404.0</v>
      </c>
      <c r="B55" s="15" t="s">
        <v>171</v>
      </c>
      <c r="F55" s="13"/>
      <c r="G55" s="13"/>
      <c r="H55" s="13"/>
      <c r="I55" s="13"/>
      <c r="J55" s="13"/>
      <c r="K55" s="13"/>
      <c r="L55" s="13"/>
      <c r="M55" s="13"/>
      <c r="N55" s="13"/>
      <c r="O55" s="13"/>
      <c r="P55" s="13"/>
      <c r="Q55" s="13"/>
      <c r="R55" s="13"/>
      <c r="S55"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7.13"/>
    <col customWidth="1" min="3" max="3" width="38.38"/>
    <col customWidth="1" min="6" max="6" width="46.88"/>
  </cols>
  <sheetData>
    <row r="1">
      <c r="A1" s="16" t="s">
        <v>406</v>
      </c>
      <c r="B1" s="16">
        <v>101.0</v>
      </c>
      <c r="C1" s="16" t="s">
        <v>118</v>
      </c>
      <c r="D1" s="10"/>
      <c r="E1" s="10"/>
      <c r="G1" s="10"/>
      <c r="H1" s="10"/>
      <c r="I1" s="10"/>
      <c r="J1" s="10"/>
      <c r="K1" s="10"/>
      <c r="L1" s="10"/>
      <c r="M1" s="10"/>
      <c r="N1" s="10"/>
      <c r="O1" s="10"/>
      <c r="P1" s="10"/>
      <c r="Q1" s="10"/>
      <c r="R1" s="10"/>
      <c r="S1" s="10"/>
      <c r="T1" s="10"/>
      <c r="U1" s="10"/>
      <c r="V1" s="10"/>
      <c r="W1" s="10"/>
      <c r="X1" s="10"/>
      <c r="Y1" s="10"/>
      <c r="Z1" s="10"/>
    </row>
    <row r="2">
      <c r="A2" s="16" t="s">
        <v>407</v>
      </c>
      <c r="B2" s="16">
        <v>102.0</v>
      </c>
      <c r="C2" s="16" t="s">
        <v>408</v>
      </c>
      <c r="D2" s="10"/>
      <c r="E2" s="10"/>
      <c r="G2" s="10"/>
      <c r="H2" s="10"/>
      <c r="I2" s="10"/>
      <c r="J2" s="10"/>
      <c r="K2" s="10"/>
      <c r="L2" s="10"/>
      <c r="M2" s="10"/>
      <c r="N2" s="10"/>
      <c r="O2" s="10"/>
      <c r="P2" s="10"/>
      <c r="Q2" s="10"/>
      <c r="R2" s="10"/>
      <c r="S2" s="10"/>
      <c r="T2" s="10"/>
      <c r="U2" s="10"/>
      <c r="V2" s="10"/>
      <c r="W2" s="10"/>
      <c r="X2" s="10"/>
      <c r="Y2" s="10"/>
      <c r="Z2" s="10"/>
    </row>
    <row r="3">
      <c r="A3" s="16" t="s">
        <v>409</v>
      </c>
      <c r="B3" s="16">
        <v>103.0</v>
      </c>
      <c r="C3" s="16" t="s">
        <v>46</v>
      </c>
      <c r="D3" s="10"/>
      <c r="E3" s="10"/>
      <c r="G3" s="10"/>
      <c r="H3" s="10"/>
      <c r="I3" s="10"/>
      <c r="J3" s="10"/>
      <c r="K3" s="10"/>
      <c r="L3" s="10"/>
      <c r="M3" s="10"/>
      <c r="N3" s="10"/>
      <c r="O3" s="10"/>
      <c r="P3" s="10"/>
      <c r="Q3" s="10"/>
      <c r="R3" s="10"/>
      <c r="S3" s="10"/>
      <c r="T3" s="10"/>
      <c r="U3" s="10"/>
      <c r="V3" s="10"/>
      <c r="W3" s="10"/>
      <c r="X3" s="10"/>
      <c r="Y3" s="10"/>
      <c r="Z3" s="10"/>
    </row>
    <row r="4">
      <c r="A4" s="16" t="s">
        <v>410</v>
      </c>
      <c r="B4" s="16">
        <v>104.0</v>
      </c>
      <c r="C4" s="16" t="s">
        <v>46</v>
      </c>
      <c r="D4" s="10"/>
      <c r="E4" s="10"/>
      <c r="G4" s="10"/>
      <c r="H4" s="10"/>
      <c r="I4" s="10"/>
      <c r="J4" s="10"/>
      <c r="K4" s="10"/>
      <c r="L4" s="10"/>
      <c r="M4" s="10"/>
      <c r="N4" s="10"/>
      <c r="O4" s="10"/>
      <c r="P4" s="10"/>
      <c r="Q4" s="10"/>
      <c r="R4" s="10"/>
      <c r="S4" s="10"/>
      <c r="T4" s="10"/>
      <c r="U4" s="10"/>
      <c r="V4" s="10"/>
      <c r="W4" s="10"/>
      <c r="X4" s="10"/>
      <c r="Y4" s="10"/>
      <c r="Z4" s="10"/>
    </row>
    <row r="5">
      <c r="A5" s="16" t="s">
        <v>411</v>
      </c>
      <c r="B5" s="16">
        <v>105.0</v>
      </c>
      <c r="C5" s="16" t="s">
        <v>36</v>
      </c>
      <c r="D5" s="10"/>
      <c r="E5" s="10"/>
      <c r="G5" s="10"/>
      <c r="H5" s="10"/>
      <c r="I5" s="10"/>
      <c r="J5" s="10"/>
      <c r="K5" s="10"/>
      <c r="L5" s="10"/>
      <c r="M5" s="10"/>
      <c r="N5" s="10"/>
      <c r="O5" s="10"/>
      <c r="P5" s="10"/>
      <c r="Q5" s="10"/>
      <c r="R5" s="10"/>
      <c r="S5" s="10"/>
      <c r="T5" s="10"/>
      <c r="U5" s="10"/>
      <c r="V5" s="10"/>
      <c r="W5" s="10"/>
      <c r="X5" s="10"/>
      <c r="Y5" s="10"/>
      <c r="Z5" s="10"/>
    </row>
    <row r="6">
      <c r="A6" s="16" t="s">
        <v>412</v>
      </c>
      <c r="B6" s="16">
        <v>106.0</v>
      </c>
      <c r="C6" s="16" t="s">
        <v>36</v>
      </c>
      <c r="D6" s="10"/>
      <c r="E6" s="10"/>
      <c r="G6" s="10"/>
      <c r="H6" s="10"/>
      <c r="I6" s="10"/>
      <c r="J6" s="10"/>
      <c r="K6" s="10"/>
      <c r="L6" s="10"/>
      <c r="M6" s="10"/>
      <c r="N6" s="10"/>
      <c r="O6" s="10"/>
      <c r="P6" s="10"/>
      <c r="Q6" s="10"/>
      <c r="R6" s="10"/>
      <c r="S6" s="10"/>
      <c r="T6" s="10"/>
      <c r="U6" s="10"/>
      <c r="V6" s="10"/>
      <c r="W6" s="10"/>
      <c r="X6" s="10"/>
      <c r="Y6" s="10"/>
      <c r="Z6" s="10"/>
    </row>
    <row r="7">
      <c r="A7" s="16" t="s">
        <v>413</v>
      </c>
      <c r="B7" s="16">
        <v>107.0</v>
      </c>
      <c r="C7" s="16" t="s">
        <v>99</v>
      </c>
      <c r="D7" s="10"/>
      <c r="E7" s="10"/>
      <c r="G7" s="10"/>
      <c r="H7" s="10"/>
      <c r="I7" s="10"/>
      <c r="J7" s="10"/>
      <c r="K7" s="10"/>
      <c r="L7" s="10"/>
      <c r="M7" s="10"/>
      <c r="N7" s="10"/>
      <c r="O7" s="10"/>
      <c r="P7" s="10"/>
      <c r="Q7" s="10"/>
      <c r="R7" s="10"/>
      <c r="S7" s="10"/>
      <c r="T7" s="10"/>
      <c r="U7" s="10"/>
      <c r="V7" s="10"/>
      <c r="W7" s="10"/>
      <c r="X7" s="10"/>
      <c r="Y7" s="10"/>
      <c r="Z7" s="10"/>
    </row>
    <row r="8">
      <c r="A8" s="16" t="s">
        <v>414</v>
      </c>
      <c r="B8" s="16">
        <v>108.0</v>
      </c>
      <c r="C8" s="16" t="s">
        <v>99</v>
      </c>
      <c r="D8" s="10"/>
      <c r="E8" s="10"/>
      <c r="G8" s="10"/>
      <c r="H8" s="10"/>
      <c r="I8" s="10"/>
      <c r="J8" s="10"/>
      <c r="K8" s="10"/>
      <c r="L8" s="10"/>
      <c r="M8" s="10"/>
      <c r="N8" s="10"/>
      <c r="O8" s="10"/>
      <c r="P8" s="10"/>
      <c r="Q8" s="10"/>
      <c r="R8" s="10"/>
      <c r="S8" s="10"/>
      <c r="T8" s="10"/>
      <c r="U8" s="10"/>
      <c r="V8" s="10"/>
      <c r="W8" s="10"/>
      <c r="X8" s="10"/>
      <c r="Y8" s="10"/>
      <c r="Z8" s="10"/>
    </row>
    <row r="9">
      <c r="A9" s="16" t="s">
        <v>415</v>
      </c>
      <c r="B9" s="16">
        <v>109.0</v>
      </c>
      <c r="C9" s="16" t="s">
        <v>46</v>
      </c>
      <c r="D9" s="10"/>
      <c r="E9" s="10"/>
      <c r="G9" s="10"/>
      <c r="H9" s="10"/>
      <c r="I9" s="10"/>
      <c r="J9" s="10"/>
      <c r="K9" s="10"/>
      <c r="L9" s="10"/>
      <c r="M9" s="10"/>
      <c r="N9" s="10"/>
      <c r="O9" s="10"/>
      <c r="P9" s="10"/>
      <c r="Q9" s="10"/>
      <c r="R9" s="10"/>
      <c r="S9" s="10"/>
      <c r="T9" s="10"/>
      <c r="U9" s="10"/>
      <c r="V9" s="10"/>
      <c r="W9" s="10"/>
      <c r="X9" s="10"/>
      <c r="Y9" s="10"/>
      <c r="Z9" s="10"/>
    </row>
    <row r="10">
      <c r="A10" s="16" t="s">
        <v>406</v>
      </c>
      <c r="B10" s="16">
        <v>110.0</v>
      </c>
      <c r="C10" s="16" t="s">
        <v>99</v>
      </c>
      <c r="D10" s="10"/>
      <c r="E10" s="10"/>
      <c r="G10" s="10"/>
      <c r="H10" s="10"/>
      <c r="I10" s="10"/>
      <c r="J10" s="10"/>
      <c r="K10" s="10"/>
      <c r="L10" s="10"/>
      <c r="M10" s="10"/>
      <c r="N10" s="10"/>
      <c r="O10" s="10"/>
      <c r="P10" s="10"/>
      <c r="Q10" s="10"/>
      <c r="R10" s="10"/>
      <c r="S10" s="10"/>
      <c r="T10" s="10"/>
      <c r="U10" s="10"/>
      <c r="V10" s="10"/>
      <c r="W10" s="10"/>
      <c r="X10" s="10"/>
      <c r="Y10" s="10"/>
      <c r="Z10" s="10"/>
    </row>
    <row r="11">
      <c r="A11" s="16" t="s">
        <v>406</v>
      </c>
      <c r="B11" s="16">
        <v>111.0</v>
      </c>
      <c r="C11" s="16" t="s">
        <v>416</v>
      </c>
      <c r="D11" s="10"/>
      <c r="E11" s="10"/>
      <c r="G11" s="10"/>
      <c r="H11" s="10"/>
      <c r="I11" s="10"/>
      <c r="J11" s="10"/>
      <c r="K11" s="10"/>
      <c r="L11" s="10"/>
      <c r="M11" s="10"/>
      <c r="N11" s="10"/>
      <c r="O11" s="10"/>
      <c r="P11" s="10"/>
      <c r="Q11" s="10"/>
      <c r="R11" s="10"/>
      <c r="S11" s="10"/>
      <c r="T11" s="10"/>
      <c r="U11" s="10"/>
      <c r="V11" s="10"/>
      <c r="W11" s="10"/>
      <c r="X11" s="10"/>
      <c r="Y11" s="10"/>
      <c r="Z11" s="10"/>
    </row>
    <row r="12">
      <c r="A12" s="16" t="s">
        <v>406</v>
      </c>
      <c r="B12" s="16">
        <v>112.0</v>
      </c>
      <c r="C12" s="16" t="s">
        <v>417</v>
      </c>
      <c r="D12" s="10"/>
      <c r="E12" s="10"/>
      <c r="G12" s="10"/>
      <c r="H12" s="10"/>
      <c r="I12" s="10"/>
      <c r="J12" s="10"/>
      <c r="K12" s="10"/>
      <c r="L12" s="10"/>
      <c r="M12" s="10"/>
      <c r="N12" s="10"/>
      <c r="O12" s="10"/>
      <c r="P12" s="10"/>
      <c r="Q12" s="10"/>
      <c r="R12" s="10"/>
      <c r="S12" s="10"/>
      <c r="T12" s="10"/>
      <c r="U12" s="10"/>
      <c r="V12" s="10"/>
      <c r="W12" s="10"/>
      <c r="X12" s="10"/>
      <c r="Y12" s="10"/>
      <c r="Z12" s="10"/>
    </row>
    <row r="13">
      <c r="A13" s="16" t="s">
        <v>406</v>
      </c>
      <c r="B13" s="16">
        <v>113.0</v>
      </c>
      <c r="C13" s="16" t="s">
        <v>139</v>
      </c>
      <c r="D13" s="10"/>
      <c r="E13" s="10"/>
      <c r="G13" s="10"/>
      <c r="H13" s="10"/>
      <c r="I13" s="10"/>
      <c r="J13" s="10"/>
      <c r="K13" s="10"/>
      <c r="L13" s="10"/>
      <c r="M13" s="10"/>
      <c r="N13" s="10"/>
      <c r="O13" s="10"/>
      <c r="P13" s="10"/>
      <c r="Q13" s="10"/>
      <c r="R13" s="10"/>
      <c r="S13" s="10"/>
      <c r="T13" s="10"/>
      <c r="U13" s="10"/>
      <c r="V13" s="10"/>
      <c r="W13" s="10"/>
      <c r="X13" s="10"/>
      <c r="Y13" s="10"/>
      <c r="Z13" s="10"/>
    </row>
    <row r="14">
      <c r="A14" s="16" t="s">
        <v>406</v>
      </c>
      <c r="B14" s="16">
        <v>114.0</v>
      </c>
      <c r="C14" s="16" t="s">
        <v>139</v>
      </c>
      <c r="D14" s="10"/>
      <c r="E14" s="10"/>
      <c r="G14" s="10"/>
      <c r="H14" s="10"/>
      <c r="I14" s="10"/>
      <c r="J14" s="10"/>
      <c r="K14" s="10"/>
      <c r="L14" s="10"/>
      <c r="M14" s="10"/>
      <c r="N14" s="10"/>
      <c r="O14" s="10"/>
      <c r="P14" s="10"/>
      <c r="Q14" s="10"/>
      <c r="R14" s="10"/>
      <c r="S14" s="10"/>
      <c r="T14" s="10"/>
      <c r="U14" s="10"/>
      <c r="V14" s="10"/>
      <c r="W14" s="10"/>
      <c r="X14" s="10"/>
      <c r="Y14" s="10"/>
      <c r="Z14" s="10"/>
    </row>
    <row r="15">
      <c r="A15" s="16" t="s">
        <v>406</v>
      </c>
      <c r="B15" s="16">
        <v>115.0</v>
      </c>
      <c r="C15" s="16" t="s">
        <v>418</v>
      </c>
      <c r="D15" s="10"/>
      <c r="E15" s="10"/>
      <c r="G15" s="10"/>
      <c r="H15" s="10"/>
      <c r="I15" s="10"/>
      <c r="J15" s="10"/>
      <c r="K15" s="10"/>
      <c r="L15" s="10"/>
      <c r="M15" s="10"/>
      <c r="N15" s="10"/>
      <c r="O15" s="10"/>
      <c r="P15" s="10"/>
      <c r="Q15" s="10"/>
      <c r="R15" s="10"/>
      <c r="S15" s="10"/>
      <c r="T15" s="10"/>
      <c r="U15" s="10"/>
      <c r="V15" s="10"/>
      <c r="W15" s="10"/>
      <c r="X15" s="10"/>
      <c r="Y15" s="10"/>
      <c r="Z15" s="10"/>
    </row>
    <row r="16">
      <c r="A16" s="16" t="s">
        <v>406</v>
      </c>
      <c r="B16" s="16">
        <v>116.0</v>
      </c>
      <c r="C16" s="16" t="s">
        <v>64</v>
      </c>
      <c r="D16" s="10"/>
      <c r="E16" s="10"/>
      <c r="G16" s="10"/>
      <c r="H16" s="10"/>
      <c r="I16" s="10"/>
      <c r="J16" s="10"/>
      <c r="K16" s="10"/>
      <c r="L16" s="10"/>
      <c r="M16" s="10"/>
      <c r="N16" s="10"/>
      <c r="O16" s="10"/>
      <c r="P16" s="10"/>
      <c r="Q16" s="10"/>
      <c r="R16" s="10"/>
      <c r="S16" s="10"/>
      <c r="T16" s="10"/>
      <c r="U16" s="10"/>
      <c r="V16" s="10"/>
      <c r="W16" s="10"/>
      <c r="X16" s="10"/>
      <c r="Y16" s="10"/>
      <c r="Z16" s="10"/>
    </row>
    <row r="17">
      <c r="A17" s="16" t="s">
        <v>406</v>
      </c>
      <c r="B17" s="16">
        <v>117.0</v>
      </c>
      <c r="C17" s="16" t="s">
        <v>59</v>
      </c>
      <c r="D17" s="10"/>
      <c r="E17" s="10"/>
      <c r="G17" s="10"/>
      <c r="H17" s="10"/>
      <c r="I17" s="10"/>
      <c r="J17" s="10"/>
      <c r="K17" s="10"/>
      <c r="L17" s="10"/>
      <c r="M17" s="10"/>
      <c r="N17" s="10"/>
      <c r="O17" s="10"/>
      <c r="P17" s="10"/>
      <c r="Q17" s="10"/>
      <c r="R17" s="10"/>
      <c r="S17" s="10"/>
      <c r="T17" s="10"/>
      <c r="U17" s="10"/>
      <c r="V17" s="10"/>
      <c r="W17" s="10"/>
      <c r="X17" s="10"/>
      <c r="Y17" s="10"/>
      <c r="Z17" s="10"/>
    </row>
    <row r="18">
      <c r="A18" s="16" t="s">
        <v>406</v>
      </c>
      <c r="B18" s="16">
        <v>118.0</v>
      </c>
      <c r="C18" s="16" t="s">
        <v>84</v>
      </c>
      <c r="D18" s="10"/>
      <c r="E18" s="10"/>
      <c r="G18" s="10"/>
      <c r="H18" s="10"/>
      <c r="I18" s="10"/>
      <c r="J18" s="10"/>
      <c r="K18" s="10"/>
      <c r="L18" s="10"/>
      <c r="M18" s="10"/>
      <c r="N18" s="10"/>
      <c r="O18" s="10"/>
      <c r="P18" s="10"/>
      <c r="Q18" s="10"/>
      <c r="R18" s="10"/>
      <c r="S18" s="10"/>
      <c r="T18" s="10"/>
      <c r="U18" s="10"/>
      <c r="V18" s="10"/>
      <c r="W18" s="10"/>
      <c r="X18" s="10"/>
      <c r="Y18" s="10"/>
      <c r="Z18" s="10"/>
    </row>
    <row r="19">
      <c r="A19" s="16" t="s">
        <v>406</v>
      </c>
      <c r="B19" s="16">
        <v>119.0</v>
      </c>
      <c r="C19" s="16" t="s">
        <v>419</v>
      </c>
      <c r="D19" s="10"/>
      <c r="E19" s="10"/>
      <c r="G19" s="10"/>
      <c r="H19" s="10"/>
      <c r="I19" s="10"/>
      <c r="J19" s="10"/>
      <c r="K19" s="10"/>
      <c r="L19" s="10"/>
      <c r="M19" s="10"/>
      <c r="N19" s="10"/>
      <c r="O19" s="10"/>
      <c r="P19" s="10"/>
      <c r="Q19" s="10"/>
      <c r="R19" s="10"/>
      <c r="S19" s="10"/>
      <c r="T19" s="10"/>
      <c r="U19" s="10"/>
      <c r="V19" s="10"/>
      <c r="W19" s="10"/>
      <c r="X19" s="10"/>
      <c r="Y19" s="10"/>
      <c r="Z19" s="10"/>
    </row>
    <row r="20">
      <c r="A20" s="16" t="s">
        <v>406</v>
      </c>
      <c r="B20" s="16">
        <v>120.0</v>
      </c>
      <c r="C20" s="16" t="s">
        <v>419</v>
      </c>
      <c r="D20" s="10"/>
      <c r="E20" s="10"/>
      <c r="G20" s="10"/>
      <c r="H20" s="10"/>
      <c r="I20" s="10"/>
      <c r="J20" s="10"/>
      <c r="K20" s="10"/>
      <c r="L20" s="10"/>
      <c r="M20" s="10"/>
      <c r="N20" s="10"/>
      <c r="O20" s="10"/>
      <c r="P20" s="10"/>
      <c r="Q20" s="10"/>
      <c r="R20" s="10"/>
      <c r="S20" s="10"/>
      <c r="T20" s="10"/>
      <c r="U20" s="10"/>
      <c r="V20" s="10"/>
      <c r="W20" s="10"/>
      <c r="X20" s="10"/>
      <c r="Y20" s="10"/>
      <c r="Z20" s="10"/>
    </row>
    <row r="21">
      <c r="A21" s="16" t="s">
        <v>406</v>
      </c>
      <c r="B21" s="16">
        <v>121.0</v>
      </c>
      <c r="C21" s="17" t="s">
        <v>419</v>
      </c>
      <c r="D21" s="10"/>
      <c r="E21" s="10"/>
      <c r="G21" s="10"/>
      <c r="H21" s="10"/>
      <c r="I21" s="10"/>
      <c r="J21" s="10"/>
      <c r="K21" s="10"/>
      <c r="L21" s="10"/>
      <c r="M21" s="10"/>
      <c r="N21" s="10"/>
      <c r="O21" s="10"/>
      <c r="P21" s="10"/>
      <c r="Q21" s="10"/>
      <c r="R21" s="10"/>
      <c r="S21" s="10"/>
      <c r="T21" s="10"/>
      <c r="U21" s="10"/>
      <c r="V21" s="10"/>
      <c r="W21" s="10"/>
      <c r="X21" s="10"/>
      <c r="Y21" s="10"/>
      <c r="Z21" s="10"/>
    </row>
    <row r="22">
      <c r="A22" s="16" t="s">
        <v>406</v>
      </c>
      <c r="B22" s="16">
        <v>122.0</v>
      </c>
      <c r="C22" s="17" t="s">
        <v>235</v>
      </c>
      <c r="D22" s="10"/>
      <c r="E22" s="10"/>
      <c r="G22" s="10"/>
      <c r="H22" s="10"/>
      <c r="I22" s="10"/>
      <c r="J22" s="10"/>
      <c r="K22" s="10"/>
      <c r="L22" s="10"/>
      <c r="M22" s="10"/>
      <c r="N22" s="10"/>
      <c r="O22" s="10"/>
      <c r="P22" s="10"/>
      <c r="Q22" s="10"/>
      <c r="R22" s="10"/>
      <c r="S22" s="10"/>
      <c r="T22" s="10"/>
      <c r="U22" s="10"/>
      <c r="V22" s="10"/>
      <c r="W22" s="10"/>
      <c r="X22" s="10"/>
      <c r="Y22" s="10"/>
      <c r="Z22" s="10"/>
    </row>
    <row r="23">
      <c r="A23" s="16" t="s">
        <v>406</v>
      </c>
      <c r="B23" s="16">
        <v>123.0</v>
      </c>
      <c r="C23" s="17" t="s">
        <v>235</v>
      </c>
      <c r="D23" s="10"/>
      <c r="E23" s="10"/>
      <c r="G23" s="10"/>
      <c r="H23" s="10"/>
      <c r="I23" s="10"/>
      <c r="J23" s="10"/>
      <c r="K23" s="10"/>
      <c r="L23" s="10"/>
      <c r="M23" s="10"/>
      <c r="N23" s="10"/>
      <c r="O23" s="10"/>
      <c r="P23" s="10"/>
      <c r="Q23" s="10"/>
      <c r="R23" s="10"/>
      <c r="S23" s="10"/>
      <c r="T23" s="10"/>
      <c r="U23" s="10"/>
      <c r="V23" s="10"/>
      <c r="W23" s="10"/>
      <c r="X23" s="10"/>
      <c r="Y23" s="10"/>
      <c r="Z23" s="10"/>
    </row>
    <row r="24">
      <c r="A24" s="16" t="s">
        <v>406</v>
      </c>
      <c r="B24" s="16">
        <v>124.0</v>
      </c>
      <c r="C24" s="16" t="s">
        <v>235</v>
      </c>
      <c r="D24" s="10"/>
      <c r="E24" s="10"/>
      <c r="G24" s="10"/>
      <c r="H24" s="10"/>
      <c r="I24" s="10"/>
      <c r="J24" s="10"/>
      <c r="K24" s="10"/>
      <c r="L24" s="10"/>
      <c r="M24" s="10"/>
      <c r="N24" s="10"/>
      <c r="O24" s="10"/>
      <c r="P24" s="10"/>
      <c r="Q24" s="10"/>
      <c r="R24" s="10"/>
      <c r="S24" s="10"/>
      <c r="T24" s="10"/>
      <c r="U24" s="10"/>
      <c r="V24" s="10"/>
      <c r="W24" s="10"/>
      <c r="X24" s="10"/>
      <c r="Y24" s="10"/>
      <c r="Z24" s="10"/>
    </row>
    <row r="25">
      <c r="A25" s="16" t="s">
        <v>406</v>
      </c>
      <c r="B25" s="16">
        <v>125.0</v>
      </c>
      <c r="C25" s="16" t="s">
        <v>420</v>
      </c>
      <c r="D25" s="10"/>
      <c r="E25" s="10"/>
      <c r="G25" s="10"/>
      <c r="H25" s="10"/>
      <c r="I25" s="10"/>
      <c r="J25" s="10"/>
      <c r="K25" s="10"/>
      <c r="L25" s="10"/>
      <c r="M25" s="10"/>
      <c r="N25" s="10"/>
      <c r="O25" s="10"/>
      <c r="P25" s="10"/>
      <c r="Q25" s="10"/>
      <c r="R25" s="10"/>
      <c r="S25" s="10"/>
      <c r="T25" s="10"/>
      <c r="U25" s="10"/>
      <c r="V25" s="10"/>
      <c r="W25" s="10"/>
      <c r="X25" s="10"/>
      <c r="Y25" s="10"/>
      <c r="Z25" s="10"/>
    </row>
    <row r="26">
      <c r="A26" s="16" t="s">
        <v>406</v>
      </c>
      <c r="B26" s="16">
        <v>126.0</v>
      </c>
      <c r="C26" s="16" t="s">
        <v>420</v>
      </c>
      <c r="D26" s="10"/>
      <c r="E26" s="10"/>
      <c r="G26" s="10"/>
      <c r="H26" s="10"/>
      <c r="I26" s="10"/>
      <c r="J26" s="10"/>
      <c r="K26" s="10"/>
      <c r="L26" s="10"/>
      <c r="M26" s="10"/>
      <c r="N26" s="10"/>
      <c r="O26" s="10"/>
      <c r="P26" s="10"/>
      <c r="Q26" s="10"/>
      <c r="R26" s="10"/>
      <c r="S26" s="10"/>
      <c r="T26" s="10"/>
      <c r="U26" s="10"/>
      <c r="V26" s="10"/>
      <c r="W26" s="10"/>
      <c r="X26" s="10"/>
      <c r="Y26" s="10"/>
      <c r="Z26" s="10"/>
    </row>
    <row r="27">
      <c r="A27" s="16" t="s">
        <v>406</v>
      </c>
      <c r="B27" s="16">
        <v>127.0</v>
      </c>
      <c r="C27" s="16" t="s">
        <v>421</v>
      </c>
      <c r="D27" s="10"/>
      <c r="E27" s="10"/>
      <c r="G27" s="10"/>
      <c r="H27" s="10"/>
      <c r="I27" s="10"/>
      <c r="J27" s="10"/>
      <c r="K27" s="10"/>
      <c r="L27" s="10"/>
      <c r="M27" s="10"/>
      <c r="N27" s="10"/>
      <c r="O27" s="10"/>
      <c r="P27" s="10"/>
      <c r="Q27" s="10"/>
      <c r="R27" s="10"/>
      <c r="S27" s="10"/>
      <c r="T27" s="10"/>
      <c r="U27" s="10"/>
      <c r="V27" s="10"/>
      <c r="W27" s="10"/>
      <c r="X27" s="10"/>
      <c r="Y27" s="10"/>
      <c r="Z27" s="10"/>
    </row>
    <row r="28">
      <c r="A28" s="16" t="s">
        <v>406</v>
      </c>
      <c r="B28" s="16">
        <v>128.0</v>
      </c>
      <c r="C28" s="16" t="s">
        <v>422</v>
      </c>
      <c r="D28" s="10"/>
      <c r="E28" s="10"/>
      <c r="G28" s="10"/>
      <c r="H28" s="10"/>
      <c r="I28" s="10"/>
      <c r="J28" s="10"/>
      <c r="K28" s="10"/>
      <c r="L28" s="10"/>
      <c r="M28" s="10"/>
      <c r="N28" s="10"/>
      <c r="O28" s="10"/>
      <c r="P28" s="10"/>
      <c r="Q28" s="10"/>
      <c r="R28" s="10"/>
      <c r="S28" s="10"/>
      <c r="T28" s="10"/>
      <c r="U28" s="10"/>
      <c r="V28" s="10"/>
      <c r="W28" s="10"/>
      <c r="X28" s="10"/>
      <c r="Y28" s="10"/>
      <c r="Z28" s="10"/>
    </row>
    <row r="29">
      <c r="A29" s="16" t="s">
        <v>406</v>
      </c>
      <c r="B29" s="16">
        <v>129.0</v>
      </c>
      <c r="C29" s="16" t="s">
        <v>150</v>
      </c>
      <c r="D29" s="10"/>
      <c r="E29" s="10"/>
      <c r="G29" s="10"/>
      <c r="H29" s="10"/>
      <c r="I29" s="10"/>
      <c r="J29" s="10"/>
      <c r="K29" s="10"/>
      <c r="L29" s="10"/>
      <c r="M29" s="10"/>
      <c r="N29" s="10"/>
      <c r="O29" s="10"/>
      <c r="P29" s="10"/>
      <c r="Q29" s="10"/>
      <c r="R29" s="10"/>
      <c r="S29" s="10"/>
      <c r="T29" s="10"/>
      <c r="U29" s="10"/>
      <c r="V29" s="10"/>
      <c r="W29" s="10"/>
      <c r="X29" s="10"/>
      <c r="Y29" s="10"/>
      <c r="Z29" s="10"/>
    </row>
    <row r="30">
      <c r="A30" s="16" t="s">
        <v>406</v>
      </c>
      <c r="B30" s="16">
        <v>130.0</v>
      </c>
      <c r="C30" s="16" t="s">
        <v>423</v>
      </c>
      <c r="D30" s="10"/>
      <c r="E30" s="10"/>
      <c r="G30" s="10"/>
      <c r="H30" s="10"/>
      <c r="I30" s="10"/>
      <c r="J30" s="10"/>
      <c r="K30" s="10"/>
      <c r="L30" s="10"/>
      <c r="M30" s="10"/>
      <c r="N30" s="10"/>
      <c r="O30" s="10"/>
      <c r="P30" s="10"/>
      <c r="Q30" s="10"/>
      <c r="R30" s="10"/>
      <c r="S30" s="10"/>
      <c r="T30" s="10"/>
      <c r="U30" s="10"/>
      <c r="V30" s="10"/>
      <c r="W30" s="10"/>
      <c r="X30" s="10"/>
      <c r="Y30" s="10"/>
      <c r="Z30" s="10"/>
    </row>
    <row r="31">
      <c r="A31" s="16"/>
      <c r="B31" s="16">
        <v>150.0</v>
      </c>
      <c r="C31" s="16"/>
      <c r="D31" s="10"/>
      <c r="E31" s="10"/>
      <c r="G31" s="10"/>
      <c r="H31" s="10"/>
      <c r="I31" s="10"/>
      <c r="J31" s="10"/>
      <c r="K31" s="10"/>
      <c r="L31" s="10"/>
      <c r="M31" s="10"/>
      <c r="N31" s="10"/>
      <c r="O31" s="10"/>
      <c r="P31" s="10"/>
      <c r="Q31" s="10"/>
      <c r="R31" s="10"/>
      <c r="S31" s="10"/>
      <c r="T31" s="10"/>
      <c r="U31" s="10"/>
      <c r="V31" s="10"/>
      <c r="W31" s="10"/>
      <c r="X31" s="10"/>
      <c r="Y31" s="10"/>
      <c r="Z31" s="10"/>
    </row>
    <row r="32">
      <c r="A32" s="16" t="s">
        <v>424</v>
      </c>
      <c r="B32" s="16">
        <v>301.0</v>
      </c>
      <c r="C32" s="16" t="s">
        <v>306</v>
      </c>
      <c r="D32" s="10"/>
      <c r="E32" s="10"/>
      <c r="G32" s="10"/>
      <c r="H32" s="10"/>
      <c r="I32" s="10"/>
      <c r="J32" s="10"/>
      <c r="K32" s="10"/>
      <c r="L32" s="10"/>
      <c r="M32" s="10"/>
      <c r="N32" s="10"/>
      <c r="O32" s="10"/>
      <c r="P32" s="10"/>
      <c r="Q32" s="10"/>
      <c r="R32" s="10"/>
      <c r="S32" s="10"/>
      <c r="T32" s="10"/>
      <c r="U32" s="10"/>
      <c r="V32" s="10"/>
      <c r="W32" s="10"/>
      <c r="X32" s="10"/>
      <c r="Y32" s="10"/>
      <c r="Z32" s="10"/>
    </row>
    <row r="33">
      <c r="A33" s="16" t="s">
        <v>424</v>
      </c>
      <c r="B33" s="16">
        <v>302.0</v>
      </c>
      <c r="C33" s="16" t="s">
        <v>306</v>
      </c>
      <c r="D33" s="10"/>
      <c r="E33" s="10"/>
      <c r="G33" s="10"/>
      <c r="H33" s="10"/>
      <c r="I33" s="10"/>
      <c r="J33" s="10"/>
      <c r="K33" s="10"/>
      <c r="L33" s="10"/>
      <c r="M33" s="10"/>
      <c r="N33" s="10"/>
      <c r="O33" s="10"/>
      <c r="P33" s="10"/>
      <c r="Q33" s="10"/>
      <c r="R33" s="10"/>
      <c r="S33" s="10"/>
      <c r="T33" s="10"/>
      <c r="U33" s="10"/>
      <c r="V33" s="10"/>
      <c r="W33" s="10"/>
      <c r="X33" s="10"/>
      <c r="Y33" s="10"/>
      <c r="Z33" s="10"/>
    </row>
    <row r="34">
      <c r="A34" s="16" t="s">
        <v>424</v>
      </c>
      <c r="B34" s="16">
        <v>303.0</v>
      </c>
      <c r="C34" s="16" t="s">
        <v>425</v>
      </c>
      <c r="D34" s="10"/>
      <c r="E34" s="10"/>
      <c r="G34" s="10"/>
      <c r="H34" s="10"/>
      <c r="I34" s="10"/>
      <c r="J34" s="10"/>
      <c r="K34" s="10"/>
      <c r="L34" s="10"/>
      <c r="M34" s="10"/>
      <c r="N34" s="10"/>
      <c r="O34" s="10"/>
      <c r="P34" s="10"/>
      <c r="Q34" s="10"/>
      <c r="R34" s="10"/>
      <c r="S34" s="10"/>
      <c r="T34" s="10"/>
      <c r="U34" s="10"/>
      <c r="V34" s="10"/>
      <c r="W34" s="10"/>
      <c r="X34" s="10"/>
      <c r="Y34" s="10"/>
      <c r="Z34" s="10"/>
    </row>
    <row r="35">
      <c r="A35" s="16" t="s">
        <v>424</v>
      </c>
      <c r="B35" s="16">
        <v>304.0</v>
      </c>
      <c r="C35" s="16" t="s">
        <v>425</v>
      </c>
      <c r="D35" s="10"/>
      <c r="E35" s="10"/>
      <c r="G35" s="10"/>
      <c r="H35" s="10"/>
      <c r="I35" s="10"/>
      <c r="J35" s="10"/>
      <c r="K35" s="10"/>
      <c r="L35" s="10"/>
      <c r="M35" s="10"/>
      <c r="N35" s="10"/>
      <c r="O35" s="10"/>
      <c r="P35" s="10"/>
      <c r="Q35" s="10"/>
      <c r="R35" s="10"/>
      <c r="S35" s="10"/>
      <c r="T35" s="10"/>
      <c r="U35" s="10"/>
      <c r="V35" s="10"/>
      <c r="W35" s="10"/>
      <c r="X35" s="10"/>
      <c r="Y35" s="10"/>
      <c r="Z35" s="10"/>
    </row>
    <row r="36">
      <c r="A36" s="16" t="s">
        <v>424</v>
      </c>
      <c r="B36" s="16">
        <v>305.0</v>
      </c>
      <c r="C36" s="16" t="s">
        <v>425</v>
      </c>
      <c r="D36" s="10"/>
      <c r="E36" s="10"/>
      <c r="G36" s="10"/>
      <c r="H36" s="10"/>
      <c r="I36" s="10"/>
      <c r="J36" s="10"/>
      <c r="K36" s="10"/>
      <c r="L36" s="10"/>
      <c r="M36" s="10"/>
      <c r="N36" s="10"/>
      <c r="O36" s="10"/>
      <c r="P36" s="10"/>
      <c r="Q36" s="10"/>
      <c r="R36" s="10"/>
      <c r="S36" s="10"/>
      <c r="T36" s="10"/>
      <c r="U36" s="10"/>
      <c r="V36" s="10"/>
      <c r="W36" s="10"/>
      <c r="X36" s="10"/>
      <c r="Y36" s="10"/>
      <c r="Z36" s="10"/>
    </row>
    <row r="37">
      <c r="A37" s="16" t="s">
        <v>424</v>
      </c>
      <c r="B37" s="16">
        <v>306.0</v>
      </c>
      <c r="C37" s="16" t="s">
        <v>425</v>
      </c>
      <c r="D37" s="10"/>
      <c r="E37" s="10"/>
      <c r="G37" s="10"/>
      <c r="H37" s="10"/>
      <c r="I37" s="10"/>
      <c r="J37" s="10"/>
      <c r="K37" s="10"/>
      <c r="L37" s="10"/>
      <c r="M37" s="10"/>
      <c r="N37" s="10"/>
      <c r="O37" s="10"/>
      <c r="P37" s="10"/>
      <c r="Q37" s="10"/>
      <c r="R37" s="10"/>
      <c r="S37" s="10"/>
      <c r="T37" s="10"/>
      <c r="U37" s="10"/>
      <c r="V37" s="10"/>
      <c r="W37" s="10"/>
      <c r="X37" s="10"/>
      <c r="Y37" s="10"/>
      <c r="Z37" s="10"/>
    </row>
    <row r="38">
      <c r="A38" s="16" t="s">
        <v>424</v>
      </c>
      <c r="B38" s="16">
        <v>307.0</v>
      </c>
      <c r="C38" s="16" t="s">
        <v>426</v>
      </c>
      <c r="D38" s="10"/>
      <c r="E38" s="10"/>
      <c r="G38" s="10"/>
      <c r="H38" s="10"/>
      <c r="I38" s="10"/>
      <c r="J38" s="10"/>
      <c r="K38" s="10"/>
      <c r="L38" s="10"/>
      <c r="M38" s="10"/>
      <c r="N38" s="10"/>
      <c r="O38" s="10"/>
      <c r="P38" s="10"/>
      <c r="Q38" s="10"/>
      <c r="R38" s="10"/>
      <c r="S38" s="10"/>
      <c r="T38" s="10"/>
      <c r="U38" s="10"/>
      <c r="V38" s="10"/>
      <c r="W38" s="10"/>
      <c r="X38" s="10"/>
      <c r="Y38" s="10"/>
      <c r="Z38" s="10"/>
    </row>
    <row r="39">
      <c r="A39" s="16" t="s">
        <v>424</v>
      </c>
      <c r="B39" s="16">
        <v>308.0</v>
      </c>
      <c r="C39" s="16" t="s">
        <v>426</v>
      </c>
      <c r="D39" s="10"/>
      <c r="E39" s="10"/>
      <c r="G39" s="10"/>
      <c r="H39" s="10"/>
      <c r="I39" s="10"/>
      <c r="J39" s="10"/>
      <c r="K39" s="10"/>
      <c r="L39" s="10"/>
      <c r="M39" s="10"/>
      <c r="N39" s="10"/>
      <c r="O39" s="10"/>
      <c r="P39" s="10"/>
      <c r="Q39" s="10"/>
      <c r="R39" s="10"/>
      <c r="S39" s="10"/>
      <c r="T39" s="10"/>
      <c r="U39" s="10"/>
      <c r="V39" s="10"/>
      <c r="W39" s="10"/>
      <c r="X39" s="10"/>
      <c r="Y39" s="10"/>
      <c r="Z39" s="10"/>
    </row>
    <row r="40">
      <c r="A40" s="16" t="s">
        <v>424</v>
      </c>
      <c r="B40" s="16">
        <v>309.0</v>
      </c>
      <c r="C40" s="16" t="s">
        <v>99</v>
      </c>
      <c r="D40" s="10"/>
      <c r="E40" s="10"/>
      <c r="G40" s="10"/>
      <c r="H40" s="10"/>
      <c r="I40" s="10"/>
      <c r="J40" s="10"/>
      <c r="K40" s="10"/>
      <c r="L40" s="10"/>
      <c r="M40" s="10"/>
      <c r="N40" s="10"/>
      <c r="O40" s="10"/>
      <c r="P40" s="10"/>
      <c r="Q40" s="10"/>
      <c r="R40" s="10"/>
      <c r="S40" s="10"/>
      <c r="T40" s="10"/>
      <c r="U40" s="10"/>
      <c r="V40" s="10"/>
      <c r="W40" s="10"/>
      <c r="X40" s="10"/>
      <c r="Y40" s="10"/>
      <c r="Z40" s="10"/>
    </row>
    <row r="41">
      <c r="A41" s="16" t="s">
        <v>424</v>
      </c>
      <c r="B41" s="16">
        <v>310.0</v>
      </c>
      <c r="C41" s="16" t="s">
        <v>99</v>
      </c>
      <c r="D41" s="10"/>
      <c r="E41" s="10"/>
      <c r="G41" s="10"/>
      <c r="H41" s="10"/>
      <c r="I41" s="10"/>
      <c r="J41" s="10"/>
      <c r="K41" s="10"/>
      <c r="L41" s="10"/>
      <c r="M41" s="10"/>
      <c r="N41" s="10"/>
      <c r="O41" s="10"/>
      <c r="P41" s="10"/>
      <c r="Q41" s="10"/>
      <c r="R41" s="10"/>
      <c r="S41" s="10"/>
      <c r="T41" s="10"/>
      <c r="U41" s="10"/>
      <c r="V41" s="10"/>
      <c r="W41" s="10"/>
      <c r="X41" s="10"/>
      <c r="Y41" s="10"/>
      <c r="Z41" s="10"/>
    </row>
    <row r="42">
      <c r="A42" s="16" t="s">
        <v>424</v>
      </c>
      <c r="B42" s="16">
        <v>311.0</v>
      </c>
      <c r="C42" s="16" t="s">
        <v>99</v>
      </c>
      <c r="D42" s="10"/>
      <c r="E42" s="10"/>
      <c r="G42" s="10"/>
      <c r="H42" s="10"/>
      <c r="I42" s="10"/>
      <c r="J42" s="10"/>
      <c r="K42" s="10"/>
      <c r="L42" s="10"/>
      <c r="M42" s="10"/>
      <c r="N42" s="10"/>
      <c r="O42" s="10"/>
      <c r="P42" s="10"/>
      <c r="Q42" s="10"/>
      <c r="R42" s="10"/>
      <c r="S42" s="10"/>
      <c r="T42" s="10"/>
      <c r="U42" s="10"/>
      <c r="V42" s="10"/>
      <c r="W42" s="10"/>
      <c r="X42" s="10"/>
      <c r="Y42" s="10"/>
      <c r="Z42" s="10"/>
    </row>
    <row r="43">
      <c r="A43" s="16" t="s">
        <v>424</v>
      </c>
      <c r="B43" s="16">
        <v>312.0</v>
      </c>
      <c r="C43" s="16" t="s">
        <v>99</v>
      </c>
      <c r="D43" s="10"/>
      <c r="E43" s="10"/>
      <c r="G43" s="10"/>
      <c r="H43" s="10"/>
      <c r="I43" s="10"/>
      <c r="J43" s="10"/>
      <c r="K43" s="10"/>
      <c r="L43" s="10"/>
      <c r="M43" s="10"/>
      <c r="N43" s="10"/>
      <c r="O43" s="10"/>
      <c r="P43" s="10"/>
      <c r="Q43" s="10"/>
      <c r="R43" s="10"/>
      <c r="S43" s="10"/>
      <c r="T43" s="10"/>
      <c r="U43" s="10"/>
      <c r="V43" s="10"/>
      <c r="W43" s="10"/>
      <c r="X43" s="10"/>
      <c r="Y43" s="10"/>
      <c r="Z43" s="10"/>
    </row>
    <row r="44">
      <c r="A44" s="16" t="s">
        <v>424</v>
      </c>
      <c r="B44" s="16">
        <v>313.0</v>
      </c>
      <c r="C44" s="16" t="s">
        <v>427</v>
      </c>
      <c r="D44" s="10"/>
      <c r="E44" s="10"/>
      <c r="G44" s="10"/>
      <c r="H44" s="10"/>
      <c r="I44" s="10"/>
      <c r="J44" s="10"/>
      <c r="K44" s="10"/>
      <c r="L44" s="10"/>
      <c r="M44" s="10"/>
      <c r="N44" s="10"/>
      <c r="O44" s="10"/>
      <c r="P44" s="10"/>
      <c r="Q44" s="10"/>
      <c r="R44" s="10"/>
      <c r="S44" s="10"/>
      <c r="T44" s="10"/>
      <c r="U44" s="10"/>
      <c r="V44" s="10"/>
      <c r="W44" s="10"/>
      <c r="X44" s="10"/>
      <c r="Y44" s="10"/>
      <c r="Z44" s="10"/>
    </row>
    <row r="45">
      <c r="A45" s="16" t="s">
        <v>424</v>
      </c>
      <c r="B45" s="16">
        <v>314.0</v>
      </c>
      <c r="C45" s="16" t="s">
        <v>427</v>
      </c>
      <c r="D45" s="10"/>
      <c r="E45" s="10"/>
      <c r="G45" s="10"/>
      <c r="H45" s="10"/>
      <c r="I45" s="10"/>
      <c r="J45" s="10"/>
      <c r="K45" s="10"/>
      <c r="L45" s="10"/>
      <c r="M45" s="10"/>
      <c r="N45" s="10"/>
      <c r="O45" s="10"/>
      <c r="P45" s="10"/>
      <c r="Q45" s="10"/>
      <c r="R45" s="10"/>
      <c r="S45" s="10"/>
      <c r="T45" s="10"/>
      <c r="U45" s="10"/>
      <c r="V45" s="10"/>
      <c r="W45" s="10"/>
      <c r="X45" s="10"/>
      <c r="Y45" s="10"/>
      <c r="Z45" s="10"/>
    </row>
    <row r="46">
      <c r="A46" s="16" t="s">
        <v>424</v>
      </c>
      <c r="B46" s="16">
        <v>315.0</v>
      </c>
      <c r="C46" s="16" t="s">
        <v>428</v>
      </c>
      <c r="D46" s="10"/>
      <c r="E46" s="10"/>
      <c r="G46" s="10"/>
      <c r="H46" s="10"/>
      <c r="I46" s="10"/>
      <c r="J46" s="10"/>
      <c r="K46" s="10"/>
      <c r="L46" s="10"/>
      <c r="M46" s="10"/>
      <c r="N46" s="10"/>
      <c r="O46" s="10"/>
      <c r="P46" s="10"/>
      <c r="Q46" s="10"/>
      <c r="R46" s="10"/>
      <c r="S46" s="10"/>
      <c r="T46" s="10"/>
      <c r="U46" s="10"/>
      <c r="V46" s="10"/>
      <c r="W46" s="10"/>
      <c r="X46" s="10"/>
      <c r="Y46" s="10"/>
      <c r="Z46" s="10"/>
    </row>
    <row r="47">
      <c r="A47" s="16" t="s">
        <v>424</v>
      </c>
      <c r="B47" s="16">
        <v>316.0</v>
      </c>
      <c r="C47" s="16" t="s">
        <v>428</v>
      </c>
      <c r="D47" s="10"/>
      <c r="E47" s="10"/>
      <c r="G47" s="10"/>
      <c r="H47" s="10"/>
      <c r="I47" s="10"/>
      <c r="J47" s="10"/>
      <c r="K47" s="10"/>
      <c r="L47" s="10"/>
      <c r="M47" s="10"/>
      <c r="N47" s="10"/>
      <c r="O47" s="10"/>
      <c r="P47" s="10"/>
      <c r="Q47" s="10"/>
      <c r="R47" s="10"/>
      <c r="S47" s="10"/>
      <c r="T47" s="10"/>
      <c r="U47" s="10"/>
      <c r="V47" s="10"/>
      <c r="W47" s="10"/>
      <c r="X47" s="10"/>
      <c r="Y47" s="10"/>
      <c r="Z47" s="10"/>
    </row>
    <row r="48">
      <c r="A48" s="16" t="s">
        <v>424</v>
      </c>
      <c r="B48" s="16">
        <v>317.0</v>
      </c>
      <c r="C48" s="16" t="s">
        <v>428</v>
      </c>
      <c r="D48" s="10"/>
      <c r="E48" s="10"/>
      <c r="G48" s="10"/>
      <c r="H48" s="10"/>
      <c r="I48" s="10"/>
      <c r="J48" s="10"/>
      <c r="K48" s="10"/>
      <c r="L48" s="10"/>
      <c r="M48" s="10"/>
      <c r="N48" s="10"/>
      <c r="O48" s="10"/>
      <c r="P48" s="10"/>
      <c r="Q48" s="10"/>
      <c r="R48" s="10"/>
      <c r="S48" s="10"/>
      <c r="T48" s="10"/>
      <c r="U48" s="10"/>
      <c r="V48" s="10"/>
      <c r="W48" s="10"/>
      <c r="X48" s="10"/>
      <c r="Y48" s="10"/>
      <c r="Z48" s="10"/>
    </row>
    <row r="49">
      <c r="A49" s="16" t="s">
        <v>424</v>
      </c>
      <c r="B49" s="16">
        <v>318.0</v>
      </c>
      <c r="C49" s="16" t="s">
        <v>429</v>
      </c>
      <c r="D49" s="10"/>
      <c r="E49" s="10"/>
      <c r="G49" s="10"/>
      <c r="H49" s="10"/>
      <c r="I49" s="10"/>
      <c r="J49" s="10"/>
      <c r="K49" s="10"/>
      <c r="L49" s="10"/>
      <c r="M49" s="10"/>
      <c r="N49" s="10"/>
      <c r="O49" s="10"/>
      <c r="P49" s="10"/>
      <c r="Q49" s="10"/>
      <c r="R49" s="10"/>
      <c r="S49" s="10"/>
      <c r="T49" s="10"/>
      <c r="U49" s="10"/>
      <c r="V49" s="10"/>
      <c r="W49" s="10"/>
      <c r="X49" s="10"/>
      <c r="Y49" s="10"/>
      <c r="Z49" s="10"/>
    </row>
    <row r="50">
      <c r="A50" s="16" t="s">
        <v>424</v>
      </c>
      <c r="B50" s="16">
        <v>319.0</v>
      </c>
      <c r="C50" s="16" t="s">
        <v>429</v>
      </c>
      <c r="D50" s="10"/>
      <c r="E50" s="10"/>
      <c r="G50" s="10"/>
      <c r="H50" s="10"/>
      <c r="I50" s="10"/>
      <c r="J50" s="10"/>
      <c r="K50" s="10"/>
      <c r="L50" s="10"/>
      <c r="M50" s="10"/>
      <c r="N50" s="10"/>
      <c r="O50" s="10"/>
      <c r="P50" s="10"/>
      <c r="Q50" s="10"/>
      <c r="R50" s="10"/>
      <c r="S50" s="10"/>
      <c r="T50" s="10"/>
      <c r="U50" s="10"/>
      <c r="V50" s="10"/>
      <c r="W50" s="10"/>
      <c r="X50" s="10"/>
      <c r="Y50" s="10"/>
      <c r="Z50" s="10"/>
    </row>
    <row r="51">
      <c r="A51" s="16" t="s">
        <v>424</v>
      </c>
      <c r="B51" s="16">
        <v>320.0</v>
      </c>
      <c r="C51" s="16" t="s">
        <v>215</v>
      </c>
      <c r="D51" s="10"/>
      <c r="E51" s="10"/>
      <c r="G51" s="10"/>
      <c r="H51" s="10"/>
      <c r="I51" s="10"/>
      <c r="J51" s="10"/>
      <c r="K51" s="10"/>
      <c r="L51" s="10"/>
      <c r="M51" s="10"/>
      <c r="N51" s="10"/>
      <c r="O51" s="10"/>
      <c r="P51" s="10"/>
      <c r="Q51" s="10"/>
      <c r="R51" s="10"/>
      <c r="S51" s="10"/>
      <c r="T51" s="10"/>
      <c r="U51" s="10"/>
      <c r="V51" s="10"/>
      <c r="W51" s="10"/>
      <c r="X51" s="10"/>
      <c r="Y51" s="10"/>
      <c r="Z51" s="10"/>
    </row>
    <row r="52">
      <c r="A52" s="16" t="s">
        <v>424</v>
      </c>
      <c r="B52" s="16">
        <v>321.0</v>
      </c>
      <c r="C52" s="16" t="s">
        <v>215</v>
      </c>
      <c r="D52" s="10"/>
      <c r="E52" s="10"/>
      <c r="G52" s="10"/>
      <c r="H52" s="10"/>
      <c r="I52" s="10"/>
      <c r="J52" s="10"/>
      <c r="K52" s="10"/>
      <c r="L52" s="10"/>
      <c r="M52" s="10"/>
      <c r="N52" s="10"/>
      <c r="O52" s="10"/>
      <c r="P52" s="10"/>
      <c r="Q52" s="10"/>
      <c r="R52" s="10"/>
      <c r="S52" s="10"/>
      <c r="T52" s="10"/>
      <c r="U52" s="10"/>
      <c r="V52" s="10"/>
      <c r="W52" s="10"/>
      <c r="X52" s="10"/>
      <c r="Y52" s="10"/>
      <c r="Z52" s="10"/>
    </row>
    <row r="53">
      <c r="A53" s="16" t="s">
        <v>424</v>
      </c>
      <c r="B53" s="16">
        <v>322.0</v>
      </c>
      <c r="C53" s="16" t="s">
        <v>235</v>
      </c>
      <c r="D53" s="10"/>
      <c r="E53" s="10"/>
      <c r="G53" s="10"/>
      <c r="H53" s="10"/>
      <c r="I53" s="10"/>
      <c r="J53" s="10"/>
      <c r="K53" s="10"/>
      <c r="L53" s="10"/>
      <c r="M53" s="10"/>
      <c r="N53" s="10"/>
      <c r="O53" s="10"/>
      <c r="P53" s="10"/>
      <c r="Q53" s="10"/>
      <c r="R53" s="10"/>
      <c r="S53" s="10"/>
      <c r="T53" s="10"/>
      <c r="U53" s="10"/>
      <c r="V53" s="10"/>
      <c r="W53" s="10"/>
      <c r="X53" s="10"/>
      <c r="Y53" s="10"/>
      <c r="Z53" s="10"/>
    </row>
    <row r="54">
      <c r="A54" s="16" t="s">
        <v>424</v>
      </c>
      <c r="B54" s="16">
        <v>323.0</v>
      </c>
      <c r="C54" s="16" t="s">
        <v>235</v>
      </c>
      <c r="D54" s="10"/>
      <c r="E54" s="10"/>
      <c r="G54" s="10"/>
      <c r="H54" s="10"/>
      <c r="I54" s="10"/>
      <c r="J54" s="10"/>
      <c r="K54" s="10"/>
      <c r="L54" s="10"/>
      <c r="M54" s="10"/>
      <c r="N54" s="10"/>
      <c r="O54" s="10"/>
      <c r="P54" s="10"/>
      <c r="Q54" s="10"/>
      <c r="R54" s="10"/>
      <c r="S54" s="10"/>
      <c r="T54" s="10"/>
      <c r="U54" s="10"/>
      <c r="V54" s="10"/>
      <c r="W54" s="10"/>
      <c r="X54" s="10"/>
      <c r="Y54" s="10"/>
      <c r="Z54" s="10"/>
    </row>
    <row r="55">
      <c r="A55" s="16" t="s">
        <v>424</v>
      </c>
      <c r="B55" s="16">
        <v>324.0</v>
      </c>
      <c r="C55" s="16" t="s">
        <v>274</v>
      </c>
      <c r="D55" s="10"/>
      <c r="E55" s="10"/>
      <c r="G55" s="10"/>
      <c r="H55" s="10"/>
      <c r="I55" s="10"/>
      <c r="J55" s="10"/>
      <c r="K55" s="10"/>
      <c r="L55" s="10"/>
      <c r="M55" s="10"/>
      <c r="N55" s="10"/>
      <c r="O55" s="10"/>
      <c r="P55" s="10"/>
      <c r="Q55" s="10"/>
      <c r="R55" s="10"/>
      <c r="S55" s="10"/>
      <c r="T55" s="10"/>
      <c r="U55" s="10"/>
      <c r="V55" s="10"/>
      <c r="W55" s="10"/>
      <c r="X55" s="10"/>
      <c r="Y55" s="10"/>
      <c r="Z55" s="10"/>
    </row>
    <row r="56">
      <c r="A56" s="16" t="s">
        <v>424</v>
      </c>
      <c r="B56" s="16">
        <v>325.0</v>
      </c>
      <c r="C56" s="16" t="s">
        <v>274</v>
      </c>
      <c r="D56" s="10"/>
      <c r="E56" s="10"/>
      <c r="G56" s="10"/>
      <c r="H56" s="10"/>
      <c r="I56" s="10"/>
      <c r="J56" s="10"/>
      <c r="K56" s="10"/>
      <c r="L56" s="10"/>
      <c r="M56" s="10"/>
      <c r="N56" s="10"/>
      <c r="O56" s="10"/>
      <c r="P56" s="10"/>
      <c r="Q56" s="10"/>
      <c r="R56" s="10"/>
      <c r="S56" s="10"/>
      <c r="T56" s="10"/>
      <c r="U56" s="10"/>
      <c r="V56" s="10"/>
      <c r="W56" s="10"/>
      <c r="X56" s="10"/>
      <c r="Y56" s="10"/>
      <c r="Z56" s="10"/>
    </row>
    <row r="57">
      <c r="A57" s="16" t="s">
        <v>424</v>
      </c>
      <c r="B57" s="16">
        <v>326.0</v>
      </c>
      <c r="C57" s="16" t="s">
        <v>255</v>
      </c>
      <c r="D57" s="10"/>
      <c r="E57" s="10"/>
      <c r="G57" s="10"/>
      <c r="H57" s="10"/>
      <c r="I57" s="10"/>
      <c r="J57" s="10"/>
      <c r="K57" s="10"/>
      <c r="L57" s="10"/>
      <c r="M57" s="10"/>
      <c r="N57" s="10"/>
      <c r="O57" s="10"/>
      <c r="P57" s="10"/>
      <c r="Q57" s="10"/>
      <c r="R57" s="10"/>
      <c r="S57" s="10"/>
      <c r="T57" s="10"/>
      <c r="U57" s="10"/>
      <c r="V57" s="10"/>
      <c r="W57" s="10"/>
      <c r="X57" s="10"/>
      <c r="Y57" s="10"/>
      <c r="Z57" s="10"/>
    </row>
    <row r="58">
      <c r="A58" s="16" t="s">
        <v>424</v>
      </c>
      <c r="B58" s="16">
        <v>327.0</v>
      </c>
      <c r="C58" s="16" t="s">
        <v>430</v>
      </c>
      <c r="D58" s="10"/>
      <c r="E58" s="10"/>
      <c r="G58" s="10"/>
      <c r="H58" s="10"/>
      <c r="I58" s="10"/>
      <c r="J58" s="10"/>
      <c r="K58" s="10"/>
      <c r="L58" s="10"/>
      <c r="M58" s="10"/>
      <c r="N58" s="10"/>
      <c r="O58" s="10"/>
      <c r="P58" s="10"/>
      <c r="Q58" s="10"/>
      <c r="R58" s="10"/>
      <c r="S58" s="10"/>
      <c r="T58" s="10"/>
      <c r="U58" s="10"/>
      <c r="V58" s="10"/>
      <c r="W58" s="10"/>
      <c r="X58" s="10"/>
      <c r="Y58" s="10"/>
      <c r="Z58" s="10"/>
    </row>
    <row r="59">
      <c r="A59" s="16" t="s">
        <v>424</v>
      </c>
      <c r="B59" s="16">
        <v>328.0</v>
      </c>
      <c r="C59" s="16" t="s">
        <v>430</v>
      </c>
      <c r="D59" s="10"/>
      <c r="E59" s="10"/>
      <c r="G59" s="10"/>
      <c r="H59" s="10"/>
      <c r="I59" s="10"/>
      <c r="J59" s="10"/>
      <c r="K59" s="10"/>
      <c r="L59" s="10"/>
      <c r="M59" s="10"/>
      <c r="N59" s="10"/>
      <c r="O59" s="10"/>
      <c r="P59" s="10"/>
      <c r="Q59" s="10"/>
      <c r="R59" s="10"/>
      <c r="S59" s="10"/>
      <c r="T59" s="10"/>
      <c r="U59" s="10"/>
      <c r="V59" s="10"/>
      <c r="W59" s="10"/>
      <c r="X59" s="10"/>
      <c r="Y59" s="10"/>
      <c r="Z59" s="10"/>
    </row>
    <row r="60">
      <c r="A60" s="16" t="s">
        <v>424</v>
      </c>
      <c r="B60" s="16">
        <v>329.0</v>
      </c>
      <c r="C60" s="16" t="s">
        <v>431</v>
      </c>
      <c r="D60" s="10"/>
      <c r="E60" s="10"/>
      <c r="G60" s="10"/>
      <c r="H60" s="10"/>
      <c r="I60" s="10"/>
      <c r="J60" s="10"/>
      <c r="K60" s="10"/>
      <c r="L60" s="10"/>
      <c r="M60" s="10"/>
      <c r="N60" s="10"/>
      <c r="O60" s="10"/>
      <c r="P60" s="10"/>
      <c r="Q60" s="10"/>
      <c r="R60" s="10"/>
      <c r="S60" s="10"/>
      <c r="T60" s="10"/>
      <c r="U60" s="10"/>
      <c r="V60" s="10"/>
      <c r="W60" s="10"/>
      <c r="X60" s="10"/>
      <c r="Y60" s="10"/>
      <c r="Z60" s="10"/>
    </row>
    <row r="61">
      <c r="A61" s="16" t="s">
        <v>424</v>
      </c>
      <c r="B61" s="16">
        <v>330.0</v>
      </c>
      <c r="C61" s="16" t="s">
        <v>431</v>
      </c>
      <c r="D61" s="10"/>
      <c r="E61" s="10"/>
      <c r="G61" s="10"/>
      <c r="H61" s="10"/>
      <c r="I61" s="10"/>
      <c r="J61" s="10"/>
      <c r="K61" s="10"/>
      <c r="L61" s="10"/>
      <c r="M61" s="10"/>
      <c r="N61" s="10"/>
      <c r="O61" s="10"/>
      <c r="P61" s="10"/>
      <c r="Q61" s="10"/>
      <c r="R61" s="10"/>
      <c r="S61" s="10"/>
      <c r="T61" s="10"/>
      <c r="U61" s="10"/>
      <c r="V61" s="10"/>
      <c r="W61" s="10"/>
      <c r="X61" s="10"/>
      <c r="Y61" s="10"/>
      <c r="Z61" s="10"/>
    </row>
    <row r="62">
      <c r="A62" s="16"/>
      <c r="B62" s="16">
        <v>350.0</v>
      </c>
      <c r="C62" s="16"/>
      <c r="D62" s="10"/>
      <c r="E62" s="10"/>
      <c r="F62" s="10"/>
      <c r="G62" s="10"/>
      <c r="H62" s="10"/>
      <c r="I62" s="10"/>
      <c r="J62" s="10"/>
      <c r="K62" s="10"/>
      <c r="L62" s="10"/>
      <c r="M62" s="10"/>
      <c r="N62" s="10"/>
      <c r="O62" s="10"/>
      <c r="P62" s="10"/>
      <c r="Q62" s="10"/>
      <c r="R62" s="10"/>
      <c r="S62" s="10"/>
      <c r="T62" s="10"/>
      <c r="U62" s="10"/>
      <c r="V62" s="10"/>
      <c r="W62" s="10"/>
      <c r="X62" s="10"/>
      <c r="Y62" s="10"/>
      <c r="Z62" s="10"/>
    </row>
    <row r="63">
      <c r="A63" s="16" t="s">
        <v>432</v>
      </c>
      <c r="B63" s="16">
        <v>401.0</v>
      </c>
      <c r="C63" s="16"/>
      <c r="D63" s="10"/>
      <c r="E63" s="10"/>
      <c r="F63" s="10"/>
      <c r="G63" s="10"/>
      <c r="H63" s="10"/>
      <c r="I63" s="10"/>
      <c r="J63" s="10"/>
      <c r="K63" s="10"/>
      <c r="L63" s="10"/>
      <c r="M63" s="10"/>
      <c r="N63" s="10"/>
      <c r="O63" s="10"/>
      <c r="P63" s="10"/>
      <c r="Q63" s="10"/>
      <c r="R63" s="10"/>
      <c r="S63" s="10"/>
      <c r="T63" s="10"/>
      <c r="U63" s="10"/>
      <c r="V63" s="10"/>
      <c r="W63" s="10"/>
      <c r="X63" s="10"/>
      <c r="Y63" s="10"/>
      <c r="Z63" s="10"/>
    </row>
    <row r="64">
      <c r="A64" s="16" t="s">
        <v>432</v>
      </c>
      <c r="B64" s="16">
        <v>402.0</v>
      </c>
      <c r="C64" s="16"/>
      <c r="D64" s="10"/>
      <c r="E64" s="10"/>
      <c r="F64" s="10"/>
      <c r="G64" s="10"/>
      <c r="H64" s="10"/>
      <c r="I64" s="10"/>
      <c r="J64" s="10"/>
      <c r="K64" s="10"/>
      <c r="L64" s="10"/>
      <c r="M64" s="10"/>
      <c r="N64" s="10"/>
      <c r="O64" s="10"/>
      <c r="P64" s="10"/>
      <c r="Q64" s="10"/>
      <c r="R64" s="10"/>
      <c r="S64" s="10"/>
      <c r="T64" s="10"/>
      <c r="U64" s="10"/>
      <c r="V64" s="10"/>
      <c r="W64" s="10"/>
      <c r="X64" s="10"/>
      <c r="Y64" s="10"/>
      <c r="Z64" s="10"/>
    </row>
    <row r="65">
      <c r="A65" s="16" t="s">
        <v>432</v>
      </c>
      <c r="B65" s="16">
        <v>403.0</v>
      </c>
      <c r="C65" s="16"/>
      <c r="D65" s="10"/>
      <c r="E65" s="10"/>
      <c r="F65" s="10"/>
      <c r="G65" s="10"/>
      <c r="H65" s="10"/>
      <c r="I65" s="10"/>
      <c r="J65" s="10"/>
      <c r="K65" s="10"/>
      <c r="L65" s="10"/>
      <c r="M65" s="10"/>
      <c r="N65" s="10"/>
      <c r="O65" s="10"/>
      <c r="P65" s="10"/>
      <c r="Q65" s="10"/>
      <c r="R65" s="10"/>
      <c r="S65" s="10"/>
      <c r="T65" s="10"/>
      <c r="U65" s="10"/>
      <c r="V65" s="10"/>
      <c r="W65" s="10"/>
      <c r="X65" s="10"/>
      <c r="Y65" s="10"/>
      <c r="Z65" s="10"/>
    </row>
    <row r="66">
      <c r="A66" s="16"/>
      <c r="B66" s="16">
        <v>450.0</v>
      </c>
      <c r="C66" s="18"/>
      <c r="D66" s="10"/>
      <c r="E66" s="10"/>
      <c r="F66" s="16"/>
      <c r="G66" s="10"/>
      <c r="H66" s="10"/>
      <c r="I66" s="10"/>
      <c r="J66" s="10"/>
      <c r="K66" s="10"/>
      <c r="L66" s="10"/>
      <c r="M66" s="10"/>
      <c r="N66" s="10"/>
      <c r="O66" s="10"/>
      <c r="P66" s="10"/>
      <c r="Q66" s="10"/>
      <c r="R66" s="10"/>
      <c r="S66" s="10"/>
      <c r="T66" s="10"/>
      <c r="U66" s="10"/>
      <c r="V66" s="10"/>
      <c r="W66" s="10"/>
      <c r="X66" s="10"/>
      <c r="Y66" s="10"/>
      <c r="Z66" s="10"/>
    </row>
    <row r="67">
      <c r="A67" s="16" t="s">
        <v>433</v>
      </c>
      <c r="B67" s="16">
        <v>501.0</v>
      </c>
      <c r="C67" s="18"/>
      <c r="D67" s="10"/>
      <c r="E67" s="10"/>
      <c r="F67" s="16"/>
      <c r="G67" s="10"/>
      <c r="H67" s="10"/>
      <c r="I67" s="10"/>
      <c r="J67" s="10"/>
      <c r="K67" s="10"/>
      <c r="L67" s="10"/>
      <c r="M67" s="10"/>
      <c r="N67" s="10"/>
      <c r="O67" s="10"/>
      <c r="P67" s="10"/>
      <c r="Q67" s="10"/>
      <c r="R67" s="10"/>
      <c r="S67" s="10"/>
      <c r="T67" s="10"/>
      <c r="U67" s="10"/>
      <c r="V67" s="10"/>
      <c r="W67" s="10"/>
      <c r="X67" s="10"/>
      <c r="Y67" s="10"/>
      <c r="Z67" s="10"/>
    </row>
    <row r="68">
      <c r="A68" s="16" t="s">
        <v>433</v>
      </c>
      <c r="B68" s="16">
        <v>502.0</v>
      </c>
      <c r="C68" s="18"/>
      <c r="D68" s="10"/>
      <c r="E68" s="10"/>
      <c r="F68" s="10"/>
      <c r="G68" s="10"/>
      <c r="H68" s="10"/>
      <c r="I68" s="10"/>
      <c r="J68" s="10"/>
      <c r="K68" s="10"/>
      <c r="L68" s="10"/>
      <c r="M68" s="10"/>
      <c r="N68" s="10"/>
      <c r="O68" s="10"/>
      <c r="P68" s="10"/>
      <c r="Q68" s="10"/>
      <c r="R68" s="10"/>
      <c r="S68" s="10"/>
      <c r="T68" s="10"/>
      <c r="U68" s="10"/>
      <c r="V68" s="10"/>
      <c r="W68" s="10"/>
      <c r="X68" s="10"/>
      <c r="Y68" s="10"/>
      <c r="Z68" s="10"/>
    </row>
    <row r="69">
      <c r="A69" s="16" t="s">
        <v>433</v>
      </c>
      <c r="B69" s="16">
        <v>503.0</v>
      </c>
      <c r="C69" s="18"/>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G71" s="10"/>
      <c r="H71" s="10"/>
      <c r="I71" s="10"/>
      <c r="J71" s="10"/>
      <c r="K71" s="10"/>
      <c r="L71" s="10"/>
      <c r="M71" s="10"/>
      <c r="N71" s="10"/>
      <c r="O71" s="10"/>
      <c r="P71" s="10"/>
      <c r="Q71" s="10"/>
      <c r="R71" s="10"/>
      <c r="S71" s="10"/>
      <c r="T71" s="10"/>
      <c r="U71" s="10"/>
      <c r="V71" s="10"/>
      <c r="W71" s="10"/>
      <c r="X71" s="10"/>
      <c r="Y71" s="10"/>
      <c r="Z71" s="10"/>
    </row>
    <row r="72">
      <c r="A72" s="10"/>
      <c r="B72" s="10"/>
      <c r="C72" s="16" t="s">
        <v>255</v>
      </c>
      <c r="D72" s="10"/>
      <c r="E72" s="10"/>
      <c r="G72" s="10"/>
      <c r="H72" s="10"/>
      <c r="I72" s="10"/>
      <c r="J72" s="10"/>
      <c r="K72" s="10"/>
      <c r="L72" s="10"/>
      <c r="M72" s="10"/>
      <c r="N72" s="10"/>
      <c r="O72" s="10"/>
      <c r="P72" s="10"/>
      <c r="Q72" s="10"/>
      <c r="R72" s="10"/>
      <c r="S72" s="10"/>
      <c r="T72" s="10"/>
      <c r="U72" s="10"/>
      <c r="V72" s="10"/>
      <c r="W72" s="10"/>
      <c r="X72" s="10"/>
      <c r="Y72" s="10"/>
      <c r="Z72" s="10"/>
    </row>
    <row r="73">
      <c r="A73" s="10"/>
      <c r="B73" s="10"/>
      <c r="C73" s="16" t="s">
        <v>64</v>
      </c>
      <c r="D73" s="10"/>
      <c r="E73" s="10"/>
      <c r="G73" s="10"/>
      <c r="H73" s="10"/>
      <c r="I73" s="10"/>
      <c r="J73" s="10"/>
      <c r="K73" s="10"/>
      <c r="L73" s="10"/>
      <c r="M73" s="10"/>
      <c r="N73" s="10"/>
      <c r="O73" s="10"/>
      <c r="P73" s="10"/>
      <c r="Q73" s="10"/>
      <c r="R73" s="10"/>
      <c r="S73" s="10"/>
      <c r="T73" s="10"/>
      <c r="U73" s="10"/>
      <c r="V73" s="10"/>
      <c r="W73" s="10"/>
      <c r="X73" s="10"/>
      <c r="Y73" s="10"/>
      <c r="Z73" s="10"/>
    </row>
    <row r="74">
      <c r="A74" s="10"/>
      <c r="B74" s="10"/>
      <c r="C74" s="16" t="s">
        <v>274</v>
      </c>
      <c r="D74" s="10"/>
      <c r="E74" s="10"/>
      <c r="G74" s="10"/>
      <c r="H74" s="10"/>
      <c r="I74" s="10"/>
      <c r="J74" s="10"/>
      <c r="K74" s="10"/>
      <c r="L74" s="10"/>
      <c r="M74" s="10"/>
      <c r="N74" s="10"/>
      <c r="O74" s="10"/>
      <c r="P74" s="10"/>
      <c r="Q74" s="10"/>
      <c r="R74" s="10"/>
      <c r="S74" s="10"/>
      <c r="T74" s="10"/>
      <c r="U74" s="10"/>
      <c r="V74" s="10"/>
      <c r="W74" s="10"/>
      <c r="X74" s="10"/>
      <c r="Y74" s="10"/>
      <c r="Z74" s="10"/>
    </row>
    <row r="75">
      <c r="A75" s="10"/>
      <c r="B75" s="10"/>
      <c r="C75" s="16" t="s">
        <v>59</v>
      </c>
      <c r="D75" s="10"/>
      <c r="E75" s="10"/>
      <c r="G75" s="10"/>
      <c r="H75" s="10"/>
      <c r="I75" s="10"/>
      <c r="J75" s="10"/>
      <c r="K75" s="10"/>
      <c r="L75" s="10"/>
      <c r="M75" s="10"/>
      <c r="N75" s="10"/>
      <c r="O75" s="10"/>
      <c r="P75" s="10"/>
      <c r="Q75" s="10"/>
      <c r="R75" s="10"/>
      <c r="S75" s="10"/>
      <c r="T75" s="10"/>
      <c r="U75" s="10"/>
      <c r="V75" s="10"/>
      <c r="W75" s="10"/>
      <c r="X75" s="10"/>
      <c r="Y75" s="10"/>
      <c r="Z75" s="10"/>
    </row>
    <row r="76">
      <c r="A76" s="10"/>
      <c r="B76" s="10"/>
      <c r="C76" s="16" t="s">
        <v>423</v>
      </c>
      <c r="D76" s="10"/>
      <c r="E76" s="10"/>
      <c r="G76" s="10"/>
      <c r="H76" s="10"/>
      <c r="I76" s="10"/>
      <c r="J76" s="10"/>
      <c r="K76" s="10"/>
      <c r="L76" s="10"/>
      <c r="M76" s="10"/>
      <c r="N76" s="10"/>
      <c r="O76" s="10"/>
      <c r="P76" s="10"/>
      <c r="Q76" s="10"/>
      <c r="R76" s="10"/>
      <c r="S76" s="10"/>
      <c r="T76" s="10"/>
      <c r="U76" s="10"/>
      <c r="V76" s="10"/>
      <c r="W76" s="10"/>
      <c r="X76" s="10"/>
      <c r="Y76" s="10"/>
      <c r="Z76" s="10"/>
    </row>
    <row r="77">
      <c r="A77" s="10"/>
      <c r="B77" s="10"/>
      <c r="C77" s="16" t="s">
        <v>408</v>
      </c>
      <c r="D77" s="10"/>
      <c r="E77" s="10"/>
      <c r="G77" s="10"/>
      <c r="H77" s="10"/>
      <c r="I77" s="10"/>
      <c r="J77" s="10"/>
      <c r="K77" s="10"/>
      <c r="L77" s="10"/>
      <c r="M77" s="10"/>
      <c r="N77" s="10"/>
      <c r="O77" s="10"/>
      <c r="P77" s="10"/>
      <c r="Q77" s="10"/>
      <c r="R77" s="10"/>
      <c r="S77" s="10"/>
      <c r="T77" s="10"/>
      <c r="U77" s="10"/>
      <c r="V77" s="10"/>
      <c r="W77" s="10"/>
      <c r="X77" s="10"/>
      <c r="Y77" s="10"/>
      <c r="Z77" s="10"/>
    </row>
    <row r="78">
      <c r="A78" s="10"/>
      <c r="B78" s="10"/>
      <c r="C78" s="16" t="s">
        <v>420</v>
      </c>
      <c r="D78" s="10"/>
      <c r="E78" s="10"/>
      <c r="G78" s="10"/>
      <c r="H78" s="10"/>
      <c r="I78" s="10"/>
      <c r="J78" s="10"/>
      <c r="K78" s="10"/>
      <c r="L78" s="10"/>
      <c r="M78" s="10"/>
      <c r="N78" s="10"/>
      <c r="O78" s="10"/>
      <c r="P78" s="10"/>
      <c r="Q78" s="10"/>
      <c r="R78" s="10"/>
      <c r="S78" s="10"/>
      <c r="T78" s="10"/>
      <c r="U78" s="10"/>
      <c r="V78" s="10"/>
      <c r="W78" s="10"/>
      <c r="X78" s="10"/>
      <c r="Y78" s="10"/>
      <c r="Z78" s="10"/>
    </row>
    <row r="79">
      <c r="A79" s="10"/>
      <c r="B79" s="10"/>
      <c r="C79" s="16" t="s">
        <v>46</v>
      </c>
      <c r="D79" s="10"/>
      <c r="E79" s="10"/>
      <c r="G79" s="10"/>
      <c r="H79" s="10"/>
      <c r="I79" s="10"/>
      <c r="J79" s="10"/>
      <c r="K79" s="10"/>
      <c r="L79" s="10"/>
      <c r="M79" s="10"/>
      <c r="N79" s="10"/>
      <c r="O79" s="10"/>
      <c r="P79" s="10"/>
      <c r="Q79" s="10"/>
      <c r="R79" s="10"/>
      <c r="S79" s="10"/>
      <c r="T79" s="10"/>
      <c r="U79" s="10"/>
      <c r="V79" s="10"/>
      <c r="W79" s="10"/>
      <c r="X79" s="10"/>
      <c r="Y79" s="10"/>
      <c r="Z79" s="10"/>
    </row>
    <row r="80">
      <c r="A80" s="10"/>
      <c r="B80" s="10"/>
      <c r="C80" s="16" t="s">
        <v>118</v>
      </c>
      <c r="D80" s="10"/>
      <c r="E80" s="10"/>
      <c r="G80" s="10"/>
      <c r="H80" s="10"/>
      <c r="I80" s="10"/>
      <c r="J80" s="10"/>
      <c r="K80" s="10"/>
      <c r="L80" s="10"/>
      <c r="M80" s="10"/>
      <c r="N80" s="10"/>
      <c r="O80" s="10"/>
      <c r="P80" s="10"/>
      <c r="Q80" s="10"/>
      <c r="R80" s="10"/>
      <c r="S80" s="10"/>
      <c r="T80" s="10"/>
      <c r="U80" s="10"/>
      <c r="V80" s="10"/>
      <c r="W80" s="10"/>
      <c r="X80" s="10"/>
      <c r="Y80" s="10"/>
      <c r="Z80" s="10"/>
    </row>
    <row r="81">
      <c r="A81" s="10"/>
      <c r="B81" s="10"/>
      <c r="C81" s="16" t="s">
        <v>426</v>
      </c>
      <c r="D81" s="10"/>
      <c r="E81" s="10"/>
      <c r="G81" s="10"/>
      <c r="H81" s="10"/>
      <c r="I81" s="10"/>
      <c r="J81" s="10"/>
      <c r="K81" s="10"/>
      <c r="L81" s="10"/>
      <c r="M81" s="10"/>
      <c r="N81" s="10"/>
      <c r="O81" s="10"/>
      <c r="P81" s="10"/>
      <c r="Q81" s="10"/>
      <c r="R81" s="10"/>
      <c r="S81" s="10"/>
      <c r="T81" s="10"/>
      <c r="U81" s="10"/>
      <c r="V81" s="10"/>
      <c r="W81" s="10"/>
      <c r="X81" s="10"/>
      <c r="Y81" s="10"/>
      <c r="Z81" s="10"/>
    </row>
    <row r="82">
      <c r="A82" s="10"/>
      <c r="B82" s="10"/>
      <c r="C82" s="16" t="s">
        <v>417</v>
      </c>
      <c r="D82" s="10"/>
      <c r="E82" s="10"/>
      <c r="G82" s="10"/>
      <c r="H82" s="10"/>
      <c r="I82" s="10"/>
      <c r="J82" s="10"/>
      <c r="K82" s="10"/>
      <c r="L82" s="10"/>
      <c r="M82" s="10"/>
      <c r="N82" s="10"/>
      <c r="O82" s="10"/>
      <c r="P82" s="10"/>
      <c r="Q82" s="10"/>
      <c r="R82" s="10"/>
      <c r="S82" s="10"/>
      <c r="T82" s="10"/>
      <c r="U82" s="10"/>
      <c r="V82" s="10"/>
      <c r="W82" s="10"/>
      <c r="X82" s="10"/>
      <c r="Y82" s="10"/>
      <c r="Z82" s="10"/>
    </row>
    <row r="83">
      <c r="A83" s="10"/>
      <c r="B83" s="10"/>
      <c r="C83" s="16" t="s">
        <v>150</v>
      </c>
      <c r="D83" s="10"/>
      <c r="E83" s="10"/>
      <c r="G83" s="10"/>
      <c r="H83" s="10"/>
      <c r="I83" s="10"/>
      <c r="J83" s="10"/>
      <c r="K83" s="10"/>
      <c r="L83" s="10"/>
      <c r="M83" s="10"/>
      <c r="N83" s="10"/>
      <c r="O83" s="10"/>
      <c r="P83" s="10"/>
      <c r="Q83" s="10"/>
      <c r="R83" s="10"/>
      <c r="S83" s="10"/>
      <c r="T83" s="10"/>
      <c r="U83" s="10"/>
      <c r="V83" s="10"/>
      <c r="W83" s="10"/>
      <c r="X83" s="10"/>
      <c r="Y83" s="10"/>
      <c r="Z83" s="10"/>
    </row>
    <row r="84">
      <c r="A84" s="10"/>
      <c r="B84" s="10"/>
      <c r="C84" s="16" t="s">
        <v>429</v>
      </c>
      <c r="D84" s="10"/>
      <c r="E84" s="10"/>
      <c r="G84" s="10"/>
      <c r="H84" s="10"/>
      <c r="I84" s="10"/>
      <c r="J84" s="10"/>
      <c r="K84" s="10"/>
      <c r="L84" s="10"/>
      <c r="M84" s="10"/>
      <c r="N84" s="10"/>
      <c r="O84" s="10"/>
      <c r="P84" s="10"/>
      <c r="Q84" s="10"/>
      <c r="R84" s="10"/>
      <c r="S84" s="10"/>
      <c r="T84" s="10"/>
      <c r="U84" s="10"/>
      <c r="V84" s="10"/>
      <c r="W84" s="10"/>
      <c r="X84" s="10"/>
      <c r="Y84" s="10"/>
      <c r="Z84" s="10"/>
    </row>
    <row r="85">
      <c r="A85" s="10"/>
      <c r="B85" s="10"/>
      <c r="C85" s="16" t="s">
        <v>416</v>
      </c>
      <c r="D85" s="10"/>
      <c r="E85" s="10"/>
      <c r="G85" s="10"/>
      <c r="H85" s="10"/>
      <c r="I85" s="10"/>
      <c r="J85" s="10"/>
      <c r="K85" s="10"/>
      <c r="L85" s="10"/>
      <c r="M85" s="10"/>
      <c r="N85" s="10"/>
      <c r="O85" s="10"/>
      <c r="P85" s="10"/>
      <c r="Q85" s="10"/>
      <c r="R85" s="10"/>
      <c r="S85" s="10"/>
      <c r="T85" s="10"/>
      <c r="U85" s="10"/>
      <c r="V85" s="10"/>
      <c r="W85" s="10"/>
      <c r="X85" s="10"/>
      <c r="Y85" s="10"/>
      <c r="Z85" s="10"/>
    </row>
    <row r="86">
      <c r="A86" s="10"/>
      <c r="B86" s="10"/>
      <c r="C86" s="16" t="s">
        <v>84</v>
      </c>
      <c r="D86" s="10"/>
      <c r="E86" s="10"/>
      <c r="G86" s="10"/>
      <c r="H86" s="10"/>
      <c r="I86" s="10"/>
      <c r="J86" s="10"/>
      <c r="K86" s="10"/>
      <c r="L86" s="10"/>
      <c r="M86" s="10"/>
      <c r="N86" s="10"/>
      <c r="O86" s="10"/>
      <c r="P86" s="10"/>
      <c r="Q86" s="10"/>
      <c r="R86" s="10"/>
      <c r="S86" s="10"/>
      <c r="T86" s="10"/>
      <c r="U86" s="10"/>
      <c r="V86" s="10"/>
      <c r="W86" s="10"/>
      <c r="X86" s="10"/>
      <c r="Y86" s="10"/>
      <c r="Z86" s="10"/>
    </row>
    <row r="87">
      <c r="A87" s="10"/>
      <c r="B87" s="10"/>
      <c r="C87" s="16" t="s">
        <v>139</v>
      </c>
      <c r="D87" s="10"/>
      <c r="E87" s="10"/>
      <c r="G87" s="10"/>
      <c r="H87" s="10"/>
      <c r="I87" s="10"/>
      <c r="J87" s="10"/>
      <c r="K87" s="10"/>
      <c r="L87" s="10"/>
      <c r="M87" s="10"/>
      <c r="N87" s="10"/>
      <c r="O87" s="10"/>
      <c r="P87" s="10"/>
      <c r="Q87" s="10"/>
      <c r="R87" s="10"/>
      <c r="S87" s="10"/>
      <c r="T87" s="10"/>
      <c r="U87" s="10"/>
      <c r="V87" s="10"/>
      <c r="W87" s="10"/>
      <c r="X87" s="10"/>
      <c r="Y87" s="10"/>
      <c r="Z87" s="10"/>
    </row>
    <row r="88">
      <c r="A88" s="10"/>
      <c r="B88" s="10"/>
      <c r="C88" s="16" t="s">
        <v>176</v>
      </c>
      <c r="D88" s="10"/>
      <c r="E88" s="10"/>
      <c r="G88" s="10"/>
      <c r="H88" s="10"/>
      <c r="I88" s="10"/>
      <c r="J88" s="10"/>
      <c r="K88" s="10"/>
      <c r="L88" s="10"/>
      <c r="M88" s="10"/>
      <c r="N88" s="10"/>
      <c r="O88" s="10"/>
      <c r="P88" s="10"/>
      <c r="Q88" s="10"/>
      <c r="R88" s="10"/>
      <c r="S88" s="10"/>
      <c r="T88" s="10"/>
      <c r="U88" s="10"/>
      <c r="V88" s="10"/>
      <c r="W88" s="10"/>
      <c r="X88" s="10"/>
      <c r="Y88" s="10"/>
      <c r="Z88" s="10"/>
    </row>
    <row r="89">
      <c r="A89" s="10"/>
      <c r="B89" s="10"/>
      <c r="C89" s="17" t="s">
        <v>419</v>
      </c>
      <c r="D89" s="10"/>
      <c r="E89" s="10"/>
      <c r="G89" s="10"/>
      <c r="H89" s="10"/>
      <c r="I89" s="10"/>
      <c r="J89" s="10"/>
      <c r="K89" s="10"/>
      <c r="L89" s="10"/>
      <c r="M89" s="10"/>
      <c r="N89" s="10"/>
      <c r="O89" s="10"/>
      <c r="P89" s="10"/>
      <c r="Q89" s="10"/>
      <c r="R89" s="10"/>
      <c r="S89" s="10"/>
      <c r="T89" s="10"/>
      <c r="U89" s="10"/>
      <c r="V89" s="10"/>
      <c r="W89" s="10"/>
      <c r="X89" s="10"/>
      <c r="Y89" s="10"/>
      <c r="Z89" s="10"/>
    </row>
    <row r="90">
      <c r="A90" s="10"/>
      <c r="B90" s="10"/>
      <c r="C90" s="16" t="s">
        <v>99</v>
      </c>
      <c r="D90" s="10"/>
      <c r="E90" s="10"/>
      <c r="G90" s="10"/>
      <c r="H90" s="10"/>
      <c r="I90" s="10"/>
      <c r="J90" s="10"/>
      <c r="K90" s="10"/>
      <c r="L90" s="10"/>
      <c r="M90" s="10"/>
      <c r="N90" s="10"/>
      <c r="O90" s="10"/>
      <c r="P90" s="10"/>
      <c r="Q90" s="10"/>
      <c r="R90" s="10"/>
      <c r="S90" s="10"/>
      <c r="T90" s="10"/>
      <c r="U90" s="10"/>
      <c r="V90" s="10"/>
      <c r="W90" s="10"/>
      <c r="X90" s="10"/>
      <c r="Y90" s="10"/>
      <c r="Z90" s="10"/>
    </row>
    <row r="91">
      <c r="A91" s="10"/>
      <c r="B91" s="10"/>
      <c r="C91" s="16" t="s">
        <v>36</v>
      </c>
      <c r="D91" s="10"/>
      <c r="E91" s="10"/>
      <c r="G91" s="10"/>
      <c r="H91" s="10"/>
      <c r="I91" s="10"/>
      <c r="J91" s="10"/>
      <c r="K91" s="10"/>
      <c r="L91" s="10"/>
      <c r="M91" s="10"/>
      <c r="N91" s="10"/>
      <c r="O91" s="10"/>
      <c r="P91" s="10"/>
      <c r="Q91" s="10"/>
      <c r="R91" s="10"/>
      <c r="S91" s="10"/>
      <c r="T91" s="10"/>
      <c r="U91" s="10"/>
      <c r="V91" s="10"/>
      <c r="W91" s="10"/>
      <c r="X91" s="10"/>
      <c r="Y91" s="10"/>
      <c r="Z91" s="10"/>
    </row>
    <row r="92">
      <c r="A92" s="10"/>
      <c r="B92" s="10"/>
      <c r="C92" s="16" t="s">
        <v>430</v>
      </c>
      <c r="D92" s="10"/>
      <c r="E92" s="10"/>
      <c r="G92" s="10"/>
      <c r="H92" s="10"/>
      <c r="I92" s="10"/>
      <c r="J92" s="10"/>
      <c r="K92" s="10"/>
      <c r="L92" s="10"/>
      <c r="M92" s="10"/>
      <c r="N92" s="10"/>
      <c r="O92" s="10"/>
      <c r="P92" s="10"/>
      <c r="Q92" s="10"/>
      <c r="R92" s="10"/>
      <c r="S92" s="10"/>
      <c r="T92" s="10"/>
      <c r="U92" s="10"/>
      <c r="V92" s="10"/>
      <c r="W92" s="10"/>
      <c r="X92" s="10"/>
      <c r="Y92" s="10"/>
      <c r="Z92" s="10"/>
    </row>
    <row r="93">
      <c r="A93" s="10"/>
      <c r="B93" s="10"/>
      <c r="C93" s="16" t="s">
        <v>425</v>
      </c>
      <c r="D93" s="10"/>
      <c r="E93" s="10"/>
      <c r="G93" s="10"/>
      <c r="H93" s="10"/>
      <c r="I93" s="10"/>
      <c r="J93" s="10"/>
      <c r="K93" s="10"/>
      <c r="L93" s="10"/>
      <c r="M93" s="10"/>
      <c r="N93" s="10"/>
      <c r="O93" s="10"/>
      <c r="P93" s="10"/>
      <c r="Q93" s="10"/>
      <c r="R93" s="10"/>
      <c r="S93" s="10"/>
      <c r="T93" s="10"/>
      <c r="U93" s="10"/>
      <c r="V93" s="10"/>
      <c r="W93" s="10"/>
      <c r="X93" s="10"/>
      <c r="Y93" s="10"/>
      <c r="Z93" s="10"/>
    </row>
    <row r="94">
      <c r="A94" s="10"/>
      <c r="B94" s="10"/>
      <c r="C94" s="16" t="s">
        <v>235</v>
      </c>
      <c r="D94" s="10"/>
      <c r="E94" s="10"/>
      <c r="G94" s="10"/>
      <c r="H94" s="10"/>
      <c r="I94" s="10"/>
      <c r="J94" s="10"/>
      <c r="K94" s="10"/>
      <c r="L94" s="10"/>
      <c r="M94" s="10"/>
      <c r="N94" s="10"/>
      <c r="O94" s="10"/>
      <c r="P94" s="10"/>
      <c r="Q94" s="10"/>
      <c r="R94" s="10"/>
      <c r="S94" s="10"/>
      <c r="T94" s="10"/>
      <c r="U94" s="10"/>
      <c r="V94" s="10"/>
      <c r="W94" s="10"/>
      <c r="X94" s="10"/>
      <c r="Y94" s="10"/>
      <c r="Z94" s="10"/>
    </row>
    <row r="95">
      <c r="A95" s="10"/>
      <c r="B95" s="10"/>
      <c r="C95" s="16" t="s">
        <v>418</v>
      </c>
      <c r="D95" s="10"/>
      <c r="E95" s="10"/>
      <c r="G95" s="10"/>
      <c r="H95" s="10"/>
      <c r="I95" s="10"/>
      <c r="J95" s="10"/>
      <c r="K95" s="10"/>
      <c r="L95" s="10"/>
      <c r="M95" s="10"/>
      <c r="N95" s="10"/>
      <c r="O95" s="10"/>
      <c r="P95" s="10"/>
      <c r="Q95" s="10"/>
      <c r="R95" s="10"/>
      <c r="S95" s="10"/>
      <c r="T95" s="10"/>
      <c r="U95" s="10"/>
      <c r="V95" s="10"/>
      <c r="W95" s="10"/>
      <c r="X95" s="10"/>
      <c r="Y95" s="10"/>
      <c r="Z95" s="10"/>
    </row>
    <row r="96">
      <c r="A96" s="10"/>
      <c r="B96" s="10"/>
      <c r="C96" s="16" t="s">
        <v>431</v>
      </c>
      <c r="D96" s="10"/>
      <c r="E96" s="10"/>
      <c r="G96" s="10"/>
      <c r="H96" s="10"/>
      <c r="I96" s="10"/>
      <c r="J96" s="10"/>
      <c r="K96" s="10"/>
      <c r="L96" s="10"/>
      <c r="M96" s="10"/>
      <c r="N96" s="10"/>
      <c r="O96" s="10"/>
      <c r="P96" s="10"/>
      <c r="Q96" s="10"/>
      <c r="R96" s="10"/>
      <c r="S96" s="10"/>
      <c r="T96" s="10"/>
      <c r="U96" s="10"/>
      <c r="V96" s="10"/>
      <c r="W96" s="10"/>
      <c r="X96" s="10"/>
      <c r="Y96" s="10"/>
      <c r="Z96" s="10"/>
    </row>
    <row r="97">
      <c r="A97" s="10"/>
      <c r="B97" s="10"/>
      <c r="C97" s="16" t="s">
        <v>427</v>
      </c>
      <c r="D97" s="10"/>
      <c r="E97" s="10"/>
      <c r="G97" s="10"/>
      <c r="H97" s="10"/>
      <c r="I97" s="10"/>
      <c r="J97" s="10"/>
      <c r="K97" s="10"/>
      <c r="L97" s="10"/>
      <c r="M97" s="10"/>
      <c r="N97" s="10"/>
      <c r="O97" s="10"/>
      <c r="P97" s="10"/>
      <c r="Q97" s="10"/>
      <c r="R97" s="10"/>
      <c r="S97" s="10"/>
      <c r="T97" s="10"/>
      <c r="U97" s="10"/>
      <c r="V97" s="10"/>
      <c r="W97" s="10"/>
      <c r="X97" s="10"/>
      <c r="Y97" s="10"/>
      <c r="Z97" s="10"/>
    </row>
    <row r="98">
      <c r="A98" s="10"/>
      <c r="B98" s="10"/>
      <c r="C98" s="16" t="s">
        <v>428</v>
      </c>
      <c r="D98" s="10"/>
      <c r="E98" s="10"/>
      <c r="G98" s="10"/>
      <c r="H98" s="10"/>
      <c r="I98" s="10"/>
      <c r="J98" s="10"/>
      <c r="K98" s="10"/>
      <c r="L98" s="10"/>
      <c r="M98" s="10"/>
      <c r="N98" s="10"/>
      <c r="O98" s="10"/>
      <c r="P98" s="10"/>
      <c r="Q98" s="10"/>
      <c r="R98" s="10"/>
      <c r="S98" s="10"/>
      <c r="T98" s="10"/>
      <c r="U98" s="10"/>
      <c r="V98" s="10"/>
      <c r="W98" s="10"/>
      <c r="X98" s="10"/>
      <c r="Y98" s="10"/>
      <c r="Z98" s="10"/>
    </row>
    <row r="99">
      <c r="A99" s="10"/>
      <c r="B99" s="10"/>
      <c r="C99" s="16" t="s">
        <v>215</v>
      </c>
      <c r="D99" s="10"/>
      <c r="E99" s="10"/>
      <c r="G99" s="10"/>
      <c r="H99" s="10"/>
      <c r="I99" s="10"/>
      <c r="J99" s="10"/>
      <c r="K99" s="10"/>
      <c r="L99" s="10"/>
      <c r="M99" s="10"/>
      <c r="N99" s="10"/>
      <c r="O99" s="10"/>
      <c r="P99" s="10"/>
      <c r="Q99" s="10"/>
      <c r="R99" s="10"/>
      <c r="S99" s="10"/>
      <c r="T99" s="10"/>
      <c r="U99" s="10"/>
      <c r="V99" s="10"/>
      <c r="W99" s="10"/>
      <c r="X99" s="10"/>
      <c r="Y99" s="10"/>
      <c r="Z99" s="10"/>
    </row>
    <row r="100">
      <c r="A100" s="10"/>
      <c r="B100" s="10"/>
      <c r="C100" s="16" t="s">
        <v>306</v>
      </c>
      <c r="D100" s="10"/>
      <c r="E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D101" s="10"/>
      <c r="E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6"/>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6"/>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6"/>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6"/>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6"/>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6"/>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6"/>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7"/>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7"/>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6"/>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6"/>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6"/>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6"/>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6"/>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6"/>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6"/>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6"/>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6"/>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6"/>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6"/>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6"/>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6"/>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6"/>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6"/>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6"/>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6"/>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6"/>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6"/>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6"/>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sheetData>
  <drawing r:id="rId1"/>
</worksheet>
</file>