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08-Fall-I2G-WEB" sheetId="1" r:id="rId5"/>
    <sheet state="visible" name="2023-08-Fall-I2G-STUDENTS" sheetId="2" r:id="rId6"/>
    <sheet state="visible" name="PARTNERS + SPONSORS" sheetId="3" r:id="rId7"/>
  </sheets>
  <definedNames/>
  <calcPr/>
</workbook>
</file>

<file path=xl/sharedStrings.xml><?xml version="1.0" encoding="utf-8"?>
<sst xmlns="http://schemas.openxmlformats.org/spreadsheetml/2006/main" count="787" uniqueCount="441">
  <si>
    <t>Track</t>
  </si>
  <si>
    <t>Order</t>
  </si>
  <si>
    <t>Year-Semester</t>
  </si>
  <si>
    <t>Class</t>
  </si>
  <si>
    <t>Team#</t>
  </si>
  <si>
    <t>Team Name</t>
  </si>
  <si>
    <t>Project Title</t>
  </si>
  <si>
    <t>Organization</t>
  </si>
  <si>
    <t>Industry</t>
  </si>
  <si>
    <t>Abstract</t>
  </si>
  <si>
    <t>Student Names</t>
  </si>
  <si>
    <t xml:space="preserve">Name: - Title: </t>
  </si>
  <si>
    <t>2023-08-Fall-CAP</t>
  </si>
  <si>
    <t>CAP</t>
  </si>
  <si>
    <t>OliveMatic Engineers</t>
  </si>
  <si>
    <t>Removal of MOO (Material Other than Olives)</t>
  </si>
  <si>
    <t>P-R Farms</t>
  </si>
  <si>
    <t>Food Processing</t>
  </si>
  <si>
    <t>Situated in the heart of Madera, CA, ENZO Olive Oil, a producer of premium olive oil, confronts operational challenges tied to manual sorting inefficiencies, specifically materials other than olives (MOO) and the problematic presence of olive knots. Olive knots result from the formation of tumor-like growths on olive branches, they share the same shape as olives which poses a problem to the labor workers who sort them. Our project responds to these challenges, proposing an automated olive sorting system for heightened efficiency. The Olivematic Engineers devised a stainless-steel rotating drum with strategically placed sifting holes all around it. The olives are fed into the rotating drum at a set RPM and sorted accordingly. To ensure the practicality of our design we successfully developed and tested a small-scale prototype, showcasing the viability of our approach. Emphasizing materials meeting food safety standards, easy maintenance, and minimal supervision requirements. Operationally, the full-scale rotating drum will be positioned post-hopper in the current physical setup at Enzo Olive Oil with the aid of conveyor belts, ensuring an uninterrupted flow of olives while effectively managing MOO for responsible disposal.</t>
  </si>
  <si>
    <t>Abigail Caporal, Andrew Starkman, Juan Hernandez Maciel, Tiffany Murga Duarte</t>
  </si>
  <si>
    <t>Team: OliveMatic Engineers  -  Project: Removal of MOO (Material Other than Olives)</t>
  </si>
  <si>
    <t>TerraFlip</t>
  </si>
  <si>
    <t>Soil Sterilizer Flipper (SSF)</t>
  </si>
  <si>
    <t>UC Merced Experimental Farm</t>
  </si>
  <si>
    <t>Agriculture</t>
  </si>
  <si>
    <t>The UC Merced Experimental Farm researches soil to analyze its physical and chemical properties, such as texture and organic matter content. This research contributes to sustainable land use, environmental conservation, and food security. To sterilize the soil, they use a sterilization chamber that heats the soil to kill all the bacteria, fungi, and other pathogens present in the soil. The problem is that the chamber is difficult to empty after the soil has been sterilized, and requires at multiple people to do move and empty the sterilized soil. We designed a soil sterilizer flipper to increase the efficiency of the emptying process, improve the transportation of the chamber, and reduce the number of people required for the sterilization process. Our design has significantly reduced the labor cost and demand of sterilizing soil for the UC Merced Experimental Farm.</t>
  </si>
  <si>
    <t>Christopher Frison, Carlos Lopez-Pagan, Christopher Wilson, Mario Casillas</t>
  </si>
  <si>
    <t>Team: TerraFlip  -  Project: Soil Sterilizer Flipper (SSF)</t>
  </si>
  <si>
    <t>Vanguard Solutions</t>
  </si>
  <si>
    <t>Wash Water Recycling System</t>
  </si>
  <si>
    <t>Live Oak Farms</t>
  </si>
  <si>
    <t>Live Oak Farms, since 1926, has been an essential agricultural producer located in the Central Valley that aims to deliver the community’s produce needs. From their implementation of various packing sheds and drip irrigation systems, the team at Live Oak Farms are dedicated to efficient agriculture. Therefore, they embarked on another journey, with the objective to further their efficiency of their water usage.   Currently, the tomatoes are placed into a 3000 gallon open water tank which washes off the silt, twigs and other debris found. Towards the end of day, the water is then disposed of, and the tank is cleaned for use the following day. This resulted a daily loss of, at minimum, 3000 gallons. Our team, Vanguard Solutions, was entrusted to develop a water management system with a recycle rate of 70%. Having examined different industrial systems, the team designed one that utilized a sedimentation tank coupled with a coagulant and sediment filter that would maintain the pH levels and ppm restrictions following state and FDA guidelines.</t>
  </si>
  <si>
    <t>Angel Fuentes, Dominic Bazzini, Felipe Zamarripa Mendoz, Gonzalo Gonzalez Avila</t>
  </si>
  <si>
    <t>Team: Vanguard Solutions  -  Project: Wash Water Recycling System</t>
  </si>
  <si>
    <t>Agricraft Crew</t>
  </si>
  <si>
    <t>Elevator Unload Trigger Redesign</t>
  </si>
  <si>
    <t>Flory Industries</t>
  </si>
  <si>
    <t>Flory Industries specializes in the production and manufacturing of nut-harvesting equipment. Nuts are first taken from trees and placed into the shuttle trucks which then pour the nuts into the elevators which transfer them into the large hopper trailer ready for transport. However, the nuts being poured into the hopper trailer have been found to overflow due to Flory’s current 4890-elevator's inability to handle two simultaneous requests from the operator of the shuttle truck. The solution to this issue would be designing a trigger that will enable the operator the capability to input two commands to the 4890-elevator belt, in turn providing greater and efficient operator control.</t>
  </si>
  <si>
    <t>Adam Escobar, Andrew Valdivias, Daisy Barrueta, Isaias Zea Tavera</t>
  </si>
  <si>
    <t>Team: Agricraft Crew  -  Project: Elevator Unload Trigger Redesign</t>
  </si>
  <si>
    <t>The Sweet Potato Planters</t>
  </si>
  <si>
    <t>Sweet Potato Planter Robotic End Effector</t>
  </si>
  <si>
    <t>Arnold Farms</t>
  </si>
  <si>
    <t>Arnold Farms, leading the California Sweet Potato Council, sought efficiency in their planting process. Addressing the challenge of manually separating and planting intertwined sweet potato seedlings, our team devised the Automatic Seedling Singulating and Conveying system. The process involves placing seedling bundles into a hopper, guiding them through a rotating notched cylinder that selects a single seedling. This seedling moves onto a conveyor belt, which directs it to a duct where it rests on a door mechanism. Ultrasonic sensors detect the approaching rotating clamp, signaling servo motors to open the door. Simultaneously, the pushing mechanism rotates the seedling to the clamp. Once complete, the door closes, and the pushing mechanism returns to its initial position. Rigorous testing confirmed the system's efficacy in separating and reaching a single seedling. The client stands to benefit significantly—reduced labor costs and minimized skips enhance cost savings and planting efficiency.</t>
  </si>
  <si>
    <t>Ariadne Castaneda, Efrain Lopez, Joe Priester, Stanley Carhee</t>
  </si>
  <si>
    <t>Team: The Sweet Potato Planters  -  Project: Sweet Potato Planter Robotic End Effector</t>
  </si>
  <si>
    <t>Almond Dryers</t>
  </si>
  <si>
    <t>Off-Orchard On-Ground Aeration System for Almond Drying</t>
  </si>
  <si>
    <t>UC Merced I2G</t>
  </si>
  <si>
    <t>Almond harvesting, due to new and existing policy, is going through a change in its methods. Traditionally, almonds are shaken from their trees and windrow dried. Then, they are collected and taken for further processing. In response to new demands, off-ground harvesting is being adopted by the market. This, however, removes the natural drying process in traditional harvesting since off-ground harvesting operates by direct shake-and-catch. Thus, our team was tasked with developing a system that could dry these wet stockpiled almonds. We ran simulations and did real-world testing of our system and were able to outperform windrow drying on a small scale. There is enough evidence to believe that, if upscaled properly, this system could be a definitive solution to this problem.</t>
  </si>
  <si>
    <t>Alejandro Lailson, Brian John Virtucio, Sergio Mendiola, Yuriana Medina-Fernandez</t>
  </si>
  <si>
    <t>Team: Almond Dryers  -  Project: Off-Orchard On-Ground Aeration System for Almond Drying</t>
  </si>
  <si>
    <t>Conveyed Solutions</t>
  </si>
  <si>
    <t>Spillage of Almond Steaming Line</t>
  </si>
  <si>
    <t>OFI</t>
  </si>
  <si>
    <t>Our partnership with OFI’s Hughson Nut facility in Livingston tackled their 7% almond product loss. We identified three key areas causing spillage. First, a stainless steel barrier reduced spillage by 1% between conveyor belts. Second, fixing a displaced bumper at the Cooling Belt cut spillage by 3%. Lastly, inefficient handling of non-compliant almonds on the deviation belt resulted in intermittent but significant loss. Upgrades to the deviation belt are planned to further reduce losses. Our initial solutions dropped product loss to 3%, saving Hughson Nut approximately $200,000. Further modifications to the deviation belt are expected to decrease losses even more.</t>
  </si>
  <si>
    <t>Alyssa Olszewski, Clarissa Duran, Daniela Reyes Aguilar, Gary Vivar</t>
  </si>
  <si>
    <t>Team: Conveyed Solutions  -  Project: Spillage of Almond Steaming Line</t>
  </si>
  <si>
    <t>SIOTM</t>
  </si>
  <si>
    <t>Garlic Bag to Bin</t>
  </si>
  <si>
    <t>Sensient Natural Ingredients</t>
  </si>
  <si>
    <t>Sensient Natural Ingredients (SNI) is committed to and specializes in the production of spices and flavor enhancers. Among the diverse range of products manufactured by SNI are garlic bulbs, cultivated in the high desert regions of Nevada, Washington, and Oregon. In the process of transporting these garlic bulbs to the Livingston, CA facility, empty wooden bins were used for transportation. However, the reliance on wooden bins presented challenges related to repair costs and transportation expenses. Due to the disadvantages of using wooden bins, the transition to bulk bags was made, but this shift raised concerns regarding storage limitations and the inability to reuse the bulk bags. In response to these challenges, our team assisted in the development of a forklift attachment prototype and helped with design improvements. The forklift attachment carries and dumps the garlic bulbs into the wooden bins for storage. This innovative attachment provides a faster and more efficient transfer of garlic bulbs from bulk bags into wooden bins.</t>
  </si>
  <si>
    <t>Diego Barraza, Kevin Ortega Flores, Michael Trimbel, Steven Choi</t>
  </si>
  <si>
    <t>Team: SIOTM  -  Project: Garlic Bag to Bin</t>
  </si>
  <si>
    <t>To Seed or Not to Seed</t>
  </si>
  <si>
    <t>Mandarin Seed Detection Solution</t>
  </si>
  <si>
    <t>Fowler Packing</t>
  </si>
  <si>
    <t>Based out of Fresno, CA, Fowler Packing specializes in cultivating grapes and mandarins. Within their Mandarin department, they face challenges with seeded mandarins making it into their seedless product. The current method utilized to prevent seeded mandarins is cutting and visually inspecting a small sample from a larger batch. This method leads to the destruction of products and proves inefficient in confirming the presence of seeds. This project aims to provide a non-destructive method for identifying seeded mandarins through Magnetic Resonance Imaging (MRI) and Image Detection Software. Our proposal would replace the current method to maintain their current volume tested while retaining the once-destroyed mandarins. After testing X-Ray technology at 30 and 50 kvP we determined that the seeds could not be differentiated from the pulp and natural gaps within the fruit. We found that MRI is possible to differentiate the seeds from other parts of the fruit, with no fear of radiation. Using low-tesla MRIs and being able to maximize the echo and repetition time, the image speed and detection will be able to test more mandarins in one hour than what is typically done in one day.</t>
  </si>
  <si>
    <t>Anthony Pino, Ed Fabian, Leonel Esquivel Chi, Sandra Hernandez Gonzalez, Tsion Michael</t>
  </si>
  <si>
    <t>Team: To Seed or Not to Seed  -  Project: Mandarin Seed Detection Solution</t>
  </si>
  <si>
    <t>CheeseTech</t>
  </si>
  <si>
    <t>640 Cheese Block Height Control</t>
  </si>
  <si>
    <t>Hilmar Cheese</t>
  </si>
  <si>
    <t>Hilmar Cheese Company, situated in Hilmar, CA, stands as one of the nation's leading cheese producers, renowned for its large-scale manufacturing operations. The company encountered a challenge in achieving consistent cheese block dimensions during the production process, along with reducing human interaction with the cheese block. In order to resolve these issues, we have decided to optimize their pneumatic system (pneumatic pistons) by replacing a solenoid valve with an SMC-style flow control valve and implementing a Standard Operation Procedures (SOPs) to increase the frequency of maintenance of the pneumatic system. This solution allows for better control in regulating airflow in the pneumatic system to allow for more control on cheese block dimensions.</t>
  </si>
  <si>
    <t>Brandon Mendez Salinas, Diego De Jesus Torres, Janet Reyes-Zamora, Luis Gatica-Diaz, Jeffrey Ball</t>
  </si>
  <si>
    <t>Team: CheeseTech  -  Project: 640 Cheese Block Height Control</t>
  </si>
  <si>
    <t>Wine Uncorker Society (WUS)</t>
  </si>
  <si>
    <t>Industrial, Ergonomic, Safe, Uncorker</t>
  </si>
  <si>
    <t>Delicato Family Vineyards</t>
  </si>
  <si>
    <t>Delicato Family Wines, based in Manteca CA, is a top 5 wine company in the US. As a large wine company, Delicato often has to recycle already bottled wine to be made into newer batches of wine. As part of this process it is necessary to open many wine bottles quickly, but the current method is to do this by hand resulting in broken corkscrews and wasted time. In response to this problem our team was tasked with creating a better wine bottle uncorker that is durable, transportable, efficient, safe, and ergonomic. Our team designed a drill combined with a chuck that that drills through the cork of bottles in a wide range of sizes allowing wine to flow through the hole. Using this design we constructed a prototype that will be given to Delicato for them to do with as they see fit whether that be using it as we designed it or to improve upon it themselves.</t>
  </si>
  <si>
    <t>Balraj Basra, Mark Henen, Tadhg Mcinerney, Timothy White</t>
  </si>
  <si>
    <t>Team: Wine Uncorker Society (WUS)  -  Project: Industrial, Ergonomic, Safe, Uncorker</t>
  </si>
  <si>
    <t>End Effector Developers *kachow*</t>
  </si>
  <si>
    <t>Robots Making Robots Using Cobots to Weld and Screw-Drive</t>
  </si>
  <si>
    <t>Omron</t>
  </si>
  <si>
    <t>Transportation</t>
  </si>
  <si>
    <t>Omron Robotics and Safety Technologies based in the East Bay area in Pleasanton, CA, is an automation technology development company focused on robotics design and manufacturing. Omron is a leader in the industrial automation field developing new mechanics, software, and electronics for a wide variety of robots. Currently, they are working on making a logistics robot and during production, they are spending too much time fastening 40+ screws onto a part of the robot. The company would like to automate this tedious process that takes 45 - 60 minutes and free up the workers to have them allocate their time elsewhere. Our goal was to match or reduce the time by creating an end effector that could complete the task with minimum worker intervention. With this in mind, we designed an end effector that is capable of picking up screws, switching between four bits, and torque sensing. The end effector is capable of doing the fastening procedure without any assistance from the workers. The length of the hood exceeds the range of the cobot arm so we designed a mount that would allow the workers to rotate the part. This would allow the arm to reach all parts of the hood and for full assembly.</t>
  </si>
  <si>
    <t>Brandon Fernandez Rosales, Christian Garcia, Joshua Judilla, Jake Pugh</t>
  </si>
  <si>
    <t>Team: End Effector Developers *kachow*  -  Project: Robots Making Robots Using Cobots to Weld and Screw-Drive</t>
  </si>
  <si>
    <t>Solar Collector Clean-up Crew</t>
  </si>
  <si>
    <t>Solar Industrial Process Heating - Automated Cleaning</t>
  </si>
  <si>
    <t>Winston Cone Optics</t>
  </si>
  <si>
    <t>Energy</t>
  </si>
  <si>
    <t>Our initiative, in collaboration with Winston Cone Optics (WCO), a renowned solar tech business in Merced, California led by Bennett Widyolar and Jordyn Brinkley, focuses on cleaning solar heating devices in the context of sustainable solar technology. The "1-point Mobile Frame Sprayer" is the new cleaning technology we developed to preserve panel quality and efficiency. With the help of this technology, solar collector efficiency was enhanced, and stains from hard water and scratches were negated. WCO wants to move industry away from fossil fuels and lower greenhouse gas emissions using solar thermal technologies. Our project produced comprehensive CAD models, simulations, and drawings to increase cleaning efficiency by removing dust and debris from the solar collectors. Our proposal essentially aimed to represent sustainability and modern engineering, supporting WCO's search for greener, more effective solar energy solutions through a "1-point Mobile Frame Sprayer."</t>
  </si>
  <si>
    <t>Estrella Martinez Mendez, Francisco Salcido, Gregory Wong, James Johnson Jr</t>
  </si>
  <si>
    <t>Team: Solar Collector Clean-up Crew  -  Project: Solar Industrial Process Heating - Automated Cleaning</t>
  </si>
  <si>
    <t>S.F.T (Spring Fatigue Tester)</t>
  </si>
  <si>
    <t>Spring Cycle Life Tester</t>
  </si>
  <si>
    <t>Betts Company</t>
  </si>
  <si>
    <t>Betts Company, a Fresno-based spring manufacturer serving heavy-duty transportation and the automotive aftermarket, required an innovative solution for accurately and reliably testing their truck springs. With no affordable options available on the market, we designed a Hydraulic press machine specifically tailored to Betts' needs. This robust and adaptable system can compress truck springs up to 150,000 cycles from free length to solid length. The machine, capable of withstanding forces up to 40k pounds, provides a cost-effective and versatile solution for testing different spring lengths. Beyond immediate applications, our design offers the potential for infinite life testing, enhancing Betts' ability to rate their springs accurately. This tool not only aids Betts in precise spring fatigue estimations but also allows consumers to better understand when to replace their springs, minimizing maintenance costs. Additionally, it enhances Betts' economic planning accuracy. Our tested and ready-to-use prototype pneumatic press machine signifies an advancement in spring testing technology, promising durability and reliability for Betts Company's manufacturing processes.</t>
  </si>
  <si>
    <t>Christian-Alexa Jimenez, Edgardo Benito Argueta, Giovanny Gonzalez, Paulino Flores</t>
  </si>
  <si>
    <t>Team: S.F.T (Spring Fatigue Tester)  -  Project: Spring Cycle Life Tester</t>
  </si>
  <si>
    <t>NOMOT</t>
  </si>
  <si>
    <t>Self Cleaning Harvester Kit</t>
  </si>
  <si>
    <t>The Morning Star Company</t>
  </si>
  <si>
    <t>The Morning Star Company harvests and produces the largest supply of tomato in the world. Located in Los Banos, California, Morning Star uses heavy agricultural tomato harvesters to pick up tomatoes from fields, ranging from Bakersfield to Sacramento. In the process of this harvesting operation, the harvesters are saturated with a large amount of dirt, roots, branches, and leaves, also known as material other than tomato (MOT). This debris is responsible for the premature wear of expensive components on the machines such as belts, rollers, and bearings, which is expensive and time consuming to repair. To reduce the amount of MOT buildup, our team designed a self cleaning harvester system, which consists of nozzles and a logic board, placed at hard to reach and high MOT buildup locations. This system will be used by the harvester operators, and with a flip of a switch, will spray high pressure water connected to a pressure washer, in order to clean and remove MOT to the designated areas. With this effective and controlled spraying of water, the system will reduce premature wear on components, as well as use a consistent amount of water, saving money and downtime on the harvesters.</t>
  </si>
  <si>
    <t>Alyssa Jones, Cesar Villalobos, Erick Patino Santiago, Seraj Sekander</t>
  </si>
  <si>
    <t>Team: NOMOT  -  Project: Self Cleaning Harvester Kit</t>
  </si>
  <si>
    <t>Becky Gladhand Evaders</t>
  </si>
  <si>
    <t>Shuttle Truck Connection Automation with Robotic Arm</t>
  </si>
  <si>
    <t>The Morning Star Packing Company produces, processes, and packages tomato products nationwide. When harvesting the tomatoes, the drivers must get out of the shuttle and manually connect the air brakes to the trailers. Our team's task was to increase the efficiency of the tomato harvest by automating the process of engaging the air brakes from the shuttle to the trailer. This was done by designing a new system that simplified the motion needed. The project uses a lift attached to the shuttle, which raises a plate with the airbrake connections funneled through. The plate is lifted to an end effector that is attached to the trailer. The two plates meet and they use magnets for alignment and multiple locking systems to ensure safety. The airbrake lines shall connect to the lines on the end effector and allow airflow. This disengages the brakes in the trailer, allowing the vehicle to move.</t>
  </si>
  <si>
    <t>alex hartzler, Angela Lizarzaburu, Carlos Diaz Diaz, jovannie ruiz</t>
  </si>
  <si>
    <t>Team: Becky Gladhand Evaders  -  Project: Shuttle Truck Connection Automation with Robotic Arm</t>
  </si>
  <si>
    <t>2023-08-Fall-CEE</t>
  </si>
  <si>
    <t>CEE</t>
  </si>
  <si>
    <t>CE401</t>
  </si>
  <si>
    <t>The Ronan Point Apartment Tower Case</t>
  </si>
  <si>
    <t>ASCE</t>
  </si>
  <si>
    <t>Civil Engineering</t>
  </si>
  <si>
    <t>The Ronan Point apartment tower experienced a progressive collapse in 1968 after a load bearing wall failed due to a small gas explosion. Our team was tasked with evaluating the structural failure of the building and recommending a new design that would have restricted failure to the floor at which it occurred. We have deemed that the fault of the failure was a lack of alternative load paths. Our design recommendations include using reinforced concrete columns and structural beams to brace across the sides of the building.</t>
  </si>
  <si>
    <t>Marco Buenrostro, Elana Glenny, Rahim Moulanazada, Ollie Sears</t>
  </si>
  <si>
    <t>CE402</t>
  </si>
  <si>
    <t>Solar Pump Station Including Water Treatment</t>
  </si>
  <si>
    <t>Merced County</t>
  </si>
  <si>
    <t>Civil and Environmental Engineering</t>
  </si>
  <si>
    <t>The proposed project design consists of a solar powered pumping well station and ion exchange water filtration system to deliver potable and palatable water to the 1500 residents of Le Grand, California. The various sub-components for the system include filtration, pump, water storage, and backup battery units. The economic feasibility of the project is to ensure the affordability for the residents, generate profit, and perform a risk assessment for the design. To conclude, testing methods were conducted on the components of our system to deliver a sustainable, safe, and affordable engineered solution to the residents of Le Grand.</t>
  </si>
  <si>
    <t>John Betbabanta, Evamercedes Gallardo, Cristian Recinos, Angie Rosales</t>
  </si>
  <si>
    <t>CE403</t>
  </si>
  <si>
    <t>The Solar Pump Station Including Water Treatment project, focused on Le Grand, California, with approximately 1,500 residents, aims to address the complex challenges faced by rural American communities in their pursuit of clean and affordable water supplies. To accomplish this, a rural community water pumping station will be established, powered by a 1 MW Solar Photovoltaic System, and supported by a backup battery system to ensure a reliable water supply. The installed capacity of 1 MW will power the water pumping station as well as supplying excess energy to the Le Grand community. To meet these goals, the project team plans to implement monocrystalline solar panels and utilize two types of pumps, submersible and centrifugal. Additionally, water treatment will be conducted using reverse osmosis technology. The water pump station will transfer the water to the water tower, where it will be stored to ensure a minimum of two days' water supply for the Le Grand community. This project also seeks to tackle water quality concerns while estimating the system's capacity to serve households and calculating associated costs.</t>
  </si>
  <si>
    <t>Julie Contreras, Maria Contreras, Laurenz King, Jeremy Veramendi</t>
  </si>
  <si>
    <t>CE404</t>
  </si>
  <si>
    <t>Access to clean and reliable water still remains a critical issue in many rural communities within the Central Valley. Our project addressed this challenge through the design of a solar-powered water pumping station aimed at providing a clean and affordable water solution for the 1,500 residents of Le Grand, CA. The proposed design consists of an 800 kW solar panel array, serving as the primary power source for the water pump and filtration system. This solution represents a significant step towards enhancing water accessibility and sustainability in underserved rural regions.</t>
  </si>
  <si>
    <t>De'Liz Amador, Serena Arzabal, Abel De La Torre-Fuentes, Steve Lee</t>
  </si>
  <si>
    <t>CE405</t>
  </si>
  <si>
    <t>Lake Hodges Reservoir Sustainable Hypolimnion Oxygenation System</t>
  </si>
  <si>
    <t>Dr. Marc Beutel/City of San Diego</t>
  </si>
  <si>
    <t>Water Utility</t>
  </si>
  <si>
    <t>Levels of dissolved oxygen in bottom water decline to zero in Hodges Reservoir, San Diego, harming aquatic biota and complicating water treatment. To improve water quality, pure oxygen gas will be added to bottom waters using a submerged cone capable of delivering 4,000 kg/d of oxygen (O2) to bottom water. Around 2,000 kg/d of oxygen gas will be generated sustainably via electrolysis powered by a wind turbine system and a solar panel system. This will be supplemented by purchased liquid oxygen which will be delivered and stored on site. Any excess energy that is generated by the wind/solar system will be sold back to the regional energy grid. The oxygenated water will be cheaper to treat, and this cost savings will offset much of the operating cost of the oxygenation system. The oxygenation system will economically and sustainably establish well-oxygenated conditions in the bottom of Lake Hodges.</t>
  </si>
  <si>
    <t>Sebastian Guitron, Jessica Saad, Douglas Uchoas</t>
  </si>
  <si>
    <t>2023-08-Fall-CSE</t>
  </si>
  <si>
    <t>CSE</t>
  </si>
  <si>
    <t>Cold Storage Crew ඞ</t>
  </si>
  <si>
    <t>Employee Coaching and Development Tool</t>
  </si>
  <si>
    <t>United States Cold Storage</t>
  </si>
  <si>
    <t>United States Cold Storage is a leading warehousing company specializing in frozen and refrigerated food industries. The company emphasizes employee welfare and skills by conducting regular task observations. USCS faced challenges such as an unresponsive user interface (UI) and needing to adapt to evolving customer demands. Our team developed a web application that aims to overhaul the existing employee coaching and observation system, addressing issues and incorporating new functionalities to enhance efficiency. As a result, the company can incentivize employees to perform tasks safely and efficiently to earn bonuses.</t>
  </si>
  <si>
    <t>Esha Sarfraz, Harold Reyes, Ricardo Pimentel, William Le</t>
  </si>
  <si>
    <t>Daytapack</t>
  </si>
  <si>
    <t>Digital AI Backpack - Backpack Opportunities Crawler</t>
  </si>
  <si>
    <t>Conectado</t>
  </si>
  <si>
    <t>Non-Profit</t>
  </si>
  <si>
    <t>The Digital AI Backpack project was presented in collaboration between Conectado and Linker Finance. Conectado aims to revolutionize underrepresented inclusion in STEAM, offering a virtual platform connecting educational institutions, social impact organizations, and businesses to empower these same students in tech. Meanwhile, Linker Finance, an embedded finance platform, facilitates the rapid launch of FinTech and Bank-like apps. The project addressed the absence of a centralized database for students' opportunities, scattered across various formats. The team's objective was to extract, store, and structure opportunities, employing AI methods for text recognition, Optical Character Recognition, and Large Language Models. The result was a user-friendly app, fostering tailored recommendations for students while seamlessly integrating; financial, educational, and professional resources.</t>
  </si>
  <si>
    <t>Ana Sanchez Duran, Baixi Guo, Leo Rozay, Rodrigo Melendez</t>
  </si>
  <si>
    <t>Team Star</t>
  </si>
  <si>
    <t>Virtual Warehouse</t>
  </si>
  <si>
    <t>Nutstar Software</t>
  </si>
  <si>
    <t>NutStar Software has been working in the tree nut industry for over 15 years providing inventory management, financial tracking, and comprehensive reports for their clients.  Lost and mishandled inventory using traditional hand scanners has caused problems for the tree nut industry and NutStar aims to solve that problem. Our team has built from a previous team’s foundation software to get the exact location of inventory in a 3D matrix. We use Bluetooth angle of Arrival locators and tags to track where inventory is, and if it has been moved. With a simple interface, a warehouse worker can easily track the exact location of inventory in a 3D matrix.</t>
  </si>
  <si>
    <t>Colton Kaelin, Justin Nguyen, Rogelio Barajas, YiXiang Ren</t>
  </si>
  <si>
    <t>Innovit2Winnovit</t>
  </si>
  <si>
    <t>Building a Database for Community and Mentors Engagement</t>
  </si>
  <si>
    <t>Innovit</t>
  </si>
  <si>
    <t>Software</t>
  </si>
  <si>
    <t>INNOVIT is a multifaceted organization with a presence in San Francisco, Milan, and the Silicon Valley, serving as an Italian Innovation Center, Cultural Institute, and Trade Agency. The organization facilitates connections between mentors and speakers from prominent industries with startups, hosting various workshop events. Recognizing the need for a more efficient method of identifying specific mentors for events or partnerships, INNOVIT identified a challenge within its current system— an abundance of disorganized spreadsheets and CSV files. To address this issue, the team has developed a comprehensive database system. This system can house diverse data related to mentors and speakers, allowing users to employ search criteria such as company name and expertise to generate specialized lists. Additionally, the system offers Import/Export functionality for CSV files, providing a user-friendly interface. In response to the current database's limitations, our team collected feedback, identified areas for improvement, and conducted thorough research to design the new system.</t>
  </si>
  <si>
    <t>Carlos Lopez, Elvis Mercado, Jorge Cruz, Maya Chidambaram</t>
  </si>
  <si>
    <t>I2Hand</t>
  </si>
  <si>
    <t>Camera to Robot Calibration</t>
  </si>
  <si>
    <t>Omron Robotics and Safety Technologies, Inc.</t>
  </si>
  <si>
    <t>Omron Robotics and Safety Technologies, Inc. (ORT) develops industrial, collaborative, and mobile robots for various applications. ORT currently implements an error-prone calibration method for their six-axis robots. Team 305’s task was to develop calibration methods both for a camera mounted on the robot and for a fixed camera. These calibration methods should be accurate within 0.5mm and be easy to use. This was accomplished by using the 3D camera and stitching together point clouds of a sphere to calculate the center of the ball accurately. That center was used to generate the transformation between the robot and the camera. After this calibration method, the robot can locate objects within 0.2 mm.</t>
  </si>
  <si>
    <t>Alexander Lagarda, Angel Perez Mendoza, Ronald Chen, Robert Palermo, Sahus Nulu</t>
  </si>
  <si>
    <t>Battery Bros</t>
  </si>
  <si>
    <t>Online Battery Discharge/Charge Time Estimation</t>
  </si>
  <si>
    <t>OMRON is a robotics company that develops industrial, mobile, and collaborative robots to improve lives and contribute to a better society.  The objective was to estimate the State of Charge (SOC) in lithium-ion batteries found in the robots. We used Python to code the backend in which we take the CSV files given to us from OMRON, convert them to SQLite database files to then separate the charge and discharge values to calculate the charging and discharging ratios. These ratios are sent to the front end to display the graphs and show the charging and discharging times which will be updated every 5 seconds. We utilized Message Queuing Telemetry Transport (MQTT) in Python to create an application enabling multiple users to monitor battery progress in real-time. This project will provide OMRON with the ability to streamline the power management of the batteries and enhance user awareness by showing them the current battery charge/discharging status.</t>
  </si>
  <si>
    <t>Luis Gonzalez, Margarito Avila, Mario Barrera, Maithreyee Vatsan, Ray Aguilar</t>
  </si>
  <si>
    <t>zerdnang</t>
  </si>
  <si>
    <t>Defect Detection on Silicon Wafer Using Neural Network</t>
  </si>
  <si>
    <t>Western Digital</t>
  </si>
  <si>
    <t>Computers</t>
  </si>
  <si>
    <t>Western Digital Corporation, a prominent American manufacturer, specializes in computer drives and data storage solutions, including hard drives and Flash Memory Solid State Drives (SSD). The company aims to enhance the detection of defects in silicon wafers, a crucial component in manufacturing data storage devices. The objective is to employ a sophisticated open-source Regional Convolutional Neural Network (R-CNN) for the early identification of subtle defects that are not easily detected by human inspection. This approach involves generating synthetic greyscale images of clean wafers, superimposing random defects, and training a U-net model to classify these defects. This initiative is expected to significantly reduce the risk of electrical malfunctions in final products, leading to higher efficiency in the manufacturing process and maintaining Western Digital's reputation for quality. The team has developed a program to generate digital grayscale wafers with adjustable parameters and another program that creates random, commonly seen defects, also with adjustable parameters. Furthermore, the team has created a model that detects the defects on the wafer and provides information about them. Western Digital began initial testing on real data, achieving a capture ratio above 80%, with the Faster R-CNN model successfully detecting real defects. The team's contributions are pivotal in implementing proactive quality control measures that promise to set a new standard in the industry.</t>
  </si>
  <si>
    <t>Deep Singh Mehroke, Henry Rodas Hernandez, Joshua Alberti, Tai Pham</t>
  </si>
  <si>
    <t>CodeMonkeys</t>
  </si>
  <si>
    <t>ComprehendAI</t>
  </si>
  <si>
    <t>Sweep Energy</t>
  </si>
  <si>
    <t>Sweep creates large data workflow software for handling many data kinds, including text, machine, and image data. Sweep collaborates with customers to deliver unique workflow solutions using the Sweep API, a straightforward cloud-based data gathering platform for storing and analyzing time series data in a scalable manner. Big Language Models have the power to fundamentally alter the nature of knowledge work and the methods by which we gather, process, and comprehend data.  Sweep had the need for a straightforward solution that makes use of an online API or huge language model that is available as open source in order to tackle the problem of information loss in a company's internal PDF documents. This application can read PDF files, translate them into text that is readable by computers, and produce summaries that may be included into a unique process. The program will speed up data processing and improve access to important data kept on web intranets or local network filesystems.  The solution we came up with was using OpenAI's GPT 3.5 Large Language Model to take in compressed files we give it to have an understanding of the files contents. Once the files are received, we can then ask the system questions based on those files. The files we feed the LLM are compressed to ensure cost optimality.</t>
  </si>
  <si>
    <t>Jonathan Ballona Sanchez, Kobey Pabellan, Manuel Macias, Samuel Saldivar</t>
  </si>
  <si>
    <t>Demeter's Secret</t>
  </si>
  <si>
    <t>Satellite Imagery Web Application</t>
  </si>
  <si>
    <t>Gradient Crop Yield Solutions, a Morning Star Company subsidiary, aims to transform crop health monitoring for Central Valley growers through an innovative and cost-effective web platform. Led by a dedicated team, the platform leverages AWS database, Flask on the backend, and React on the frontend. It enables seamless KML file uploads, triggering the backend to process Sentinel 2 imagery using NDVI/NDRE algorithms. The user-friendly interface integrates mapping libraries to showcase the most recent processed images overlaid on grower fields, delivering a cost-efficient solution that empowers growers with timely insights into crop health. This innovative approach offers a competitive alternative for informed decision-making.</t>
  </si>
  <si>
    <t>David Bates, Dmitri Lopez, Jonathan Leon-Rios, Kevin Torres-Anaya</t>
  </si>
  <si>
    <t>WD Mountain Climbers</t>
  </si>
  <si>
    <t>Ascent:: Employee Training Application</t>
  </si>
  <si>
    <t>Western Digital is looking for an efficient and effective way to train its employees. Currently, the client lacks a training system that supports usability and information retention. The purpose of the project is to develop a fully functioning app that facilitates learning and content creation. The app the team created allows Western Digital the freedom to upload content and organize it into training plans that the employees will review and learn from. The neat and accessible webpages being accessed by the employees and managers were programmed with REACT. Meanwhile, the back end integrates Java Spring Boot for organized program management, and MySQL for a secure database.</t>
  </si>
  <si>
    <t>Eric Ponce, Izaac Ramirez, Kenzie Maxoutopoulis, Megan Phillips</t>
  </si>
  <si>
    <t>The SegFaults</t>
  </si>
  <si>
    <t>PhoenixSync: Remote Firmware Management for IoT</t>
  </si>
  <si>
    <t>Telit Cinterion</t>
  </si>
  <si>
    <t>Networking</t>
  </si>
  <si>
    <t>Telit Cinterion serves as a pivotal connection catalyst, facilitating seamless connectivity with the transformative potential to enhance lives, redefine businesses, and shape a better future in today's hyperconnected world. Leveraging Internet of Things (IoT) devices, this approach accommodates solutions involving a diverse range of devices. Telit often engages in large-scale implementations with numerous field devices lacking efficient remote management capabilities, necessitating manual intervention for processes such as updates, management, and rollouts. In response, we have developed PheonixSync, a innovative solution utilizing Eclipse Hawkbit. This prototype streamlines the management of IoT devices, offering a robust and user-friendly interface for remote device management, firmware updates, improved security, and comprehensive device information.</t>
  </si>
  <si>
    <t>Cara Hill, Emmanuel Jerez, Hrishikesh Tiwari, Zhong Cai</t>
  </si>
  <si>
    <t>Bio-Secure Schedulers</t>
  </si>
  <si>
    <t>Bio-Secure Scheduler</t>
  </si>
  <si>
    <t>Agrecom</t>
  </si>
  <si>
    <t>Agrecom is a company providing water treatment, sanitation, and pest control services to local agricultural, residential, and commercial properties. Agrecom’s workers are required to follow strict quarantine restrictions when going from one job site to the next. Consequently, schedules need to be created with these constraints in mind, which is currently a manual and time-consuming process.  The team took on this problem and developed a comprehensive solution to automate schedule creation in the form of a web application. Using customer, job, and employee information inputted by a user, an optimal schedule can be generated that follows all of the necessary constraints. This schedule can then be exported as a file or sent directly to employees as calendar invite emails.</t>
  </si>
  <si>
    <t>Damian Soto, Kevin Lafreniere, Michael Tapia, Tejas Bhartiya</t>
  </si>
  <si>
    <t>Towkyo Drift</t>
  </si>
  <si>
    <t>CTTA Member Database Management and Automation</t>
  </si>
  <si>
    <t>California Tow Truck Association</t>
  </si>
  <si>
    <t>The California Tow Truck Association (CTTA) is a non-profit organization providing solutions and resources that empower towing companies across the state to be more professional and progressive within the towing and emergency road-service industry. CTTA’s current database management systems are not only difficult to navigate, but also split across multiple providers—resulting in issues of data loss when transferring information between those separated systems. The team developed a new, in-house database management system to both simplify workflows and congregate the multiple databases into one centralized system and deployed their prototype to a cloud server via Amazon Web Services.</t>
  </si>
  <si>
    <t>Cameron Tobin, Derek Stanford, Shelly Anne Abu, Tyler Armstrong</t>
  </si>
  <si>
    <t>🧢🗿</t>
  </si>
  <si>
    <t>Capstone Purchasing App</t>
  </si>
  <si>
    <t>UC Merced SoE</t>
  </si>
  <si>
    <t>The School of Engineering faces significant challenges with its current capstone project purchasing process, causing delays for both faculty and students. To address these pain points, our team developed a web application that offers a plethora of features that aims to enhance the efficiency and effectiveness of capstone purchasing process. This includes a straightforward and user-friendly Purchase Request Wizard, real-time status updates throughout the purchase request process, an efficient approval, inventory and budget management system, an Admin Dashboard for at-a-glance access to crucial information, and a responsive and scalable web application that utilizes AWS infrastructure.</t>
  </si>
  <si>
    <t>Julian Balbuena, Liam Stelly-Hawkes, Mark Soria Medina, Regina Chavez</t>
  </si>
  <si>
    <t>Spot The Pathogen</t>
  </si>
  <si>
    <t>Plant Disease Diagnosis using AI</t>
  </si>
  <si>
    <t>SunBurst</t>
  </si>
  <si>
    <t>BioTech</t>
  </si>
  <si>
    <t>The client, Sunburst Ag Research and Innovation Center, conducts plant, soil, and water diagnostics for diseases caused by agronomically important plant pathogens. The assigned task was to create a user-friendly desktop application that accepts plant pathogen images as seen from a microscope and outputs the predicted plant pathogen. Our project consisted of using a pre-trained CNN, EffNet, and then fine tuning the weights based on a client provided dataset that we applied image processing techniques to. The resulting model will be employed on our user interface, where it will be used for teaching opportunities and for assisting our client.</t>
  </si>
  <si>
    <t>Adam Crawford, Alexandra Diaz, Alex Frias, Alberto Gutierrez, Christopher Fabian</t>
  </si>
  <si>
    <t>Data Runners</t>
  </si>
  <si>
    <t>Data Clean-Up Tool</t>
  </si>
  <si>
    <t>Our team has engineered a sophisticated data purification tool for United States Cold Storage (USCS), a leading warehousing company specializing in frozen and refrigerated food industries. Our application tackles the pervasive issue of erroneous data within their legacy Warehouse Management System. The tool excels in transforming and aligning disparate data formats—including XML, CSV, and PDF—into a clean, functional state, ready for the system transition. It delivers a seamless, user-friendly experience, allowing easy data manipulation through a graphic interface, reducing laborious manual corrections. The solution boasts not only standard data structuring features but also advanced functionalities to weed out duplications, rectify formatting errors, and facilitate data amalgamation. This tool significantly optimizes data integrity and resource allocation for USCS.</t>
  </si>
  <si>
    <t>Fatima Amin, Federico Moreno, Mohamed Hasan, Tom Le</t>
  </si>
  <si>
    <t>2024-01-Spring-CAP</t>
  </si>
  <si>
    <t>CAP-101</t>
  </si>
  <si>
    <t>Electrospinning</t>
  </si>
  <si>
    <t>UC Merced</t>
  </si>
  <si>
    <t>Materials</t>
  </si>
  <si>
    <t>Abstract-101</t>
  </si>
  <si>
    <t>Students-101</t>
  </si>
  <si>
    <t>CAP-102</t>
  </si>
  <si>
    <t>3D Printing Funnel CPC Blocks 2-Set for Thru-Reflector-Wall (TRW) Solar Cooker-Kitchens</t>
  </si>
  <si>
    <t>Joel H. Goodman</t>
  </si>
  <si>
    <t>Other</t>
  </si>
  <si>
    <t>Abstract-102</t>
  </si>
  <si>
    <t>Students-102</t>
  </si>
  <si>
    <t>CAP-103</t>
  </si>
  <si>
    <t>Drum Pallet Sorting and Dispensing</t>
  </si>
  <si>
    <t>Abstract-103</t>
  </si>
  <si>
    <t>Students-103</t>
  </si>
  <si>
    <t>CAP-104</t>
  </si>
  <si>
    <t>Director of Campus Engineering Services</t>
  </si>
  <si>
    <t>UC Merced Facilities Management/Sierra Delta ASHRAE</t>
  </si>
  <si>
    <t>Abstract-104</t>
  </si>
  <si>
    <t>Students-104</t>
  </si>
  <si>
    <t>CAP-105</t>
  </si>
  <si>
    <t>Ensuring Consistency Between Dye Lots for 3D Printing</t>
  </si>
  <si>
    <t>Streamline 3D</t>
  </si>
  <si>
    <t>Abstract-105</t>
  </si>
  <si>
    <t>Students-105</t>
  </si>
  <si>
    <t>CAP-106</t>
  </si>
  <si>
    <t>Carbon Negative Cotton Planter</t>
  </si>
  <si>
    <t>UmidaAg</t>
  </si>
  <si>
    <t>Abstract-106</t>
  </si>
  <si>
    <t>Students-106</t>
  </si>
  <si>
    <t>CAP-107</t>
  </si>
  <si>
    <t>Urine Collection for Agricultural Fertilizer Use</t>
  </si>
  <si>
    <t>Abstract-107</t>
  </si>
  <si>
    <t>Students-107</t>
  </si>
  <si>
    <t>CAP-108</t>
  </si>
  <si>
    <t>Vent Structure Sound Attenuation</t>
  </si>
  <si>
    <t>BART</t>
  </si>
  <si>
    <t>Abstract-108</t>
  </si>
  <si>
    <t>Students-108</t>
  </si>
  <si>
    <t>CAP-109</t>
  </si>
  <si>
    <t>Tunnel Sound Attenuation</t>
  </si>
  <si>
    <t>Abstract-109</t>
  </si>
  <si>
    <t>Students-109</t>
  </si>
  <si>
    <t>CAP-110</t>
  </si>
  <si>
    <t>BART Train Washer Efficiency</t>
  </si>
  <si>
    <t>Abstract-110</t>
  </si>
  <si>
    <t>Students-110</t>
  </si>
  <si>
    <t>CAP-111</t>
  </si>
  <si>
    <t>Warped Fiber Straightening Tool</t>
  </si>
  <si>
    <t>E&amp;J Gallo Winery</t>
  </si>
  <si>
    <t>Abstract-111</t>
  </si>
  <si>
    <t>Students-111</t>
  </si>
  <si>
    <t>CAP-112</t>
  </si>
  <si>
    <t>Test Stand for Filler Valves</t>
  </si>
  <si>
    <t>Abstract-112</t>
  </si>
  <si>
    <t>Students-112</t>
  </si>
  <si>
    <t>CAP-113</t>
  </si>
  <si>
    <t>Pkg 4 - Spillage</t>
  </si>
  <si>
    <t>Abstract-113</t>
  </si>
  <si>
    <t>Students-113</t>
  </si>
  <si>
    <t>CAP-114</t>
  </si>
  <si>
    <t>Boxing Efficiency</t>
  </si>
  <si>
    <t>Abstract-114</t>
  </si>
  <si>
    <t>Students-114</t>
  </si>
  <si>
    <t>CAP-115</t>
  </si>
  <si>
    <t>Metal Additive Manufacturing Build Diagnostic</t>
  </si>
  <si>
    <t>Lawrence Livermore National Laboratory</t>
  </si>
  <si>
    <t>Abstract-115</t>
  </si>
  <si>
    <t>Students-115</t>
  </si>
  <si>
    <t>CAP-116</t>
  </si>
  <si>
    <t>Powder Explosibility Nozzle Removal</t>
  </si>
  <si>
    <t>Abstract-116</t>
  </si>
  <si>
    <t>Students-116</t>
  </si>
  <si>
    <t>CAP-117</t>
  </si>
  <si>
    <t>Automatic Almond Sampling Device</t>
  </si>
  <si>
    <t>Blue Diamond Growers</t>
  </si>
  <si>
    <t>Abstract-117</t>
  </si>
  <si>
    <t>Students-117</t>
  </si>
  <si>
    <t>CAP-118</t>
  </si>
  <si>
    <t>PSL Conveyor Fault Analysis &amp; Optimization</t>
  </si>
  <si>
    <t>Frito Lay</t>
  </si>
  <si>
    <t>Abstract-118</t>
  </si>
  <si>
    <t>Students-118</t>
  </si>
  <si>
    <t>CAP-119</t>
  </si>
  <si>
    <t>Waterless High Throughput Pistachio Huller</t>
  </si>
  <si>
    <t>USA Produce</t>
  </si>
  <si>
    <t>Abstract-119</t>
  </si>
  <si>
    <t>Students-119</t>
  </si>
  <si>
    <t>CAP-120</t>
  </si>
  <si>
    <t>Screen Damage Prevention Detection Tracking</t>
  </si>
  <si>
    <t>CFT</t>
  </si>
  <si>
    <t>Abstract-120</t>
  </si>
  <si>
    <t>Students-120</t>
  </si>
  <si>
    <t>CAP-121</t>
  </si>
  <si>
    <t>Computer controlled motion control of a cell stretcher</t>
  </si>
  <si>
    <t>Abstract-121</t>
  </si>
  <si>
    <t>Students-121</t>
  </si>
  <si>
    <t>CAP-122</t>
  </si>
  <si>
    <t>Precise Measurement Analysis for Interventional pain procedures to under fluoroscopic guidance</t>
  </si>
  <si>
    <t>Pain Away Solutions, LLC</t>
  </si>
  <si>
    <t>Abstract-122</t>
  </si>
  <si>
    <t>Students-122</t>
  </si>
  <si>
    <t>CAP-123</t>
  </si>
  <si>
    <t>Precise Syringe Pressure Analysis for spinal pain management injections and joints</t>
  </si>
  <si>
    <t>Abstract-123</t>
  </si>
  <si>
    <t>Students-123</t>
  </si>
  <si>
    <t>CAP-124</t>
  </si>
  <si>
    <t>Design and implementation of a robotic actuation mechanism for collecting leaf spectral data.</t>
  </si>
  <si>
    <t>IoT4Ag</t>
  </si>
  <si>
    <t>Abstract-124</t>
  </si>
  <si>
    <t>Students-124</t>
  </si>
  <si>
    <t>CAP-125</t>
  </si>
  <si>
    <t>Effect of Climate Change  on Cardiovascular Diseases and Vascular Age using smart-sensors technology</t>
  </si>
  <si>
    <t>GTCardio</t>
  </si>
  <si>
    <t>Abstract-125</t>
  </si>
  <si>
    <t>Students-125</t>
  </si>
  <si>
    <t>CAP-126</t>
  </si>
  <si>
    <t>Line Balancing Sleevers</t>
  </si>
  <si>
    <t>Del Monte</t>
  </si>
  <si>
    <t>Abstract-126</t>
  </si>
  <si>
    <t>Students-126</t>
  </si>
  <si>
    <t>Students-201</t>
  </si>
  <si>
    <t>Balraj Basra    Mark Henen    Tadhg Mcinerney    Timothy White</t>
  </si>
  <si>
    <t>Students-202</t>
  </si>
  <si>
    <t>Christopher Frison    Carlos Lopez-Pagan    Christopher Wilson    Mario Casillas</t>
  </si>
  <si>
    <t>Students-203</t>
  </si>
  <si>
    <t>Adam Escobar    Andrew Valdivias    Daisy Barrueta    Isaias Zea Tavera</t>
  </si>
  <si>
    <t>Students-204</t>
  </si>
  <si>
    <t>Diego Barraza    Kevin Ortega Flores    Michael Trimbel    Steven Choi</t>
  </si>
  <si>
    <t>Students-205</t>
  </si>
  <si>
    <t>Alejandro Lailson    Brian John Virtucio    Sergio Mendiola    Yuriana Medina-Fernandez</t>
  </si>
  <si>
    <t>Students-206</t>
  </si>
  <si>
    <t>Estrella Martinez Mendez    Francisco Salcido    Gregory Wong    James Johnson Jr</t>
  </si>
  <si>
    <t>Students-207</t>
  </si>
  <si>
    <t>Angel Fuentes    Dominic Bazzini    Felipe Zamarripa Mendoz    Gonzalo Gonzalez Avila</t>
  </si>
  <si>
    <t>Students-208</t>
  </si>
  <si>
    <t>Brandon Fernandez Rosales    Christian Garcia    Joshua Judilla    Jake Pugh</t>
  </si>
  <si>
    <t>Students-209</t>
  </si>
  <si>
    <t>Anthony Pino    Ed Fabian    Leonel Esquivel Chi    Sandra Hernandez Gonzalez    Tsion Michael</t>
  </si>
  <si>
    <t>Students-210</t>
  </si>
  <si>
    <t>Alyssa Jones    Cesar Villalobos    Erick Patino Santiago    Seraj Sekander</t>
  </si>
  <si>
    <t>Students-211</t>
  </si>
  <si>
    <t>alex hartzler    Angela Lizarzaburu    Carlos Diaz Diaz    jovannie ruiz</t>
  </si>
  <si>
    <t>Students-212</t>
  </si>
  <si>
    <t>Abigail Caporal    Andrew Starkman    Juan Hernandez Maciel    Tiffany Murga Duarte</t>
  </si>
  <si>
    <t>Students-213</t>
  </si>
  <si>
    <t>Brandon Mendez Salinas    Diego De Jesus Torres    Janet Reyes-Zamora    Luis Gatica-Diaz    Jeffrey Ball</t>
  </si>
  <si>
    <t>Students-214</t>
  </si>
  <si>
    <t>Christian-Alexa Jimenez    Edgardo Benito Argueta    Giovanny Gonzalez    Paulino Flores</t>
  </si>
  <si>
    <t>Students-215</t>
  </si>
  <si>
    <t>Alyssa Olszewski    Clarissa Duran    Daniela Reyes Aguilar    Gary Vivar</t>
  </si>
  <si>
    <t>Students-216</t>
  </si>
  <si>
    <t>Ariadne Castaneda    Efrain Lopez    Joe Priester    Stanley Carhee</t>
  </si>
  <si>
    <t>Students-301</t>
  </si>
  <si>
    <t>Adam Crawford    Alexandra Diaz    Alex Frias    Alberto Gutierrez    Christopher Fabian</t>
  </si>
  <si>
    <t>Students-302</t>
  </si>
  <si>
    <t>Julian Balbuena    Liam Stelly-Hawkes    Mark Soria Medina    Regina Chavez</t>
  </si>
  <si>
    <t>Students-303</t>
  </si>
  <si>
    <t>Esha Sarfraz    Harold Reyes    Ricardo Pimentel    William Le</t>
  </si>
  <si>
    <t>Students-304</t>
  </si>
  <si>
    <t>Fatima Amin    Federico Moreno    Mo Hasan    Tom Le</t>
  </si>
  <si>
    <t>Fatima Amin, Federico Moreno, Mo Hasan, Tom Le</t>
  </si>
  <si>
    <t>Students-305</t>
  </si>
  <si>
    <t>Alexander Lagarda    Angel Perez Mendoza    Ronald Chen    Robert Palermo    Sahus Nulu</t>
  </si>
  <si>
    <t>Students-306</t>
  </si>
  <si>
    <t>Eric Ponce    Izaac Ramirez    Kenzie Maxoutopoulis    Megan Phillips</t>
  </si>
  <si>
    <t>Students-307</t>
  </si>
  <si>
    <t>Jonathan Ballona Sanchez    Kobey Pabellan    Manuel Macias    Samuel Saldivar</t>
  </si>
  <si>
    <t>Students-308</t>
  </si>
  <si>
    <t>David Bates    Dmitri Lopez    Jonathan Leon-Rios    Kevin Torres-Anaya</t>
  </si>
  <si>
    <t>Students-309</t>
  </si>
  <si>
    <t>Damian Soto    Kevin Lafreniere    Michael Tapia    Tejas Bhartiya</t>
  </si>
  <si>
    <t>Students-310</t>
  </si>
  <si>
    <t>Cara Hill    Emmanuel Jerez    Hrishikesh Tiwari    Zhong Cai</t>
  </si>
  <si>
    <t>Students-311</t>
  </si>
  <si>
    <t>Colton Kaelin    Justin Nguyen    Rogelio Barajas    YiXiang Ren</t>
  </si>
  <si>
    <t>Students-312</t>
  </si>
  <si>
    <t>Deep Singh Mehroke    Henry Rodas Hernandez    Joshua Alberti    Tai Pham</t>
  </si>
  <si>
    <t>Students-313</t>
  </si>
  <si>
    <t>Ana Sanchez Duran    Baixi Guo    Leo Rozay    Rodrigo Melendez</t>
  </si>
  <si>
    <t>Students-314</t>
  </si>
  <si>
    <t>Luis Gonzalez    Margarito Avila    Mario Barrera    Maithreyee Vatsan    Ray Aguilar</t>
  </si>
  <si>
    <t>Students-315</t>
  </si>
  <si>
    <t>Carlos Lopez    Elvis Mercado    Jorge Cruz    Maya Chidambaram</t>
  </si>
  <si>
    <t>Students-316</t>
  </si>
  <si>
    <t>Cameron Tobin    Derek Stanford    Shelly Anne Abu    Tyler Armstrong</t>
  </si>
  <si>
    <t>2022-01-Spring-CAP1</t>
  </si>
  <si>
    <t>2022-01-Spring-CAP2</t>
  </si>
  <si>
    <t>Dave Wilson Nursery</t>
  </si>
  <si>
    <t>2022-01-Spring-CAP3</t>
  </si>
  <si>
    <t>2022-01-Spring-CAP4</t>
  </si>
  <si>
    <t>2022-01-Spring-CAP5</t>
  </si>
  <si>
    <t>2022-01-Spring-CAP6</t>
  </si>
  <si>
    <t>2022-01-Spring-CAP7</t>
  </si>
  <si>
    <t>2022-01-Spring-CAP8</t>
  </si>
  <si>
    <t>2022-01-Spring-CAP9</t>
  </si>
  <si>
    <t>Klingborg Enterprises</t>
  </si>
  <si>
    <t>Gemperle Orchards</t>
  </si>
  <si>
    <t>Land O' Lakes</t>
  </si>
  <si>
    <t>UC Merced - The Pi Shop</t>
  </si>
  <si>
    <t>California Transplants</t>
  </si>
  <si>
    <t>Laird Manufacturing</t>
  </si>
  <si>
    <t>Olam</t>
  </si>
  <si>
    <t>Duarte Nursery</t>
  </si>
  <si>
    <t>Neil Jones Foods (TomaTek)</t>
  </si>
  <si>
    <t>Neil Jones Foods (San Benito Foods)</t>
  </si>
  <si>
    <t>Corigin Solutions</t>
  </si>
  <si>
    <t>2022-01-Spring-CSE</t>
  </si>
  <si>
    <t>Gemperle Family Farms</t>
  </si>
  <si>
    <t>US Cold Storage</t>
  </si>
  <si>
    <t>Veracruz Ventures</t>
  </si>
  <si>
    <t>ISSNAF</t>
  </si>
  <si>
    <t>SLAC National Accelerator Laboratory</t>
  </si>
  <si>
    <t>UCSF</t>
  </si>
  <si>
    <t>2022-01-Spring-CEE</t>
  </si>
  <si>
    <t>2022-01-Spring-EngSL</t>
  </si>
  <si>
    <t>Neil Jones Foods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</si>
</sst>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7">
    <font>
      <sz val="10.0"/>
      <color rgb="FF000000"/>
      <name val="Arial"/>
      <scheme val="minor"/>
    </font>
    <font>
      <b/>
      <sz val="9.0"/>
      <color theme="1"/>
      <name val="Arial"/>
    </font>
    <font>
      <sz val="9.0"/>
      <color theme="1"/>
      <name val="Arial"/>
    </font>
    <font>
      <sz val="9.0"/>
      <color theme="1"/>
      <name val="Arial"/>
      <scheme val="minor"/>
    </font>
    <font>
      <sz val="9.0"/>
      <color rgb="FF222222"/>
      <name val="Arial"/>
    </font>
    <font>
      <sz val="9.0"/>
      <color rgb="FF000000"/>
      <name val="Arial"/>
    </font>
    <font>
      <color theme="1"/>
      <name val="Arial"/>
      <scheme val="minor"/>
    </font>
  </fonts>
  <fills count="5">
    <fill>
      <patternFill patternType="none"/>
    </fill>
    <fill>
      <patternFill patternType="lightGray"/>
    </fill>
    <fill>
      <patternFill patternType="solid">
        <fgColor rgb="FFCCCCCC"/>
        <bgColor rgb="FFCCCCCC"/>
      </patternFill>
    </fill>
    <fill>
      <patternFill patternType="solid">
        <fgColor rgb="FF666666"/>
        <bgColor rgb="FF666666"/>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164" xfId="0" applyAlignment="1" applyFont="1" applyNumberFormat="1">
      <alignment horizontal="left" shrinkToFit="0" vertical="center" wrapText="0"/>
    </xf>
    <xf borderId="0" fillId="2" fontId="1" numFmtId="0" xfId="0" applyAlignment="1" applyFont="1">
      <alignment horizontal="left" shrinkToFit="0" vertical="center" wrapText="0"/>
    </xf>
    <xf borderId="0" fillId="3" fontId="1"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4" fontId="2" numFmtId="0" xfId="0" applyAlignment="1" applyFill="1" applyFont="1">
      <alignment horizontal="left" readingOrder="0" shrinkToFit="0" vertical="center" wrapText="0"/>
    </xf>
    <xf borderId="0" fillId="0" fontId="2" numFmtId="0" xfId="0" applyAlignment="1" applyFont="1">
      <alignment horizontal="left" shrinkToFit="0" vertical="center" wrapText="0"/>
    </xf>
    <xf borderId="0" fillId="0" fontId="3" numFmtId="0" xfId="0" applyAlignment="1" applyFont="1">
      <alignment horizontal="left" shrinkToFit="0" vertical="center" wrapText="0"/>
    </xf>
    <xf borderId="0" fillId="0" fontId="3" numFmtId="0" xfId="0" applyAlignment="1" applyFont="1">
      <alignment horizontal="left" readingOrder="0" shrinkToFit="0" vertical="center" wrapText="0"/>
    </xf>
    <xf borderId="0" fillId="4" fontId="4"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4" fontId="4" numFmtId="0" xfId="0" applyAlignment="1" applyFont="1">
      <alignment readingOrder="0"/>
    </xf>
    <xf borderId="0" fillId="4" fontId="4" numFmtId="0" xfId="0" applyAlignment="1" applyFont="1">
      <alignment readingOrder="0" vertical="top"/>
    </xf>
    <xf borderId="0" fillId="0" fontId="5" numFmtId="0" xfId="0" applyAlignment="1" applyFont="1">
      <alignment horizontal="left" shrinkToFit="0" vertical="center" wrapText="0"/>
    </xf>
    <xf borderId="0" fillId="0" fontId="6" numFmtId="0" xfId="0" applyAlignment="1" applyFont="1">
      <alignment horizontal="left" readingOrder="0" shrinkToFit="0" vertical="center" wrapText="0"/>
    </xf>
    <xf borderId="0" fillId="0" fontId="6" numFmtId="0" xfId="0" applyAlignment="1" applyFont="1">
      <alignment horizontal="left" shrinkToFit="0" vertical="center" wrapText="0"/>
    </xf>
    <xf borderId="0" fillId="0" fontId="6" numFmtId="0" xfId="0" applyAlignment="1" applyFont="1">
      <alignment horizontal="left" readingOrder="0" vertical="center"/>
    </xf>
    <xf borderId="0" fillId="0" fontId="6" numFmtId="0" xfId="0" applyAlignment="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5.38"/>
    <col customWidth="1" min="4" max="4" width="5.75"/>
    <col customWidth="1" min="5" max="5" width="6.38"/>
    <col customWidth="1" min="6" max="6" width="14.25"/>
    <col customWidth="1" min="7" max="7" width="16.0"/>
    <col customWidth="1" min="8" max="8" width="16.5"/>
    <col customWidth="1" min="9" max="9" width="11.5"/>
    <col customWidth="1" min="10" max="10" width="52.38"/>
    <col customWidth="1" min="11" max="11" width="65.75"/>
    <col customWidth="1" min="12" max="12" width="49.5"/>
  </cols>
  <sheetData>
    <row r="1" ht="18.75" customHeight="1">
      <c r="A1" s="1" t="s">
        <v>0</v>
      </c>
      <c r="B1" s="2" t="s">
        <v>1</v>
      </c>
      <c r="C1" s="1" t="s">
        <v>2</v>
      </c>
      <c r="D1" s="1" t="s">
        <v>3</v>
      </c>
      <c r="E1" s="3" t="s">
        <v>4</v>
      </c>
      <c r="F1" s="1" t="s">
        <v>5</v>
      </c>
      <c r="G1" s="1" t="s">
        <v>6</v>
      </c>
      <c r="H1" s="1" t="s">
        <v>7</v>
      </c>
      <c r="I1" s="1" t="s">
        <v>8</v>
      </c>
      <c r="J1" s="4" t="s">
        <v>9</v>
      </c>
      <c r="K1" s="4" t="s">
        <v>10</v>
      </c>
      <c r="L1" s="5" t="s">
        <v>11</v>
      </c>
      <c r="M1" s="6"/>
      <c r="N1" s="7"/>
      <c r="O1" s="7"/>
      <c r="P1" s="7"/>
      <c r="Q1" s="7"/>
      <c r="R1" s="7"/>
      <c r="S1" s="7"/>
      <c r="T1" s="7"/>
      <c r="U1" s="7"/>
      <c r="V1" s="7"/>
      <c r="W1" s="7"/>
      <c r="X1" s="7"/>
      <c r="Y1" s="7"/>
    </row>
    <row r="2" ht="18.75" customHeight="1">
      <c r="A2" s="6">
        <v>1.0</v>
      </c>
      <c r="B2" s="6">
        <v>1.0</v>
      </c>
      <c r="C2" s="8" t="s">
        <v>12</v>
      </c>
      <c r="D2" s="8" t="s">
        <v>13</v>
      </c>
      <c r="E2" s="6">
        <v>212.0</v>
      </c>
      <c r="F2" s="6" t="s">
        <v>14</v>
      </c>
      <c r="G2" s="6" t="s">
        <v>15</v>
      </c>
      <c r="H2" s="9" t="s">
        <v>16</v>
      </c>
      <c r="I2" s="6" t="s">
        <v>17</v>
      </c>
      <c r="J2" s="8" t="s">
        <v>18</v>
      </c>
      <c r="K2" s="6" t="s">
        <v>19</v>
      </c>
      <c r="L2" s="6" t="s">
        <v>20</v>
      </c>
      <c r="M2" s="7"/>
      <c r="N2" s="10"/>
      <c r="O2" s="7"/>
      <c r="P2" s="7"/>
      <c r="Q2" s="7"/>
      <c r="R2" s="7"/>
      <c r="S2" s="7"/>
      <c r="T2" s="7"/>
      <c r="U2" s="7"/>
      <c r="V2" s="7"/>
      <c r="W2" s="7"/>
      <c r="X2" s="7"/>
      <c r="Y2" s="7"/>
    </row>
    <row r="3" ht="18.75" customHeight="1">
      <c r="A3" s="6">
        <v>1.0</v>
      </c>
      <c r="B3" s="6">
        <v>2.0</v>
      </c>
      <c r="C3" s="8" t="s">
        <v>12</v>
      </c>
      <c r="D3" s="8" t="s">
        <v>13</v>
      </c>
      <c r="E3" s="6">
        <v>202.0</v>
      </c>
      <c r="F3" s="6" t="s">
        <v>21</v>
      </c>
      <c r="G3" s="6" t="s">
        <v>22</v>
      </c>
      <c r="H3" s="9" t="s">
        <v>23</v>
      </c>
      <c r="I3" s="6" t="s">
        <v>24</v>
      </c>
      <c r="J3" s="8" t="s">
        <v>25</v>
      </c>
      <c r="K3" s="6" t="s">
        <v>26</v>
      </c>
      <c r="L3" s="6" t="s">
        <v>27</v>
      </c>
      <c r="M3" s="7"/>
      <c r="N3" s="10"/>
      <c r="O3" s="7"/>
      <c r="P3" s="7"/>
      <c r="Q3" s="7"/>
      <c r="R3" s="7"/>
      <c r="S3" s="7"/>
      <c r="T3" s="7"/>
      <c r="U3" s="7"/>
      <c r="V3" s="7"/>
      <c r="W3" s="7"/>
      <c r="X3" s="7"/>
      <c r="Y3" s="7"/>
    </row>
    <row r="4" ht="18.75" customHeight="1">
      <c r="A4" s="6">
        <v>1.0</v>
      </c>
      <c r="B4" s="6">
        <v>3.0</v>
      </c>
      <c r="C4" s="8" t="s">
        <v>12</v>
      </c>
      <c r="D4" s="8" t="s">
        <v>13</v>
      </c>
      <c r="E4" s="6">
        <v>207.0</v>
      </c>
      <c r="F4" s="6" t="s">
        <v>28</v>
      </c>
      <c r="G4" s="8" t="s">
        <v>29</v>
      </c>
      <c r="H4" s="9" t="s">
        <v>30</v>
      </c>
      <c r="I4" s="6" t="s">
        <v>24</v>
      </c>
      <c r="J4" s="8" t="s">
        <v>31</v>
      </c>
      <c r="K4" s="6" t="s">
        <v>32</v>
      </c>
      <c r="L4" s="6" t="s">
        <v>33</v>
      </c>
      <c r="M4" s="7"/>
      <c r="N4" s="10"/>
      <c r="O4" s="7"/>
      <c r="P4" s="7"/>
      <c r="Q4" s="7"/>
      <c r="R4" s="7"/>
      <c r="S4" s="7"/>
      <c r="T4" s="7"/>
      <c r="U4" s="7"/>
      <c r="V4" s="7"/>
      <c r="W4" s="7"/>
      <c r="X4" s="7"/>
      <c r="Y4" s="7"/>
    </row>
    <row r="5" ht="18.75" customHeight="1">
      <c r="A5" s="6">
        <v>1.0</v>
      </c>
      <c r="B5" s="6">
        <v>4.0</v>
      </c>
      <c r="C5" s="8" t="s">
        <v>12</v>
      </c>
      <c r="D5" s="8" t="s">
        <v>13</v>
      </c>
      <c r="E5" s="6">
        <v>203.0</v>
      </c>
      <c r="F5" s="6" t="s">
        <v>34</v>
      </c>
      <c r="G5" s="8" t="s">
        <v>35</v>
      </c>
      <c r="H5" s="9" t="s">
        <v>36</v>
      </c>
      <c r="I5" s="6" t="s">
        <v>24</v>
      </c>
      <c r="J5" s="8" t="s">
        <v>37</v>
      </c>
      <c r="K5" s="6" t="s">
        <v>38</v>
      </c>
      <c r="L5" s="6" t="s">
        <v>39</v>
      </c>
      <c r="M5" s="7"/>
      <c r="N5" s="10"/>
      <c r="O5" s="7"/>
      <c r="P5" s="7"/>
      <c r="Q5" s="7"/>
      <c r="R5" s="7"/>
      <c r="S5" s="7"/>
      <c r="T5" s="7"/>
      <c r="U5" s="7"/>
      <c r="V5" s="7"/>
      <c r="W5" s="7"/>
      <c r="X5" s="7"/>
      <c r="Y5" s="7"/>
    </row>
    <row r="6" ht="18.75" customHeight="1">
      <c r="A6" s="6">
        <v>1.0</v>
      </c>
      <c r="B6" s="6">
        <v>5.0</v>
      </c>
      <c r="C6" s="8" t="s">
        <v>12</v>
      </c>
      <c r="D6" s="8" t="s">
        <v>13</v>
      </c>
      <c r="E6" s="6">
        <v>216.0</v>
      </c>
      <c r="F6" s="6" t="s">
        <v>40</v>
      </c>
      <c r="G6" s="8" t="s">
        <v>41</v>
      </c>
      <c r="H6" s="9" t="s">
        <v>42</v>
      </c>
      <c r="I6" s="6" t="s">
        <v>24</v>
      </c>
      <c r="J6" s="8" t="s">
        <v>43</v>
      </c>
      <c r="K6" s="6" t="s">
        <v>44</v>
      </c>
      <c r="L6" s="6" t="s">
        <v>45</v>
      </c>
      <c r="M6" s="7"/>
      <c r="N6" s="10"/>
      <c r="O6" s="7"/>
      <c r="P6" s="7"/>
      <c r="Q6" s="7"/>
      <c r="R6" s="7"/>
      <c r="S6" s="7"/>
      <c r="T6" s="7"/>
      <c r="U6" s="7"/>
      <c r="V6" s="7"/>
      <c r="W6" s="7"/>
      <c r="X6" s="7"/>
      <c r="Y6" s="7"/>
    </row>
    <row r="7" ht="18.75" customHeight="1">
      <c r="A7" s="6">
        <v>1.0</v>
      </c>
      <c r="B7" s="6">
        <v>6.0</v>
      </c>
      <c r="C7" s="8" t="s">
        <v>12</v>
      </c>
      <c r="D7" s="8" t="s">
        <v>13</v>
      </c>
      <c r="E7" s="6">
        <v>205.0</v>
      </c>
      <c r="F7" s="6" t="s">
        <v>46</v>
      </c>
      <c r="G7" s="8" t="s">
        <v>47</v>
      </c>
      <c r="H7" s="9" t="s">
        <v>48</v>
      </c>
      <c r="I7" s="6" t="s">
        <v>24</v>
      </c>
      <c r="J7" s="8" t="s">
        <v>49</v>
      </c>
      <c r="K7" s="6" t="s">
        <v>50</v>
      </c>
      <c r="L7" s="6" t="s">
        <v>51</v>
      </c>
      <c r="M7" s="7"/>
      <c r="N7" s="10"/>
      <c r="O7" s="7"/>
      <c r="P7" s="7"/>
      <c r="Q7" s="7"/>
      <c r="R7" s="7"/>
      <c r="S7" s="7"/>
      <c r="T7" s="7"/>
      <c r="U7" s="7"/>
      <c r="V7" s="7"/>
      <c r="W7" s="7"/>
      <c r="X7" s="7"/>
      <c r="Y7" s="7"/>
    </row>
    <row r="8" ht="18.75" customHeight="1">
      <c r="A8" s="6">
        <v>2.0</v>
      </c>
      <c r="B8" s="6">
        <v>1.0</v>
      </c>
      <c r="C8" s="8" t="s">
        <v>12</v>
      </c>
      <c r="D8" s="8" t="s">
        <v>13</v>
      </c>
      <c r="E8" s="6">
        <v>215.0</v>
      </c>
      <c r="F8" s="6" t="s">
        <v>52</v>
      </c>
      <c r="G8" s="8" t="s">
        <v>53</v>
      </c>
      <c r="H8" s="9" t="s">
        <v>54</v>
      </c>
      <c r="I8" s="6" t="s">
        <v>17</v>
      </c>
      <c r="J8" s="8" t="s">
        <v>55</v>
      </c>
      <c r="K8" s="6" t="s">
        <v>56</v>
      </c>
      <c r="L8" s="6" t="s">
        <v>57</v>
      </c>
      <c r="M8" s="7"/>
      <c r="N8" s="10"/>
      <c r="O8" s="7"/>
      <c r="P8" s="7"/>
      <c r="Q8" s="7"/>
      <c r="R8" s="7"/>
      <c r="S8" s="7"/>
      <c r="T8" s="7"/>
      <c r="U8" s="7"/>
      <c r="V8" s="7"/>
      <c r="W8" s="7"/>
      <c r="X8" s="7"/>
      <c r="Y8" s="7"/>
    </row>
    <row r="9" ht="18.75" customHeight="1">
      <c r="A9" s="6">
        <v>2.0</v>
      </c>
      <c r="B9" s="6">
        <v>2.0</v>
      </c>
      <c r="C9" s="8" t="s">
        <v>12</v>
      </c>
      <c r="D9" s="8" t="s">
        <v>13</v>
      </c>
      <c r="E9" s="6">
        <v>204.0</v>
      </c>
      <c r="F9" s="6" t="s">
        <v>58</v>
      </c>
      <c r="G9" s="6" t="s">
        <v>59</v>
      </c>
      <c r="H9" s="9" t="s">
        <v>60</v>
      </c>
      <c r="I9" s="6" t="s">
        <v>24</v>
      </c>
      <c r="J9" s="11" t="s">
        <v>61</v>
      </c>
      <c r="K9" s="6" t="s">
        <v>62</v>
      </c>
      <c r="L9" s="6" t="s">
        <v>63</v>
      </c>
      <c r="M9" s="7"/>
      <c r="N9" s="10"/>
      <c r="O9" s="7"/>
      <c r="P9" s="7"/>
      <c r="Q9" s="7"/>
      <c r="R9" s="7"/>
      <c r="S9" s="7"/>
      <c r="T9" s="7"/>
      <c r="U9" s="7"/>
      <c r="V9" s="7"/>
      <c r="W9" s="7"/>
      <c r="X9" s="7"/>
      <c r="Y9" s="7"/>
    </row>
    <row r="10" ht="18.75" customHeight="1">
      <c r="A10" s="6">
        <v>2.0</v>
      </c>
      <c r="B10" s="6">
        <v>3.0</v>
      </c>
      <c r="C10" s="8" t="s">
        <v>12</v>
      </c>
      <c r="D10" s="8" t="s">
        <v>13</v>
      </c>
      <c r="E10" s="6">
        <v>209.0</v>
      </c>
      <c r="F10" s="6" t="s">
        <v>64</v>
      </c>
      <c r="G10" s="8" t="s">
        <v>65</v>
      </c>
      <c r="H10" s="9" t="s">
        <v>66</v>
      </c>
      <c r="I10" s="6" t="s">
        <v>17</v>
      </c>
      <c r="J10" s="8" t="s">
        <v>67</v>
      </c>
      <c r="K10" s="6" t="s">
        <v>68</v>
      </c>
      <c r="L10" s="6" t="s">
        <v>69</v>
      </c>
      <c r="M10" s="7"/>
      <c r="N10" s="10"/>
      <c r="O10" s="7"/>
      <c r="P10" s="7"/>
      <c r="Q10" s="7"/>
      <c r="R10" s="7"/>
      <c r="S10" s="7"/>
      <c r="T10" s="7"/>
      <c r="U10" s="7"/>
      <c r="V10" s="7"/>
      <c r="W10" s="7"/>
      <c r="X10" s="7"/>
      <c r="Y10" s="7"/>
    </row>
    <row r="11" ht="18.75" customHeight="1">
      <c r="A11" s="6">
        <v>2.0</v>
      </c>
      <c r="B11" s="6">
        <v>4.0</v>
      </c>
      <c r="C11" s="8" t="s">
        <v>12</v>
      </c>
      <c r="D11" s="8" t="s">
        <v>13</v>
      </c>
      <c r="E11" s="6">
        <v>213.0</v>
      </c>
      <c r="F11" s="6" t="s">
        <v>70</v>
      </c>
      <c r="G11" s="8" t="s">
        <v>71</v>
      </c>
      <c r="H11" s="9" t="s">
        <v>72</v>
      </c>
      <c r="I11" s="6" t="s">
        <v>17</v>
      </c>
      <c r="J11" s="8" t="s">
        <v>73</v>
      </c>
      <c r="K11" s="6" t="s">
        <v>74</v>
      </c>
      <c r="L11" s="6" t="s">
        <v>75</v>
      </c>
      <c r="M11" s="7"/>
      <c r="N11" s="10"/>
      <c r="O11" s="7"/>
      <c r="P11" s="7"/>
      <c r="Q11" s="7"/>
      <c r="R11" s="7"/>
      <c r="S11" s="7"/>
      <c r="T11" s="7"/>
      <c r="U11" s="7"/>
      <c r="V11" s="7"/>
      <c r="W11" s="7"/>
      <c r="X11" s="7"/>
      <c r="Y11" s="7"/>
    </row>
    <row r="12" ht="18.75" customHeight="1">
      <c r="A12" s="6">
        <v>2.0</v>
      </c>
      <c r="B12" s="6">
        <v>5.0</v>
      </c>
      <c r="C12" s="8" t="s">
        <v>12</v>
      </c>
      <c r="D12" s="8" t="s">
        <v>13</v>
      </c>
      <c r="E12" s="6">
        <v>201.0</v>
      </c>
      <c r="F12" s="6" t="s">
        <v>76</v>
      </c>
      <c r="G12" s="6" t="s">
        <v>77</v>
      </c>
      <c r="H12" s="9" t="s">
        <v>78</v>
      </c>
      <c r="I12" s="6" t="s">
        <v>17</v>
      </c>
      <c r="J12" s="8" t="s">
        <v>79</v>
      </c>
      <c r="K12" s="6" t="s">
        <v>80</v>
      </c>
      <c r="L12" s="6" t="s">
        <v>81</v>
      </c>
      <c r="M12" s="7"/>
      <c r="N12" s="10"/>
      <c r="O12" s="7"/>
      <c r="P12" s="7"/>
      <c r="Q12" s="7"/>
      <c r="R12" s="7"/>
      <c r="S12" s="7"/>
      <c r="T12" s="7"/>
      <c r="U12" s="7"/>
      <c r="V12" s="7"/>
      <c r="W12" s="7"/>
      <c r="X12" s="7"/>
      <c r="Y12" s="7"/>
    </row>
    <row r="13" ht="18.75" customHeight="1">
      <c r="A13" s="6">
        <v>3.0</v>
      </c>
      <c r="B13" s="6">
        <v>1.0</v>
      </c>
      <c r="C13" s="8" t="s">
        <v>12</v>
      </c>
      <c r="D13" s="8" t="s">
        <v>13</v>
      </c>
      <c r="E13" s="6">
        <v>208.0</v>
      </c>
      <c r="F13" s="6" t="s">
        <v>82</v>
      </c>
      <c r="G13" s="6" t="s">
        <v>83</v>
      </c>
      <c r="H13" s="9" t="s">
        <v>84</v>
      </c>
      <c r="I13" s="6" t="s">
        <v>85</v>
      </c>
      <c r="J13" s="8" t="s">
        <v>86</v>
      </c>
      <c r="K13" s="6" t="s">
        <v>87</v>
      </c>
      <c r="L13" s="6" t="s">
        <v>88</v>
      </c>
      <c r="M13" s="7"/>
      <c r="N13" s="10"/>
      <c r="O13" s="7"/>
      <c r="P13" s="7"/>
      <c r="Q13" s="7"/>
      <c r="R13" s="7"/>
      <c r="S13" s="7"/>
      <c r="T13" s="7"/>
      <c r="U13" s="7"/>
      <c r="V13" s="7"/>
      <c r="W13" s="7"/>
      <c r="X13" s="7"/>
      <c r="Y13" s="7"/>
    </row>
    <row r="14" ht="18.75" customHeight="1">
      <c r="A14" s="6">
        <v>3.0</v>
      </c>
      <c r="B14" s="6">
        <v>2.0</v>
      </c>
      <c r="C14" s="8" t="s">
        <v>12</v>
      </c>
      <c r="D14" s="8" t="s">
        <v>13</v>
      </c>
      <c r="E14" s="6">
        <v>206.0</v>
      </c>
      <c r="F14" s="6" t="s">
        <v>89</v>
      </c>
      <c r="G14" s="8" t="s">
        <v>90</v>
      </c>
      <c r="H14" s="9" t="s">
        <v>91</v>
      </c>
      <c r="I14" s="6" t="s">
        <v>92</v>
      </c>
      <c r="J14" s="8" t="s">
        <v>93</v>
      </c>
      <c r="K14" s="6" t="s">
        <v>94</v>
      </c>
      <c r="L14" s="6" t="s">
        <v>95</v>
      </c>
      <c r="M14" s="7"/>
      <c r="N14" s="10"/>
      <c r="O14" s="7"/>
      <c r="P14" s="7"/>
      <c r="Q14" s="7"/>
      <c r="R14" s="7"/>
      <c r="S14" s="7"/>
      <c r="T14" s="7"/>
      <c r="U14" s="7"/>
      <c r="V14" s="7"/>
      <c r="W14" s="7"/>
      <c r="X14" s="7"/>
      <c r="Y14" s="7"/>
    </row>
    <row r="15" ht="18.75" customHeight="1">
      <c r="A15" s="6">
        <v>3.0</v>
      </c>
      <c r="B15" s="6">
        <v>3.0</v>
      </c>
      <c r="C15" s="8" t="s">
        <v>12</v>
      </c>
      <c r="D15" s="8" t="s">
        <v>13</v>
      </c>
      <c r="E15" s="6">
        <v>214.0</v>
      </c>
      <c r="F15" s="6" t="s">
        <v>96</v>
      </c>
      <c r="G15" s="8" t="s">
        <v>97</v>
      </c>
      <c r="H15" s="9" t="s">
        <v>98</v>
      </c>
      <c r="I15" s="6" t="s">
        <v>85</v>
      </c>
      <c r="J15" s="8" t="s">
        <v>99</v>
      </c>
      <c r="K15" s="6" t="s">
        <v>100</v>
      </c>
      <c r="L15" s="6" t="s">
        <v>101</v>
      </c>
      <c r="M15" s="7"/>
      <c r="N15" s="10"/>
      <c r="O15" s="7"/>
      <c r="P15" s="7"/>
      <c r="Q15" s="7"/>
      <c r="R15" s="7"/>
      <c r="S15" s="7"/>
      <c r="T15" s="7"/>
      <c r="U15" s="7"/>
      <c r="V15" s="7"/>
      <c r="W15" s="7"/>
      <c r="X15" s="7"/>
      <c r="Y15" s="7"/>
    </row>
    <row r="16" ht="18.75" customHeight="1">
      <c r="A16" s="6">
        <v>3.0</v>
      </c>
      <c r="B16" s="6">
        <v>4.0</v>
      </c>
      <c r="C16" s="8" t="s">
        <v>12</v>
      </c>
      <c r="D16" s="8" t="s">
        <v>13</v>
      </c>
      <c r="E16" s="6">
        <v>210.0</v>
      </c>
      <c r="F16" s="6" t="s">
        <v>102</v>
      </c>
      <c r="G16" s="8" t="s">
        <v>103</v>
      </c>
      <c r="H16" s="9" t="s">
        <v>104</v>
      </c>
      <c r="I16" s="6" t="s">
        <v>17</v>
      </c>
      <c r="J16" s="8" t="s">
        <v>105</v>
      </c>
      <c r="K16" s="6" t="s">
        <v>106</v>
      </c>
      <c r="L16" s="6" t="s">
        <v>107</v>
      </c>
      <c r="M16" s="7"/>
      <c r="N16" s="10"/>
      <c r="O16" s="7"/>
      <c r="P16" s="7"/>
      <c r="Q16" s="7"/>
      <c r="R16" s="7"/>
      <c r="S16" s="7"/>
      <c r="T16" s="7"/>
      <c r="U16" s="7"/>
      <c r="V16" s="7"/>
      <c r="W16" s="7"/>
      <c r="X16" s="7"/>
      <c r="Y16" s="7"/>
    </row>
    <row r="17" ht="18.75" customHeight="1">
      <c r="A17" s="6">
        <v>3.0</v>
      </c>
      <c r="B17" s="6">
        <v>5.0</v>
      </c>
      <c r="C17" s="8" t="s">
        <v>12</v>
      </c>
      <c r="D17" s="8" t="s">
        <v>13</v>
      </c>
      <c r="E17" s="6">
        <v>211.0</v>
      </c>
      <c r="F17" s="6" t="s">
        <v>108</v>
      </c>
      <c r="G17" s="8" t="s">
        <v>109</v>
      </c>
      <c r="H17" s="9" t="s">
        <v>104</v>
      </c>
      <c r="I17" s="6" t="s">
        <v>17</v>
      </c>
      <c r="J17" s="8" t="s">
        <v>110</v>
      </c>
      <c r="K17" s="6" t="s">
        <v>111</v>
      </c>
      <c r="L17" s="6" t="s">
        <v>112</v>
      </c>
      <c r="M17" s="7"/>
      <c r="N17" s="10"/>
      <c r="O17" s="7"/>
      <c r="P17" s="7"/>
      <c r="Q17" s="7"/>
      <c r="R17" s="7"/>
      <c r="S17" s="7"/>
      <c r="T17" s="7"/>
      <c r="U17" s="7"/>
      <c r="V17" s="7"/>
      <c r="W17" s="7"/>
      <c r="X17" s="7"/>
      <c r="Y17" s="7"/>
    </row>
    <row r="18" ht="18.75" customHeight="1">
      <c r="A18" s="6">
        <v>4.0</v>
      </c>
      <c r="B18" s="6">
        <v>1.0</v>
      </c>
      <c r="C18" s="12" t="s">
        <v>113</v>
      </c>
      <c r="D18" s="12" t="s">
        <v>114</v>
      </c>
      <c r="E18" s="12">
        <v>401.0</v>
      </c>
      <c r="F18" s="12" t="s">
        <v>115</v>
      </c>
      <c r="G18" s="12" t="s">
        <v>116</v>
      </c>
      <c r="H18" s="12" t="s">
        <v>117</v>
      </c>
      <c r="I18" s="12" t="s">
        <v>118</v>
      </c>
      <c r="J18" s="12" t="s">
        <v>119</v>
      </c>
      <c r="K18" s="12" t="s">
        <v>120</v>
      </c>
      <c r="L18" s="6" t="str">
        <f t="shared" ref="L18:L64" si="1">"Team: " &amp; F18 &amp; "  -  Project: " &amp; G18</f>
        <v>Team: CE401  -  Project: The Ronan Point Apartment Tower Case</v>
      </c>
      <c r="M18" s="7"/>
      <c r="N18" s="10"/>
      <c r="O18" s="7"/>
      <c r="P18" s="7"/>
      <c r="Q18" s="7"/>
      <c r="R18" s="7"/>
      <c r="S18" s="7"/>
      <c r="T18" s="7"/>
      <c r="U18" s="7"/>
      <c r="V18" s="7"/>
      <c r="W18" s="7"/>
      <c r="X18" s="7"/>
      <c r="Y18" s="7"/>
    </row>
    <row r="19" ht="18.75" customHeight="1">
      <c r="A19" s="6">
        <v>4.0</v>
      </c>
      <c r="B19" s="6">
        <v>2.0</v>
      </c>
      <c r="C19" s="12" t="s">
        <v>113</v>
      </c>
      <c r="D19" s="12" t="s">
        <v>114</v>
      </c>
      <c r="E19" s="12">
        <v>402.0</v>
      </c>
      <c r="F19" s="12" t="s">
        <v>121</v>
      </c>
      <c r="G19" s="12" t="s">
        <v>122</v>
      </c>
      <c r="H19" s="12" t="s">
        <v>123</v>
      </c>
      <c r="I19" s="12" t="s">
        <v>124</v>
      </c>
      <c r="J19" s="12" t="s">
        <v>125</v>
      </c>
      <c r="K19" s="12" t="s">
        <v>126</v>
      </c>
      <c r="L19" s="6" t="str">
        <f t="shared" si="1"/>
        <v>Team: CE402  -  Project: Solar Pump Station Including Water Treatment</v>
      </c>
      <c r="M19" s="7"/>
      <c r="N19" s="10"/>
      <c r="O19" s="7"/>
      <c r="P19" s="7"/>
      <c r="Q19" s="7"/>
      <c r="R19" s="7"/>
      <c r="S19" s="7"/>
      <c r="T19" s="7"/>
      <c r="U19" s="7"/>
      <c r="V19" s="7"/>
      <c r="W19" s="7"/>
      <c r="X19" s="7"/>
      <c r="Y19" s="7"/>
    </row>
    <row r="20" ht="18.75" customHeight="1">
      <c r="A20" s="6">
        <v>4.0</v>
      </c>
      <c r="B20" s="6">
        <v>3.0</v>
      </c>
      <c r="C20" s="12" t="s">
        <v>113</v>
      </c>
      <c r="D20" s="12" t="s">
        <v>114</v>
      </c>
      <c r="E20" s="12">
        <v>403.0</v>
      </c>
      <c r="F20" s="12" t="s">
        <v>127</v>
      </c>
      <c r="G20" s="12" t="s">
        <v>122</v>
      </c>
      <c r="H20" s="12" t="s">
        <v>123</v>
      </c>
      <c r="I20" s="12" t="s">
        <v>124</v>
      </c>
      <c r="J20" s="12" t="s">
        <v>128</v>
      </c>
      <c r="K20" s="12" t="s">
        <v>129</v>
      </c>
      <c r="L20" s="6" t="str">
        <f t="shared" si="1"/>
        <v>Team: CE403  -  Project: Solar Pump Station Including Water Treatment</v>
      </c>
      <c r="M20" s="7"/>
      <c r="N20" s="10"/>
      <c r="O20" s="7"/>
      <c r="P20" s="7"/>
      <c r="Q20" s="7"/>
      <c r="R20" s="7"/>
      <c r="S20" s="7"/>
      <c r="T20" s="7"/>
      <c r="U20" s="7"/>
      <c r="V20" s="7"/>
      <c r="W20" s="7"/>
      <c r="X20" s="7"/>
      <c r="Y20" s="7"/>
    </row>
    <row r="21" ht="18.75" customHeight="1">
      <c r="A21" s="6">
        <v>4.0</v>
      </c>
      <c r="B21" s="6">
        <v>4.0</v>
      </c>
      <c r="C21" s="12" t="s">
        <v>113</v>
      </c>
      <c r="D21" s="12" t="s">
        <v>114</v>
      </c>
      <c r="E21" s="12">
        <v>404.0</v>
      </c>
      <c r="F21" s="12" t="s">
        <v>130</v>
      </c>
      <c r="G21" s="12" t="s">
        <v>122</v>
      </c>
      <c r="H21" s="12" t="s">
        <v>123</v>
      </c>
      <c r="I21" s="12" t="s">
        <v>124</v>
      </c>
      <c r="J21" s="12" t="s">
        <v>131</v>
      </c>
      <c r="K21" s="12" t="s">
        <v>132</v>
      </c>
      <c r="L21" s="6" t="str">
        <f t="shared" si="1"/>
        <v>Team: CE404  -  Project: Solar Pump Station Including Water Treatment</v>
      </c>
      <c r="M21" s="7"/>
      <c r="N21" s="10"/>
      <c r="O21" s="7"/>
      <c r="P21" s="7"/>
      <c r="Q21" s="7"/>
      <c r="R21" s="7"/>
      <c r="S21" s="7"/>
      <c r="T21" s="7"/>
      <c r="U21" s="7"/>
      <c r="V21" s="7"/>
      <c r="W21" s="7"/>
      <c r="X21" s="7"/>
      <c r="Y21" s="7"/>
    </row>
    <row r="22" ht="18.75" customHeight="1">
      <c r="A22" s="6">
        <v>4.0</v>
      </c>
      <c r="B22" s="6">
        <v>5.0</v>
      </c>
      <c r="C22" s="8" t="s">
        <v>113</v>
      </c>
      <c r="D22" s="8" t="s">
        <v>114</v>
      </c>
      <c r="E22" s="6">
        <v>405.0</v>
      </c>
      <c r="F22" s="6" t="s">
        <v>133</v>
      </c>
      <c r="G22" s="8" t="s">
        <v>134</v>
      </c>
      <c r="H22" s="8" t="s">
        <v>135</v>
      </c>
      <c r="I22" s="8" t="s">
        <v>136</v>
      </c>
      <c r="J22" s="8" t="s">
        <v>137</v>
      </c>
      <c r="K22" s="6" t="s">
        <v>138</v>
      </c>
      <c r="L22" s="6" t="str">
        <f t="shared" si="1"/>
        <v>Team: CE405  -  Project: Lake Hodges Reservoir Sustainable Hypolimnion Oxygenation System</v>
      </c>
      <c r="M22" s="7"/>
      <c r="N22" s="10"/>
      <c r="O22" s="7"/>
      <c r="P22" s="7"/>
      <c r="Q22" s="7"/>
      <c r="R22" s="7"/>
      <c r="S22" s="7"/>
      <c r="T22" s="7"/>
      <c r="U22" s="7"/>
      <c r="V22" s="7"/>
      <c r="W22" s="7"/>
      <c r="X22" s="7"/>
      <c r="Y22" s="7"/>
    </row>
    <row r="23" ht="18.75" customHeight="1">
      <c r="A23" s="6">
        <v>5.0</v>
      </c>
      <c r="B23" s="6">
        <v>1.0</v>
      </c>
      <c r="C23" s="8" t="s">
        <v>139</v>
      </c>
      <c r="D23" s="8" t="s">
        <v>140</v>
      </c>
      <c r="E23" s="6">
        <v>303.0</v>
      </c>
      <c r="F23" s="6" t="s">
        <v>141</v>
      </c>
      <c r="G23" s="8" t="s">
        <v>142</v>
      </c>
      <c r="H23" s="6" t="s">
        <v>143</v>
      </c>
      <c r="I23" s="6" t="s">
        <v>85</v>
      </c>
      <c r="J23" s="8" t="s">
        <v>144</v>
      </c>
      <c r="K23" s="6" t="s">
        <v>145</v>
      </c>
      <c r="L23" s="6" t="str">
        <f t="shared" si="1"/>
        <v>Team: Cold Storage Crew ඞ  -  Project: Employee Coaching and Development Tool</v>
      </c>
      <c r="M23" s="7"/>
      <c r="N23" s="10"/>
      <c r="O23" s="7"/>
      <c r="P23" s="7"/>
      <c r="Q23" s="7"/>
      <c r="R23" s="7"/>
      <c r="S23" s="7"/>
      <c r="T23" s="7"/>
      <c r="U23" s="7"/>
      <c r="V23" s="7"/>
      <c r="W23" s="7"/>
      <c r="X23" s="7"/>
      <c r="Y23" s="7"/>
    </row>
    <row r="24" ht="18.75" customHeight="1">
      <c r="A24" s="6">
        <v>5.0</v>
      </c>
      <c r="B24" s="6">
        <v>2.0</v>
      </c>
      <c r="C24" s="8" t="s">
        <v>139</v>
      </c>
      <c r="D24" s="8" t="s">
        <v>140</v>
      </c>
      <c r="E24" s="6">
        <v>313.0</v>
      </c>
      <c r="F24" s="6" t="s">
        <v>146</v>
      </c>
      <c r="G24" s="8" t="s">
        <v>147</v>
      </c>
      <c r="H24" s="6" t="s">
        <v>148</v>
      </c>
      <c r="I24" s="6" t="s">
        <v>149</v>
      </c>
      <c r="J24" s="8" t="s">
        <v>150</v>
      </c>
      <c r="K24" s="6" t="s">
        <v>151</v>
      </c>
      <c r="L24" s="6" t="str">
        <f t="shared" si="1"/>
        <v>Team: Daytapack  -  Project: Digital AI Backpack - Backpack Opportunities Crawler</v>
      </c>
      <c r="M24" s="7"/>
      <c r="N24" s="10"/>
      <c r="O24" s="7"/>
      <c r="P24" s="7"/>
      <c r="Q24" s="7"/>
      <c r="R24" s="7"/>
      <c r="S24" s="7"/>
      <c r="T24" s="7"/>
      <c r="U24" s="7"/>
      <c r="V24" s="7"/>
      <c r="W24" s="7"/>
      <c r="X24" s="7"/>
      <c r="Y24" s="7"/>
    </row>
    <row r="25" ht="18.75" customHeight="1">
      <c r="A25" s="6">
        <v>5.0</v>
      </c>
      <c r="B25" s="6">
        <v>3.0</v>
      </c>
      <c r="C25" s="8" t="s">
        <v>139</v>
      </c>
      <c r="D25" s="8" t="s">
        <v>140</v>
      </c>
      <c r="E25" s="6">
        <v>311.0</v>
      </c>
      <c r="F25" s="6" t="s">
        <v>152</v>
      </c>
      <c r="G25" s="8" t="s">
        <v>153</v>
      </c>
      <c r="H25" s="6" t="s">
        <v>154</v>
      </c>
      <c r="I25" s="6" t="s">
        <v>85</v>
      </c>
      <c r="J25" s="8" t="s">
        <v>155</v>
      </c>
      <c r="K25" s="6" t="s">
        <v>156</v>
      </c>
      <c r="L25" s="6" t="str">
        <f t="shared" si="1"/>
        <v>Team: Team Star  -  Project: Virtual Warehouse</v>
      </c>
      <c r="M25" s="7"/>
      <c r="N25" s="10"/>
      <c r="O25" s="7"/>
      <c r="P25" s="7"/>
      <c r="Q25" s="7"/>
      <c r="R25" s="7"/>
      <c r="S25" s="7"/>
      <c r="T25" s="7"/>
      <c r="U25" s="7"/>
      <c r="V25" s="7"/>
      <c r="W25" s="7"/>
      <c r="X25" s="7"/>
      <c r="Y25" s="7"/>
    </row>
    <row r="26" ht="18.75" customHeight="1">
      <c r="A26" s="6">
        <v>5.0</v>
      </c>
      <c r="B26" s="6">
        <v>4.0</v>
      </c>
      <c r="C26" s="8" t="s">
        <v>139</v>
      </c>
      <c r="D26" s="8" t="s">
        <v>140</v>
      </c>
      <c r="E26" s="6">
        <v>315.0</v>
      </c>
      <c r="F26" s="6" t="s">
        <v>157</v>
      </c>
      <c r="G26" s="8" t="s">
        <v>158</v>
      </c>
      <c r="H26" s="6" t="s">
        <v>159</v>
      </c>
      <c r="I26" s="6" t="s">
        <v>160</v>
      </c>
      <c r="J26" s="8" t="s">
        <v>161</v>
      </c>
      <c r="K26" s="6" t="s">
        <v>162</v>
      </c>
      <c r="L26" s="6" t="str">
        <f t="shared" si="1"/>
        <v>Team: Innovit2Winnovit  -  Project: Building a Database for Community and Mentors Engagement</v>
      </c>
      <c r="M26" s="7"/>
      <c r="N26" s="10"/>
      <c r="O26" s="7"/>
      <c r="P26" s="7"/>
      <c r="Q26" s="7"/>
      <c r="R26" s="7"/>
      <c r="S26" s="7"/>
      <c r="T26" s="7"/>
      <c r="U26" s="7"/>
      <c r="V26" s="7"/>
      <c r="W26" s="7"/>
      <c r="X26" s="7"/>
      <c r="Y26" s="7"/>
    </row>
    <row r="27" ht="18.75" customHeight="1">
      <c r="A27" s="6">
        <v>5.0</v>
      </c>
      <c r="B27" s="6">
        <v>5.0</v>
      </c>
      <c r="C27" s="8" t="s">
        <v>139</v>
      </c>
      <c r="D27" s="8" t="s">
        <v>140</v>
      </c>
      <c r="E27" s="6">
        <v>305.0</v>
      </c>
      <c r="F27" s="6" t="s">
        <v>163</v>
      </c>
      <c r="G27" s="8" t="s">
        <v>164</v>
      </c>
      <c r="H27" s="6" t="s">
        <v>165</v>
      </c>
      <c r="I27" s="6" t="s">
        <v>85</v>
      </c>
      <c r="J27" s="8" t="s">
        <v>166</v>
      </c>
      <c r="K27" s="6" t="s">
        <v>167</v>
      </c>
      <c r="L27" s="6" t="str">
        <f t="shared" si="1"/>
        <v>Team: I2Hand  -  Project: Camera to Robot Calibration</v>
      </c>
      <c r="M27" s="7"/>
      <c r="N27" s="10"/>
      <c r="O27" s="7"/>
      <c r="P27" s="7"/>
      <c r="Q27" s="7"/>
      <c r="R27" s="7"/>
      <c r="S27" s="7"/>
      <c r="T27" s="7"/>
      <c r="U27" s="7"/>
      <c r="V27" s="7"/>
      <c r="W27" s="7"/>
      <c r="X27" s="7"/>
      <c r="Y27" s="7"/>
    </row>
    <row r="28" ht="18.75" customHeight="1">
      <c r="A28" s="6">
        <v>5.0</v>
      </c>
      <c r="B28" s="6">
        <v>6.0</v>
      </c>
      <c r="C28" s="8" t="s">
        <v>139</v>
      </c>
      <c r="D28" s="8" t="s">
        <v>140</v>
      </c>
      <c r="E28" s="6">
        <v>314.0</v>
      </c>
      <c r="F28" s="6" t="s">
        <v>168</v>
      </c>
      <c r="G28" s="8" t="s">
        <v>169</v>
      </c>
      <c r="H28" s="6" t="s">
        <v>165</v>
      </c>
      <c r="I28" s="6" t="s">
        <v>85</v>
      </c>
      <c r="J28" s="8" t="s">
        <v>170</v>
      </c>
      <c r="K28" s="6" t="s">
        <v>171</v>
      </c>
      <c r="L28" s="6" t="str">
        <f t="shared" si="1"/>
        <v>Team: Battery Bros  -  Project: Online Battery Discharge/Charge Time Estimation</v>
      </c>
      <c r="M28" s="7"/>
      <c r="N28" s="10"/>
      <c r="O28" s="7"/>
      <c r="P28" s="7"/>
      <c r="Q28" s="7"/>
      <c r="R28" s="7"/>
      <c r="S28" s="7"/>
      <c r="T28" s="7"/>
      <c r="U28" s="7"/>
      <c r="V28" s="7"/>
      <c r="W28" s="7"/>
      <c r="X28" s="7"/>
      <c r="Y28" s="7"/>
    </row>
    <row r="29" ht="18.75" customHeight="1">
      <c r="A29" s="6">
        <v>5.0</v>
      </c>
      <c r="B29" s="6">
        <v>7.0</v>
      </c>
      <c r="C29" s="8" t="s">
        <v>139</v>
      </c>
      <c r="D29" s="8" t="s">
        <v>140</v>
      </c>
      <c r="E29" s="6">
        <v>312.0</v>
      </c>
      <c r="F29" s="6" t="s">
        <v>172</v>
      </c>
      <c r="G29" s="8" t="s">
        <v>173</v>
      </c>
      <c r="H29" s="6" t="s">
        <v>174</v>
      </c>
      <c r="I29" s="6" t="s">
        <v>175</v>
      </c>
      <c r="J29" s="8" t="s">
        <v>176</v>
      </c>
      <c r="K29" s="6" t="s">
        <v>177</v>
      </c>
      <c r="L29" s="6" t="str">
        <f t="shared" si="1"/>
        <v>Team: zerdnang  -  Project: Defect Detection on Silicon Wafer Using Neural Network</v>
      </c>
      <c r="M29" s="7"/>
      <c r="N29" s="10"/>
      <c r="O29" s="7"/>
      <c r="P29" s="7"/>
      <c r="Q29" s="7"/>
      <c r="R29" s="7"/>
      <c r="S29" s="7"/>
      <c r="T29" s="7"/>
      <c r="U29" s="7"/>
      <c r="V29" s="7"/>
      <c r="W29" s="7"/>
      <c r="X29" s="7"/>
      <c r="Y29" s="7"/>
    </row>
    <row r="30" ht="18.75" customHeight="1">
      <c r="A30" s="6">
        <v>5.0</v>
      </c>
      <c r="B30" s="6">
        <v>8.0</v>
      </c>
      <c r="C30" s="8" t="s">
        <v>139</v>
      </c>
      <c r="D30" s="8" t="s">
        <v>140</v>
      </c>
      <c r="E30" s="6">
        <v>307.0</v>
      </c>
      <c r="F30" s="6" t="s">
        <v>178</v>
      </c>
      <c r="G30" s="8" t="s">
        <v>179</v>
      </c>
      <c r="H30" s="6" t="s">
        <v>180</v>
      </c>
      <c r="I30" s="6" t="s">
        <v>92</v>
      </c>
      <c r="J30" s="8" t="s">
        <v>181</v>
      </c>
      <c r="K30" s="6" t="s">
        <v>182</v>
      </c>
      <c r="L30" s="6" t="str">
        <f t="shared" si="1"/>
        <v>Team: CodeMonkeys  -  Project: ComprehendAI</v>
      </c>
      <c r="M30" s="7"/>
      <c r="N30" s="10"/>
      <c r="O30" s="7"/>
      <c r="P30" s="7"/>
      <c r="Q30" s="7"/>
      <c r="R30" s="7"/>
      <c r="S30" s="7"/>
      <c r="T30" s="7"/>
      <c r="U30" s="7"/>
      <c r="V30" s="7"/>
      <c r="W30" s="7"/>
      <c r="X30" s="7"/>
      <c r="Y30" s="7"/>
    </row>
    <row r="31" ht="18.75" customHeight="1">
      <c r="A31" s="6">
        <v>6.0</v>
      </c>
      <c r="B31" s="6">
        <v>1.0</v>
      </c>
      <c r="C31" s="8" t="s">
        <v>139</v>
      </c>
      <c r="D31" s="8" t="s">
        <v>140</v>
      </c>
      <c r="E31" s="6">
        <v>308.0</v>
      </c>
      <c r="F31" s="6" t="s">
        <v>183</v>
      </c>
      <c r="G31" s="8" t="s">
        <v>184</v>
      </c>
      <c r="H31" s="6" t="s">
        <v>104</v>
      </c>
      <c r="I31" s="6" t="s">
        <v>17</v>
      </c>
      <c r="J31" s="8" t="s">
        <v>185</v>
      </c>
      <c r="K31" s="6" t="s">
        <v>186</v>
      </c>
      <c r="L31" s="6" t="str">
        <f t="shared" si="1"/>
        <v>Team: Demeter's Secret  -  Project: Satellite Imagery Web Application</v>
      </c>
      <c r="M31" s="7"/>
      <c r="N31" s="10"/>
      <c r="O31" s="7"/>
      <c r="P31" s="7"/>
      <c r="Q31" s="7"/>
      <c r="R31" s="7"/>
      <c r="S31" s="7"/>
      <c r="T31" s="7"/>
      <c r="U31" s="7"/>
      <c r="V31" s="7"/>
      <c r="W31" s="7"/>
      <c r="X31" s="7"/>
      <c r="Y31" s="7"/>
    </row>
    <row r="32" ht="18.75" customHeight="1">
      <c r="A32" s="6">
        <v>6.0</v>
      </c>
      <c r="B32" s="6">
        <v>2.0</v>
      </c>
      <c r="C32" s="8" t="s">
        <v>139</v>
      </c>
      <c r="D32" s="8" t="s">
        <v>140</v>
      </c>
      <c r="E32" s="6">
        <v>306.0</v>
      </c>
      <c r="F32" s="6" t="s">
        <v>187</v>
      </c>
      <c r="G32" s="8" t="s">
        <v>188</v>
      </c>
      <c r="H32" s="6" t="s">
        <v>174</v>
      </c>
      <c r="I32" s="6" t="s">
        <v>175</v>
      </c>
      <c r="J32" s="8" t="s">
        <v>189</v>
      </c>
      <c r="K32" s="6" t="s">
        <v>190</v>
      </c>
      <c r="L32" s="6" t="str">
        <f t="shared" si="1"/>
        <v>Team: WD Mountain Climbers  -  Project: Ascent:: Employee Training Application</v>
      </c>
      <c r="M32" s="7"/>
      <c r="N32" s="10"/>
      <c r="O32" s="7"/>
      <c r="P32" s="7"/>
      <c r="Q32" s="7"/>
      <c r="R32" s="7"/>
      <c r="S32" s="7"/>
      <c r="T32" s="7"/>
      <c r="U32" s="7"/>
      <c r="V32" s="7"/>
      <c r="W32" s="7"/>
      <c r="X32" s="7"/>
      <c r="Y32" s="7"/>
    </row>
    <row r="33" ht="18.75" customHeight="1">
      <c r="A33" s="6">
        <v>6.0</v>
      </c>
      <c r="B33" s="6">
        <v>3.0</v>
      </c>
      <c r="C33" s="8" t="s">
        <v>139</v>
      </c>
      <c r="D33" s="8" t="s">
        <v>140</v>
      </c>
      <c r="E33" s="6">
        <v>310.0</v>
      </c>
      <c r="F33" s="6" t="s">
        <v>191</v>
      </c>
      <c r="G33" s="8" t="s">
        <v>192</v>
      </c>
      <c r="H33" s="6" t="s">
        <v>193</v>
      </c>
      <c r="I33" s="6" t="s">
        <v>194</v>
      </c>
      <c r="J33" s="8" t="s">
        <v>195</v>
      </c>
      <c r="K33" s="6" t="s">
        <v>196</v>
      </c>
      <c r="L33" s="6" t="str">
        <f t="shared" si="1"/>
        <v>Team: The SegFaults  -  Project: PhoenixSync: Remote Firmware Management for IoT</v>
      </c>
      <c r="M33" s="7"/>
      <c r="N33" s="10"/>
      <c r="O33" s="7"/>
      <c r="P33" s="7"/>
      <c r="Q33" s="7"/>
      <c r="R33" s="7"/>
      <c r="S33" s="7"/>
      <c r="T33" s="7"/>
      <c r="U33" s="7"/>
      <c r="V33" s="7"/>
      <c r="W33" s="7"/>
      <c r="X33" s="7"/>
      <c r="Y33" s="7"/>
    </row>
    <row r="34" ht="18.75" customHeight="1">
      <c r="A34" s="6">
        <v>6.0</v>
      </c>
      <c r="B34" s="6">
        <v>4.0</v>
      </c>
      <c r="C34" s="8" t="s">
        <v>139</v>
      </c>
      <c r="D34" s="8" t="s">
        <v>140</v>
      </c>
      <c r="E34" s="6">
        <v>309.0</v>
      </c>
      <c r="F34" s="6" t="s">
        <v>197</v>
      </c>
      <c r="G34" s="8" t="s">
        <v>198</v>
      </c>
      <c r="H34" s="6" t="s">
        <v>199</v>
      </c>
      <c r="I34" s="6" t="s">
        <v>17</v>
      </c>
      <c r="J34" s="8" t="s">
        <v>200</v>
      </c>
      <c r="K34" s="6" t="s">
        <v>201</v>
      </c>
      <c r="L34" s="6" t="str">
        <f t="shared" si="1"/>
        <v>Team: Bio-Secure Schedulers  -  Project: Bio-Secure Scheduler</v>
      </c>
      <c r="M34" s="7"/>
      <c r="N34" s="10"/>
      <c r="O34" s="7"/>
      <c r="P34" s="7"/>
      <c r="Q34" s="7"/>
      <c r="R34" s="7"/>
      <c r="S34" s="7"/>
      <c r="T34" s="7"/>
      <c r="U34" s="7"/>
      <c r="V34" s="7"/>
      <c r="W34" s="7"/>
      <c r="X34" s="7"/>
      <c r="Y34" s="7"/>
    </row>
    <row r="35" ht="18.75" customHeight="1">
      <c r="A35" s="6">
        <v>6.0</v>
      </c>
      <c r="B35" s="6">
        <v>5.0</v>
      </c>
      <c r="C35" s="8" t="s">
        <v>139</v>
      </c>
      <c r="D35" s="8" t="s">
        <v>140</v>
      </c>
      <c r="E35" s="6">
        <v>316.0</v>
      </c>
      <c r="F35" s="6" t="s">
        <v>202</v>
      </c>
      <c r="G35" s="8" t="s">
        <v>203</v>
      </c>
      <c r="H35" s="6" t="s">
        <v>204</v>
      </c>
      <c r="I35" s="6" t="s">
        <v>85</v>
      </c>
      <c r="J35" s="8" t="s">
        <v>205</v>
      </c>
      <c r="K35" s="6" t="s">
        <v>206</v>
      </c>
      <c r="L35" s="6" t="str">
        <f t="shared" si="1"/>
        <v>Team: Towkyo Drift  -  Project: CTTA Member Database Management and Automation</v>
      </c>
      <c r="M35" s="7"/>
      <c r="N35" s="10"/>
      <c r="O35" s="7"/>
      <c r="P35" s="7"/>
      <c r="Q35" s="7"/>
      <c r="R35" s="7"/>
      <c r="S35" s="7"/>
      <c r="T35" s="7"/>
      <c r="U35" s="7"/>
      <c r="V35" s="7"/>
      <c r="W35" s="7"/>
      <c r="X35" s="7"/>
      <c r="Y35" s="7"/>
    </row>
    <row r="36" ht="18.75" customHeight="1">
      <c r="A36" s="6">
        <v>6.0</v>
      </c>
      <c r="B36" s="6">
        <v>6.0</v>
      </c>
      <c r="C36" s="8" t="s">
        <v>139</v>
      </c>
      <c r="D36" s="8" t="s">
        <v>140</v>
      </c>
      <c r="E36" s="6">
        <v>302.0</v>
      </c>
      <c r="F36" s="6" t="s">
        <v>207</v>
      </c>
      <c r="G36" s="8" t="s">
        <v>208</v>
      </c>
      <c r="H36" s="6" t="s">
        <v>209</v>
      </c>
      <c r="I36" s="6" t="s">
        <v>160</v>
      </c>
      <c r="J36" s="8" t="s">
        <v>210</v>
      </c>
      <c r="K36" s="6" t="s">
        <v>211</v>
      </c>
      <c r="L36" s="6" t="str">
        <f t="shared" si="1"/>
        <v>Team: 🧢🗿  -  Project: Capstone Purchasing App</v>
      </c>
      <c r="M36" s="7"/>
      <c r="N36" s="10"/>
      <c r="O36" s="7"/>
      <c r="P36" s="7"/>
      <c r="Q36" s="7"/>
      <c r="R36" s="7"/>
      <c r="S36" s="7"/>
      <c r="T36" s="7"/>
      <c r="U36" s="7"/>
      <c r="V36" s="7"/>
      <c r="W36" s="7"/>
      <c r="X36" s="7"/>
      <c r="Y36" s="7"/>
    </row>
    <row r="37" ht="18.75" customHeight="1">
      <c r="A37" s="6">
        <v>6.0</v>
      </c>
      <c r="B37" s="6">
        <v>7.0</v>
      </c>
      <c r="C37" s="8" t="s">
        <v>139</v>
      </c>
      <c r="D37" s="8" t="s">
        <v>140</v>
      </c>
      <c r="E37" s="6">
        <v>301.0</v>
      </c>
      <c r="F37" s="6" t="s">
        <v>212</v>
      </c>
      <c r="G37" s="8" t="s">
        <v>213</v>
      </c>
      <c r="H37" s="6" t="s">
        <v>214</v>
      </c>
      <c r="I37" s="6" t="s">
        <v>215</v>
      </c>
      <c r="J37" s="8" t="s">
        <v>216</v>
      </c>
      <c r="K37" s="6" t="s">
        <v>217</v>
      </c>
      <c r="L37" s="6" t="str">
        <f t="shared" si="1"/>
        <v>Team: Spot The Pathogen  -  Project: Plant Disease Diagnosis using AI</v>
      </c>
      <c r="M37" s="7"/>
      <c r="N37" s="10"/>
      <c r="O37" s="7"/>
      <c r="P37" s="7"/>
      <c r="Q37" s="7"/>
      <c r="R37" s="7"/>
      <c r="S37" s="7"/>
      <c r="T37" s="7"/>
      <c r="U37" s="7"/>
      <c r="V37" s="7"/>
      <c r="W37" s="7"/>
      <c r="X37" s="7"/>
      <c r="Y37" s="7"/>
    </row>
    <row r="38" ht="18.75" customHeight="1">
      <c r="A38" s="6">
        <v>6.0</v>
      </c>
      <c r="B38" s="6">
        <v>8.0</v>
      </c>
      <c r="C38" s="8" t="s">
        <v>139</v>
      </c>
      <c r="D38" s="8" t="s">
        <v>140</v>
      </c>
      <c r="E38" s="6">
        <v>304.0</v>
      </c>
      <c r="F38" s="6" t="s">
        <v>218</v>
      </c>
      <c r="G38" s="8" t="s">
        <v>219</v>
      </c>
      <c r="H38" s="6" t="s">
        <v>143</v>
      </c>
      <c r="I38" s="6" t="s">
        <v>85</v>
      </c>
      <c r="J38" s="8" t="s">
        <v>220</v>
      </c>
      <c r="K38" s="6" t="s">
        <v>221</v>
      </c>
      <c r="L38" s="6" t="str">
        <f t="shared" si="1"/>
        <v>Team: Data Runners  -  Project: Data Clean-Up Tool</v>
      </c>
      <c r="M38" s="7"/>
      <c r="N38" s="10"/>
      <c r="O38" s="7"/>
      <c r="P38" s="7"/>
      <c r="Q38" s="7"/>
      <c r="R38" s="7"/>
      <c r="S38" s="7"/>
      <c r="T38" s="7"/>
      <c r="U38" s="7"/>
      <c r="V38" s="7"/>
      <c r="W38" s="7"/>
      <c r="X38" s="7"/>
      <c r="Y38" s="7"/>
    </row>
    <row r="39" ht="18.75" customHeight="1">
      <c r="A39" s="6"/>
      <c r="C39" s="8" t="s">
        <v>222</v>
      </c>
      <c r="D39" s="8" t="s">
        <v>13</v>
      </c>
      <c r="E39" s="6">
        <v>101.0</v>
      </c>
      <c r="F39" s="6" t="s">
        <v>223</v>
      </c>
      <c r="G39" s="8" t="s">
        <v>224</v>
      </c>
      <c r="H39" s="6" t="s">
        <v>225</v>
      </c>
      <c r="I39" s="6" t="s">
        <v>226</v>
      </c>
      <c r="J39" s="8" t="s">
        <v>227</v>
      </c>
      <c r="K39" s="6" t="s">
        <v>228</v>
      </c>
      <c r="L39" s="6" t="str">
        <f t="shared" si="1"/>
        <v>Team: CAP-101  -  Project: Electrospinning</v>
      </c>
      <c r="M39" s="7"/>
      <c r="N39" s="10"/>
      <c r="O39" s="7"/>
      <c r="P39" s="7"/>
      <c r="Q39" s="7"/>
      <c r="R39" s="7"/>
      <c r="S39" s="7"/>
      <c r="T39" s="7"/>
      <c r="U39" s="7"/>
      <c r="V39" s="7"/>
      <c r="W39" s="7"/>
      <c r="X39" s="7"/>
      <c r="Y39" s="7"/>
    </row>
    <row r="40" ht="18.75" customHeight="1">
      <c r="A40" s="6"/>
      <c r="B40" s="6"/>
      <c r="C40" s="8" t="s">
        <v>222</v>
      </c>
      <c r="D40" s="8" t="s">
        <v>13</v>
      </c>
      <c r="E40" s="6">
        <v>102.0</v>
      </c>
      <c r="F40" s="6" t="s">
        <v>229</v>
      </c>
      <c r="G40" s="8" t="s">
        <v>230</v>
      </c>
      <c r="H40" s="6" t="s">
        <v>231</v>
      </c>
      <c r="I40" s="6" t="s">
        <v>232</v>
      </c>
      <c r="J40" s="8" t="s">
        <v>233</v>
      </c>
      <c r="K40" s="6" t="s">
        <v>234</v>
      </c>
      <c r="L40" s="6" t="str">
        <f t="shared" si="1"/>
        <v>Team: CAP-102  -  Project: 3D Printing Funnel CPC Blocks 2-Set for Thru-Reflector-Wall (TRW) Solar Cooker-Kitchens</v>
      </c>
      <c r="M40" s="7"/>
      <c r="N40" s="10"/>
      <c r="O40" s="7"/>
      <c r="P40" s="7"/>
      <c r="Q40" s="7"/>
      <c r="R40" s="7"/>
      <c r="S40" s="7"/>
      <c r="T40" s="7"/>
      <c r="U40" s="7"/>
      <c r="V40" s="7"/>
      <c r="W40" s="7"/>
      <c r="X40" s="7"/>
      <c r="Y40" s="7"/>
    </row>
    <row r="41" ht="18.75" customHeight="1">
      <c r="A41" s="6"/>
      <c r="B41" s="6"/>
      <c r="C41" s="8" t="s">
        <v>222</v>
      </c>
      <c r="D41" s="8" t="s">
        <v>13</v>
      </c>
      <c r="E41" s="6">
        <v>103.0</v>
      </c>
      <c r="F41" s="6" t="s">
        <v>235</v>
      </c>
      <c r="G41" s="8" t="s">
        <v>236</v>
      </c>
      <c r="H41" s="6" t="s">
        <v>104</v>
      </c>
      <c r="I41" s="6" t="s">
        <v>17</v>
      </c>
      <c r="J41" s="8" t="s">
        <v>237</v>
      </c>
      <c r="K41" s="6" t="s">
        <v>238</v>
      </c>
      <c r="L41" s="6" t="str">
        <f t="shared" si="1"/>
        <v>Team: CAP-103  -  Project: Drum Pallet Sorting and Dispensing</v>
      </c>
      <c r="M41" s="7"/>
      <c r="N41" s="10"/>
      <c r="O41" s="7"/>
      <c r="P41" s="7"/>
      <c r="Q41" s="7"/>
      <c r="R41" s="7"/>
      <c r="S41" s="7"/>
      <c r="T41" s="7"/>
      <c r="U41" s="7"/>
      <c r="V41" s="7"/>
      <c r="W41" s="7"/>
      <c r="X41" s="7"/>
      <c r="Y41" s="7"/>
    </row>
    <row r="42" ht="18.75" customHeight="1">
      <c r="A42" s="6"/>
      <c r="B42" s="6"/>
      <c r="C42" s="8" t="s">
        <v>222</v>
      </c>
      <c r="D42" s="8" t="s">
        <v>13</v>
      </c>
      <c r="E42" s="6">
        <v>104.0</v>
      </c>
      <c r="F42" s="6" t="s">
        <v>239</v>
      </c>
      <c r="G42" s="8" t="s">
        <v>240</v>
      </c>
      <c r="H42" s="6" t="s">
        <v>241</v>
      </c>
      <c r="I42" s="6" t="s">
        <v>92</v>
      </c>
      <c r="J42" s="8" t="s">
        <v>242</v>
      </c>
      <c r="K42" s="6" t="s">
        <v>243</v>
      </c>
      <c r="L42" s="6" t="str">
        <f t="shared" si="1"/>
        <v>Team: CAP-104  -  Project: Director of Campus Engineering Services</v>
      </c>
      <c r="M42" s="7"/>
      <c r="N42" s="10"/>
      <c r="O42" s="7"/>
      <c r="P42" s="7"/>
      <c r="Q42" s="7"/>
      <c r="R42" s="7"/>
      <c r="S42" s="7"/>
      <c r="T42" s="7"/>
      <c r="U42" s="7"/>
      <c r="V42" s="7"/>
      <c r="W42" s="7"/>
      <c r="X42" s="7"/>
      <c r="Y42" s="7"/>
    </row>
    <row r="43" ht="18.75" customHeight="1">
      <c r="A43" s="6"/>
      <c r="B43" s="6"/>
      <c r="C43" s="8" t="s">
        <v>222</v>
      </c>
      <c r="D43" s="8" t="s">
        <v>13</v>
      </c>
      <c r="E43" s="6">
        <v>105.0</v>
      </c>
      <c r="F43" s="6" t="s">
        <v>244</v>
      </c>
      <c r="G43" s="8" t="s">
        <v>245</v>
      </c>
      <c r="H43" s="6" t="s">
        <v>246</v>
      </c>
      <c r="I43" s="6" t="s">
        <v>226</v>
      </c>
      <c r="J43" s="8" t="s">
        <v>247</v>
      </c>
      <c r="K43" s="6" t="s">
        <v>248</v>
      </c>
      <c r="L43" s="6" t="str">
        <f t="shared" si="1"/>
        <v>Team: CAP-105  -  Project: Ensuring Consistency Between Dye Lots for 3D Printing</v>
      </c>
      <c r="M43" s="7"/>
      <c r="N43" s="10"/>
      <c r="O43" s="7"/>
      <c r="P43" s="7"/>
      <c r="Q43" s="7"/>
      <c r="R43" s="7"/>
      <c r="S43" s="7"/>
      <c r="T43" s="7"/>
      <c r="U43" s="7"/>
      <c r="V43" s="7"/>
      <c r="W43" s="7"/>
      <c r="X43" s="7"/>
      <c r="Y43" s="7"/>
    </row>
    <row r="44" ht="18.75" customHeight="1">
      <c r="A44" s="6"/>
      <c r="B44" s="6"/>
      <c r="C44" s="8" t="s">
        <v>222</v>
      </c>
      <c r="D44" s="8" t="s">
        <v>13</v>
      </c>
      <c r="E44" s="6">
        <v>106.0</v>
      </c>
      <c r="F44" s="6" t="s">
        <v>249</v>
      </c>
      <c r="G44" s="8" t="s">
        <v>250</v>
      </c>
      <c r="H44" s="6" t="s">
        <v>251</v>
      </c>
      <c r="I44" s="6" t="s">
        <v>24</v>
      </c>
      <c r="J44" s="8" t="s">
        <v>252</v>
      </c>
      <c r="K44" s="6" t="s">
        <v>253</v>
      </c>
      <c r="L44" s="6" t="str">
        <f t="shared" si="1"/>
        <v>Team: CAP-106  -  Project: Carbon Negative Cotton Planter</v>
      </c>
      <c r="M44" s="7"/>
      <c r="N44" s="10"/>
      <c r="O44" s="7"/>
      <c r="P44" s="7"/>
      <c r="Q44" s="7"/>
      <c r="R44" s="7"/>
      <c r="S44" s="7"/>
      <c r="T44" s="7"/>
      <c r="U44" s="7"/>
      <c r="V44" s="7"/>
      <c r="W44" s="7"/>
      <c r="X44" s="7"/>
      <c r="Y44" s="7"/>
    </row>
    <row r="45" ht="18.75" customHeight="1">
      <c r="A45" s="6"/>
      <c r="B45" s="6"/>
      <c r="C45" s="8" t="s">
        <v>222</v>
      </c>
      <c r="D45" s="8" t="s">
        <v>13</v>
      </c>
      <c r="E45" s="6">
        <v>107.0</v>
      </c>
      <c r="F45" s="6" t="s">
        <v>254</v>
      </c>
      <c r="G45" s="8" t="s">
        <v>255</v>
      </c>
      <c r="H45" s="6" t="s">
        <v>251</v>
      </c>
      <c r="I45" s="6" t="s">
        <v>24</v>
      </c>
      <c r="J45" s="8" t="s">
        <v>256</v>
      </c>
      <c r="K45" s="6" t="s">
        <v>257</v>
      </c>
      <c r="L45" s="6" t="str">
        <f t="shared" si="1"/>
        <v>Team: CAP-107  -  Project: Urine Collection for Agricultural Fertilizer Use</v>
      </c>
      <c r="M45" s="7"/>
      <c r="N45" s="10"/>
      <c r="O45" s="7"/>
      <c r="P45" s="7"/>
      <c r="Q45" s="7"/>
      <c r="R45" s="7"/>
      <c r="S45" s="7"/>
      <c r="T45" s="7"/>
      <c r="U45" s="7"/>
      <c r="V45" s="7"/>
      <c r="W45" s="7"/>
      <c r="X45" s="7"/>
      <c r="Y45" s="7"/>
    </row>
    <row r="46" ht="18.75" customHeight="1">
      <c r="A46" s="6"/>
      <c r="B46" s="6"/>
      <c r="C46" s="8" t="s">
        <v>222</v>
      </c>
      <c r="D46" s="8" t="s">
        <v>13</v>
      </c>
      <c r="E46" s="6">
        <v>108.0</v>
      </c>
      <c r="F46" s="6" t="s">
        <v>258</v>
      </c>
      <c r="G46" s="8" t="s">
        <v>259</v>
      </c>
      <c r="H46" s="6" t="s">
        <v>260</v>
      </c>
      <c r="I46" s="6" t="s">
        <v>85</v>
      </c>
      <c r="J46" s="8" t="s">
        <v>261</v>
      </c>
      <c r="K46" s="6" t="s">
        <v>262</v>
      </c>
      <c r="L46" s="6" t="str">
        <f t="shared" si="1"/>
        <v>Team: CAP-108  -  Project: Vent Structure Sound Attenuation</v>
      </c>
      <c r="M46" s="7"/>
      <c r="N46" s="10"/>
      <c r="O46" s="7"/>
      <c r="P46" s="7"/>
      <c r="Q46" s="7"/>
      <c r="R46" s="7"/>
      <c r="S46" s="7"/>
      <c r="T46" s="7"/>
      <c r="U46" s="7"/>
      <c r="V46" s="7"/>
      <c r="W46" s="7"/>
      <c r="X46" s="7"/>
      <c r="Y46" s="7"/>
    </row>
    <row r="47" ht="18.75" customHeight="1">
      <c r="A47" s="6"/>
      <c r="B47" s="6"/>
      <c r="C47" s="8" t="s">
        <v>222</v>
      </c>
      <c r="D47" s="8" t="s">
        <v>13</v>
      </c>
      <c r="E47" s="6">
        <v>109.0</v>
      </c>
      <c r="F47" s="6" t="s">
        <v>263</v>
      </c>
      <c r="G47" s="8" t="s">
        <v>264</v>
      </c>
      <c r="H47" s="6" t="s">
        <v>260</v>
      </c>
      <c r="I47" s="6" t="s">
        <v>85</v>
      </c>
      <c r="J47" s="8" t="s">
        <v>265</v>
      </c>
      <c r="K47" s="6" t="s">
        <v>266</v>
      </c>
      <c r="L47" s="6" t="str">
        <f t="shared" si="1"/>
        <v>Team: CAP-109  -  Project: Tunnel Sound Attenuation</v>
      </c>
      <c r="M47" s="7"/>
      <c r="N47" s="10"/>
      <c r="O47" s="7"/>
      <c r="P47" s="7"/>
      <c r="Q47" s="7"/>
      <c r="R47" s="7"/>
      <c r="S47" s="7"/>
      <c r="T47" s="7"/>
      <c r="U47" s="7"/>
      <c r="V47" s="7"/>
      <c r="W47" s="7"/>
      <c r="X47" s="7"/>
      <c r="Y47" s="7"/>
    </row>
    <row r="48" ht="18.75" customHeight="1">
      <c r="A48" s="6"/>
      <c r="B48" s="6"/>
      <c r="C48" s="8" t="s">
        <v>222</v>
      </c>
      <c r="D48" s="8" t="s">
        <v>13</v>
      </c>
      <c r="E48" s="6">
        <v>110.0</v>
      </c>
      <c r="F48" s="6" t="s">
        <v>267</v>
      </c>
      <c r="G48" s="8" t="s">
        <v>268</v>
      </c>
      <c r="H48" s="6" t="s">
        <v>260</v>
      </c>
      <c r="I48" s="6" t="s">
        <v>85</v>
      </c>
      <c r="J48" s="8" t="s">
        <v>269</v>
      </c>
      <c r="K48" s="6" t="s">
        <v>270</v>
      </c>
      <c r="L48" s="6" t="str">
        <f t="shared" si="1"/>
        <v>Team: CAP-110  -  Project: BART Train Washer Efficiency</v>
      </c>
      <c r="M48" s="7"/>
      <c r="N48" s="10"/>
      <c r="O48" s="7"/>
      <c r="P48" s="7"/>
      <c r="Q48" s="7"/>
      <c r="R48" s="7"/>
      <c r="S48" s="7"/>
      <c r="T48" s="7"/>
      <c r="U48" s="7"/>
      <c r="V48" s="7"/>
      <c r="W48" s="7"/>
      <c r="X48" s="7"/>
      <c r="Y48" s="7"/>
    </row>
    <row r="49" ht="18.75" customHeight="1">
      <c r="A49" s="6"/>
      <c r="B49" s="6"/>
      <c r="C49" s="8" t="s">
        <v>222</v>
      </c>
      <c r="D49" s="8" t="s">
        <v>13</v>
      </c>
      <c r="E49" s="6">
        <v>111.0</v>
      </c>
      <c r="F49" s="6" t="s">
        <v>271</v>
      </c>
      <c r="G49" s="8" t="s">
        <v>272</v>
      </c>
      <c r="H49" s="6" t="s">
        <v>273</v>
      </c>
      <c r="I49" s="6" t="s">
        <v>17</v>
      </c>
      <c r="J49" s="8" t="s">
        <v>274</v>
      </c>
      <c r="K49" s="6" t="s">
        <v>275</v>
      </c>
      <c r="L49" s="6" t="str">
        <f t="shared" si="1"/>
        <v>Team: CAP-111  -  Project: Warped Fiber Straightening Tool</v>
      </c>
      <c r="M49" s="7"/>
      <c r="N49" s="10"/>
      <c r="O49" s="7"/>
      <c r="P49" s="7"/>
      <c r="Q49" s="7"/>
      <c r="R49" s="7"/>
      <c r="S49" s="7"/>
      <c r="T49" s="7"/>
      <c r="U49" s="7"/>
      <c r="V49" s="7"/>
      <c r="W49" s="7"/>
      <c r="X49" s="7"/>
      <c r="Y49" s="7"/>
    </row>
    <row r="50" ht="18.75" customHeight="1">
      <c r="A50" s="6"/>
      <c r="B50" s="6"/>
      <c r="C50" s="8" t="s">
        <v>222</v>
      </c>
      <c r="D50" s="8" t="s">
        <v>13</v>
      </c>
      <c r="E50" s="6">
        <v>112.0</v>
      </c>
      <c r="F50" s="6" t="s">
        <v>276</v>
      </c>
      <c r="G50" s="8" t="s">
        <v>277</v>
      </c>
      <c r="H50" s="6" t="s">
        <v>273</v>
      </c>
      <c r="I50" s="6" t="s">
        <v>17</v>
      </c>
      <c r="J50" s="8" t="s">
        <v>278</v>
      </c>
      <c r="K50" s="6" t="s">
        <v>279</v>
      </c>
      <c r="L50" s="6" t="str">
        <f t="shared" si="1"/>
        <v>Team: CAP-112  -  Project: Test Stand for Filler Valves</v>
      </c>
      <c r="M50" s="7"/>
      <c r="N50" s="10"/>
      <c r="O50" s="7"/>
      <c r="P50" s="7"/>
      <c r="Q50" s="7"/>
      <c r="R50" s="7"/>
      <c r="S50" s="7"/>
      <c r="T50" s="7"/>
      <c r="U50" s="7"/>
      <c r="V50" s="7"/>
      <c r="W50" s="7"/>
      <c r="X50" s="7"/>
      <c r="Y50" s="7"/>
    </row>
    <row r="51" ht="18.75" customHeight="1">
      <c r="A51" s="6"/>
      <c r="B51" s="6"/>
      <c r="C51" s="8" t="s">
        <v>222</v>
      </c>
      <c r="D51" s="8" t="s">
        <v>13</v>
      </c>
      <c r="E51" s="6">
        <v>113.0</v>
      </c>
      <c r="F51" s="6" t="s">
        <v>280</v>
      </c>
      <c r="G51" s="8" t="s">
        <v>281</v>
      </c>
      <c r="H51" s="6" t="s">
        <v>54</v>
      </c>
      <c r="I51" s="6" t="s">
        <v>17</v>
      </c>
      <c r="J51" s="8" t="s">
        <v>282</v>
      </c>
      <c r="K51" s="6" t="s">
        <v>283</v>
      </c>
      <c r="L51" s="6" t="str">
        <f t="shared" si="1"/>
        <v>Team: CAP-113  -  Project: Pkg 4 - Spillage</v>
      </c>
      <c r="M51" s="7"/>
      <c r="N51" s="10"/>
      <c r="O51" s="7"/>
      <c r="P51" s="7"/>
      <c r="Q51" s="7"/>
      <c r="R51" s="7"/>
      <c r="S51" s="7"/>
      <c r="T51" s="7"/>
      <c r="U51" s="7"/>
      <c r="V51" s="7"/>
      <c r="W51" s="7"/>
      <c r="X51" s="7"/>
      <c r="Y51" s="7"/>
    </row>
    <row r="52" ht="18.75" customHeight="1">
      <c r="A52" s="6"/>
      <c r="B52" s="6"/>
      <c r="C52" s="8" t="s">
        <v>222</v>
      </c>
      <c r="D52" s="8" t="s">
        <v>13</v>
      </c>
      <c r="E52" s="6">
        <v>114.0</v>
      </c>
      <c r="F52" s="6" t="s">
        <v>284</v>
      </c>
      <c r="G52" s="8" t="s">
        <v>285</v>
      </c>
      <c r="H52" s="6" t="s">
        <v>54</v>
      </c>
      <c r="I52" s="6" t="s">
        <v>17</v>
      </c>
      <c r="J52" s="8" t="s">
        <v>286</v>
      </c>
      <c r="K52" s="6" t="s">
        <v>287</v>
      </c>
      <c r="L52" s="6" t="str">
        <f t="shared" si="1"/>
        <v>Team: CAP-114  -  Project: Boxing Efficiency</v>
      </c>
      <c r="M52" s="7"/>
      <c r="N52" s="10"/>
      <c r="O52" s="7"/>
      <c r="P52" s="7"/>
      <c r="Q52" s="7"/>
      <c r="R52" s="7"/>
      <c r="S52" s="7"/>
      <c r="T52" s="7"/>
      <c r="U52" s="7"/>
      <c r="V52" s="7"/>
      <c r="W52" s="7"/>
      <c r="X52" s="7"/>
      <c r="Y52" s="7"/>
    </row>
    <row r="53" ht="18.75" customHeight="1">
      <c r="A53" s="6"/>
      <c r="B53" s="6"/>
      <c r="C53" s="8" t="s">
        <v>222</v>
      </c>
      <c r="D53" s="8" t="s">
        <v>13</v>
      </c>
      <c r="E53" s="6">
        <v>115.0</v>
      </c>
      <c r="F53" s="6" t="s">
        <v>288</v>
      </c>
      <c r="G53" s="8" t="s">
        <v>289</v>
      </c>
      <c r="H53" s="6" t="s">
        <v>290</v>
      </c>
      <c r="I53" s="6" t="s">
        <v>92</v>
      </c>
      <c r="J53" s="8" t="s">
        <v>291</v>
      </c>
      <c r="K53" s="6" t="s">
        <v>292</v>
      </c>
      <c r="L53" s="6" t="str">
        <f t="shared" si="1"/>
        <v>Team: CAP-115  -  Project: Metal Additive Manufacturing Build Diagnostic</v>
      </c>
      <c r="M53" s="7"/>
      <c r="N53" s="10"/>
      <c r="O53" s="7"/>
      <c r="P53" s="7"/>
      <c r="Q53" s="7"/>
      <c r="R53" s="7"/>
      <c r="S53" s="7"/>
      <c r="T53" s="7"/>
      <c r="U53" s="7"/>
      <c r="V53" s="7"/>
      <c r="W53" s="7"/>
      <c r="X53" s="7"/>
      <c r="Y53" s="7"/>
    </row>
    <row r="54" ht="18.75" customHeight="1">
      <c r="A54" s="6"/>
      <c r="B54" s="6"/>
      <c r="C54" s="8" t="s">
        <v>222</v>
      </c>
      <c r="D54" s="8" t="s">
        <v>13</v>
      </c>
      <c r="E54" s="6">
        <v>116.0</v>
      </c>
      <c r="F54" s="6" t="s">
        <v>293</v>
      </c>
      <c r="G54" s="8" t="s">
        <v>294</v>
      </c>
      <c r="H54" s="6" t="s">
        <v>290</v>
      </c>
      <c r="I54" s="6" t="s">
        <v>92</v>
      </c>
      <c r="J54" s="8" t="s">
        <v>295</v>
      </c>
      <c r="K54" s="6" t="s">
        <v>296</v>
      </c>
      <c r="L54" s="6" t="str">
        <f t="shared" si="1"/>
        <v>Team: CAP-116  -  Project: Powder Explosibility Nozzle Removal</v>
      </c>
      <c r="M54" s="7"/>
      <c r="N54" s="10"/>
      <c r="O54" s="7"/>
      <c r="P54" s="7"/>
      <c r="Q54" s="7"/>
      <c r="R54" s="7"/>
      <c r="S54" s="7"/>
      <c r="T54" s="7"/>
      <c r="U54" s="7"/>
      <c r="V54" s="7"/>
      <c r="W54" s="7"/>
      <c r="X54" s="7"/>
      <c r="Y54" s="7"/>
    </row>
    <row r="55" ht="18.75" customHeight="1">
      <c r="A55" s="6"/>
      <c r="B55" s="6"/>
      <c r="C55" s="8" t="s">
        <v>222</v>
      </c>
      <c r="D55" s="8" t="s">
        <v>13</v>
      </c>
      <c r="E55" s="6">
        <v>117.0</v>
      </c>
      <c r="F55" s="6" t="s">
        <v>297</v>
      </c>
      <c r="G55" s="8" t="s">
        <v>298</v>
      </c>
      <c r="H55" s="6" t="s">
        <v>299</v>
      </c>
      <c r="I55" s="6" t="s">
        <v>17</v>
      </c>
      <c r="J55" s="8" t="s">
        <v>300</v>
      </c>
      <c r="K55" s="6" t="s">
        <v>301</v>
      </c>
      <c r="L55" s="6" t="str">
        <f t="shared" si="1"/>
        <v>Team: CAP-117  -  Project: Automatic Almond Sampling Device</v>
      </c>
      <c r="M55" s="7"/>
      <c r="N55" s="10"/>
      <c r="O55" s="7"/>
      <c r="P55" s="7"/>
      <c r="Q55" s="7"/>
      <c r="R55" s="7"/>
      <c r="S55" s="7"/>
      <c r="T55" s="7"/>
      <c r="U55" s="7"/>
      <c r="V55" s="7"/>
      <c r="W55" s="7"/>
      <c r="X55" s="7"/>
      <c r="Y55" s="7"/>
    </row>
    <row r="56" ht="18.75" customHeight="1">
      <c r="A56" s="6"/>
      <c r="B56" s="6"/>
      <c r="C56" s="8" t="s">
        <v>222</v>
      </c>
      <c r="D56" s="8" t="s">
        <v>13</v>
      </c>
      <c r="E56" s="6">
        <v>118.0</v>
      </c>
      <c r="F56" s="6" t="s">
        <v>302</v>
      </c>
      <c r="G56" s="8" t="s">
        <v>303</v>
      </c>
      <c r="H56" s="6" t="s">
        <v>304</v>
      </c>
      <c r="I56" s="6" t="s">
        <v>17</v>
      </c>
      <c r="J56" s="8" t="s">
        <v>305</v>
      </c>
      <c r="K56" s="6" t="s">
        <v>306</v>
      </c>
      <c r="L56" s="6" t="str">
        <f t="shared" si="1"/>
        <v>Team: CAP-118  -  Project: PSL Conveyor Fault Analysis &amp; Optimization</v>
      </c>
      <c r="M56" s="7"/>
      <c r="N56" s="10"/>
      <c r="O56" s="7"/>
      <c r="P56" s="7"/>
      <c r="Q56" s="7"/>
      <c r="R56" s="7"/>
      <c r="S56" s="7"/>
      <c r="T56" s="7"/>
      <c r="U56" s="7"/>
      <c r="V56" s="7"/>
      <c r="W56" s="7"/>
      <c r="X56" s="7"/>
      <c r="Y56" s="7"/>
    </row>
    <row r="57" ht="18.75" customHeight="1">
      <c r="A57" s="6"/>
      <c r="B57" s="6"/>
      <c r="C57" s="8" t="s">
        <v>222</v>
      </c>
      <c r="D57" s="8" t="s">
        <v>13</v>
      </c>
      <c r="E57" s="6">
        <v>119.0</v>
      </c>
      <c r="F57" s="6" t="s">
        <v>307</v>
      </c>
      <c r="G57" s="8" t="s">
        <v>308</v>
      </c>
      <c r="H57" s="6" t="s">
        <v>309</v>
      </c>
      <c r="I57" s="6" t="s">
        <v>17</v>
      </c>
      <c r="J57" s="8" t="s">
        <v>310</v>
      </c>
      <c r="K57" s="6" t="s">
        <v>311</v>
      </c>
      <c r="L57" s="6" t="str">
        <f t="shared" si="1"/>
        <v>Team: CAP-119  -  Project: Waterless High Throughput Pistachio Huller</v>
      </c>
      <c r="M57" s="7"/>
      <c r="N57" s="10"/>
      <c r="O57" s="7"/>
      <c r="P57" s="7"/>
      <c r="Q57" s="7"/>
      <c r="R57" s="7"/>
      <c r="S57" s="7"/>
      <c r="T57" s="7"/>
      <c r="U57" s="7"/>
      <c r="V57" s="7"/>
      <c r="W57" s="7"/>
      <c r="X57" s="7"/>
      <c r="Y57" s="7"/>
    </row>
    <row r="58" ht="18.75" customHeight="1">
      <c r="A58" s="6"/>
      <c r="B58" s="6"/>
      <c r="C58" s="8" t="s">
        <v>222</v>
      </c>
      <c r="D58" s="8" t="s">
        <v>13</v>
      </c>
      <c r="E58" s="6">
        <v>120.0</v>
      </c>
      <c r="F58" s="6" t="s">
        <v>312</v>
      </c>
      <c r="G58" s="8" t="s">
        <v>313</v>
      </c>
      <c r="H58" s="6" t="s">
        <v>314</v>
      </c>
      <c r="I58" s="6" t="s">
        <v>17</v>
      </c>
      <c r="J58" s="8" t="s">
        <v>315</v>
      </c>
      <c r="K58" s="6" t="s">
        <v>316</v>
      </c>
      <c r="L58" s="6" t="str">
        <f t="shared" si="1"/>
        <v>Team: CAP-120  -  Project: Screen Damage Prevention Detection Tracking</v>
      </c>
      <c r="M58" s="7"/>
      <c r="N58" s="10"/>
      <c r="O58" s="7"/>
      <c r="P58" s="7"/>
      <c r="Q58" s="7"/>
      <c r="R58" s="7"/>
      <c r="S58" s="7"/>
      <c r="T58" s="7"/>
      <c r="U58" s="7"/>
      <c r="V58" s="7"/>
      <c r="W58" s="7"/>
      <c r="X58" s="7"/>
      <c r="Y58" s="7"/>
    </row>
    <row r="59" ht="18.75" customHeight="1">
      <c r="A59" s="6"/>
      <c r="B59" s="6"/>
      <c r="C59" s="8" t="s">
        <v>222</v>
      </c>
      <c r="D59" s="8" t="s">
        <v>13</v>
      </c>
      <c r="E59" s="6">
        <v>121.0</v>
      </c>
      <c r="F59" s="6" t="s">
        <v>317</v>
      </c>
      <c r="G59" s="8" t="s">
        <v>318</v>
      </c>
      <c r="H59" s="6" t="s">
        <v>225</v>
      </c>
      <c r="I59" s="6" t="s">
        <v>215</v>
      </c>
      <c r="J59" s="8" t="s">
        <v>319</v>
      </c>
      <c r="K59" s="6" t="s">
        <v>320</v>
      </c>
      <c r="L59" s="6" t="str">
        <f t="shared" si="1"/>
        <v>Team: CAP-121  -  Project: Computer controlled motion control of a cell stretcher</v>
      </c>
      <c r="M59" s="7"/>
      <c r="N59" s="10"/>
      <c r="O59" s="7"/>
      <c r="P59" s="7"/>
      <c r="Q59" s="7"/>
      <c r="R59" s="7"/>
      <c r="S59" s="7"/>
      <c r="T59" s="7"/>
      <c r="U59" s="7"/>
      <c r="V59" s="7"/>
      <c r="W59" s="7"/>
      <c r="X59" s="7"/>
      <c r="Y59" s="7"/>
    </row>
    <row r="60" ht="18.75" customHeight="1">
      <c r="A60" s="6"/>
      <c r="B60" s="6"/>
      <c r="C60" s="8" t="s">
        <v>222</v>
      </c>
      <c r="D60" s="8" t="s">
        <v>13</v>
      </c>
      <c r="E60" s="6">
        <v>122.0</v>
      </c>
      <c r="F60" s="6" t="s">
        <v>321</v>
      </c>
      <c r="G60" s="8" t="s">
        <v>322</v>
      </c>
      <c r="H60" s="6" t="s">
        <v>323</v>
      </c>
      <c r="I60" s="6" t="s">
        <v>215</v>
      </c>
      <c r="J60" s="8" t="s">
        <v>324</v>
      </c>
      <c r="K60" s="6" t="s">
        <v>325</v>
      </c>
      <c r="L60" s="6" t="str">
        <f t="shared" si="1"/>
        <v>Team: CAP-122  -  Project: Precise Measurement Analysis for Interventional pain procedures to under fluoroscopic guidance</v>
      </c>
      <c r="M60" s="7"/>
      <c r="N60" s="10"/>
      <c r="O60" s="7"/>
      <c r="P60" s="7"/>
      <c r="Q60" s="7"/>
      <c r="R60" s="7"/>
      <c r="S60" s="7"/>
      <c r="T60" s="7"/>
      <c r="U60" s="7"/>
      <c r="V60" s="7"/>
      <c r="W60" s="7"/>
      <c r="X60" s="7"/>
      <c r="Y60" s="7"/>
    </row>
    <row r="61" ht="18.75" customHeight="1">
      <c r="A61" s="6"/>
      <c r="B61" s="6"/>
      <c r="C61" s="8" t="s">
        <v>222</v>
      </c>
      <c r="D61" s="8" t="s">
        <v>13</v>
      </c>
      <c r="E61" s="6">
        <v>123.0</v>
      </c>
      <c r="F61" s="6" t="s">
        <v>326</v>
      </c>
      <c r="G61" s="8" t="s">
        <v>327</v>
      </c>
      <c r="H61" s="6" t="s">
        <v>323</v>
      </c>
      <c r="I61" s="6" t="s">
        <v>215</v>
      </c>
      <c r="J61" s="8" t="s">
        <v>328</v>
      </c>
      <c r="K61" s="6" t="s">
        <v>329</v>
      </c>
      <c r="L61" s="6" t="str">
        <f t="shared" si="1"/>
        <v>Team: CAP-123  -  Project: Precise Syringe Pressure Analysis for spinal pain management injections and joints</v>
      </c>
      <c r="M61" s="7"/>
      <c r="N61" s="10"/>
      <c r="O61" s="7"/>
      <c r="P61" s="7"/>
      <c r="Q61" s="7"/>
      <c r="R61" s="7"/>
      <c r="S61" s="7"/>
      <c r="T61" s="7"/>
      <c r="U61" s="7"/>
      <c r="V61" s="7"/>
      <c r="W61" s="7"/>
      <c r="X61" s="7"/>
      <c r="Y61" s="7"/>
    </row>
    <row r="62" ht="18.75" customHeight="1">
      <c r="A62" s="6"/>
      <c r="B62" s="6"/>
      <c r="C62" s="8" t="s">
        <v>222</v>
      </c>
      <c r="D62" s="8" t="s">
        <v>13</v>
      </c>
      <c r="E62" s="6">
        <v>124.0</v>
      </c>
      <c r="F62" s="6" t="s">
        <v>330</v>
      </c>
      <c r="G62" s="8" t="s">
        <v>331</v>
      </c>
      <c r="H62" s="6" t="s">
        <v>332</v>
      </c>
      <c r="I62" s="6" t="s">
        <v>24</v>
      </c>
      <c r="J62" s="8" t="s">
        <v>333</v>
      </c>
      <c r="K62" s="6" t="s">
        <v>334</v>
      </c>
      <c r="L62" s="6" t="str">
        <f t="shared" si="1"/>
        <v>Team: CAP-124  -  Project: Design and implementation of a robotic actuation mechanism for collecting leaf spectral data.</v>
      </c>
      <c r="M62" s="7"/>
      <c r="N62" s="10"/>
      <c r="O62" s="7"/>
      <c r="P62" s="7"/>
      <c r="Q62" s="7"/>
      <c r="R62" s="7"/>
      <c r="S62" s="7"/>
      <c r="T62" s="7"/>
      <c r="U62" s="7"/>
      <c r="V62" s="7"/>
      <c r="W62" s="7"/>
      <c r="X62" s="7"/>
      <c r="Y62" s="7"/>
    </row>
    <row r="63" ht="18.75" customHeight="1">
      <c r="A63" s="6"/>
      <c r="B63" s="6"/>
      <c r="C63" s="8" t="s">
        <v>222</v>
      </c>
      <c r="D63" s="8" t="s">
        <v>13</v>
      </c>
      <c r="E63" s="6">
        <v>125.0</v>
      </c>
      <c r="F63" s="6" t="s">
        <v>335</v>
      </c>
      <c r="G63" s="8" t="s">
        <v>336</v>
      </c>
      <c r="H63" s="6" t="s">
        <v>337</v>
      </c>
      <c r="I63" s="6" t="s">
        <v>215</v>
      </c>
      <c r="J63" s="8" t="s">
        <v>338</v>
      </c>
      <c r="K63" s="6" t="s">
        <v>339</v>
      </c>
      <c r="L63" s="6" t="str">
        <f t="shared" si="1"/>
        <v>Team: CAP-125  -  Project: Effect of Climate Change  on Cardiovascular Diseases and Vascular Age using smart-sensors technology</v>
      </c>
      <c r="M63" s="7"/>
      <c r="N63" s="10"/>
      <c r="O63" s="7"/>
      <c r="P63" s="7"/>
      <c r="Q63" s="7"/>
      <c r="R63" s="7"/>
      <c r="S63" s="7"/>
      <c r="T63" s="7"/>
      <c r="U63" s="7"/>
      <c r="V63" s="7"/>
      <c r="W63" s="7"/>
      <c r="X63" s="7"/>
      <c r="Y63" s="7"/>
    </row>
    <row r="64" ht="18.75" customHeight="1">
      <c r="A64" s="6"/>
      <c r="B64" s="6"/>
      <c r="C64" s="8" t="s">
        <v>222</v>
      </c>
      <c r="D64" s="8" t="s">
        <v>13</v>
      </c>
      <c r="E64" s="6">
        <v>126.0</v>
      </c>
      <c r="F64" s="6" t="s">
        <v>340</v>
      </c>
      <c r="G64" s="8" t="s">
        <v>341</v>
      </c>
      <c r="H64" s="6" t="s">
        <v>342</v>
      </c>
      <c r="I64" s="6" t="s">
        <v>17</v>
      </c>
      <c r="J64" s="8" t="s">
        <v>343</v>
      </c>
      <c r="K64" s="6" t="s">
        <v>344</v>
      </c>
      <c r="L64" s="6" t="str">
        <f t="shared" si="1"/>
        <v>Team: CAP-126  -  Project: Line Balancing Sleevers</v>
      </c>
      <c r="M64" s="7"/>
      <c r="N64" s="10"/>
      <c r="O64" s="7"/>
      <c r="P64" s="7"/>
      <c r="Q64" s="7"/>
      <c r="R64" s="7"/>
      <c r="S64" s="7"/>
      <c r="T64" s="7"/>
      <c r="U64" s="7"/>
      <c r="V64" s="7"/>
      <c r="W64" s="7"/>
      <c r="X64" s="7"/>
      <c r="Y64"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84.0"/>
    <col customWidth="1" min="3" max="3" width="104.5"/>
    <col customWidth="1" min="4" max="7" width="23.75"/>
    <col customWidth="1" min="8" max="8" width="37.38"/>
    <col customWidth="1" min="9" max="19" width="23.75"/>
  </cols>
  <sheetData>
    <row r="1">
      <c r="A1" s="11" t="s">
        <v>345</v>
      </c>
      <c r="B1" s="11" t="s">
        <v>346</v>
      </c>
      <c r="C1" s="11" t="s">
        <v>80</v>
      </c>
      <c r="D1" s="10"/>
      <c r="E1" s="10"/>
      <c r="F1" s="10"/>
      <c r="G1" s="10"/>
      <c r="H1" s="10"/>
      <c r="I1" s="10"/>
      <c r="J1" s="10"/>
      <c r="K1" s="10"/>
      <c r="L1" s="10"/>
      <c r="M1" s="10"/>
      <c r="N1" s="10"/>
      <c r="O1" s="10"/>
      <c r="P1" s="10"/>
      <c r="Q1" s="10"/>
      <c r="R1" s="10"/>
      <c r="S1" s="10"/>
    </row>
    <row r="2">
      <c r="A2" s="11" t="s">
        <v>347</v>
      </c>
      <c r="B2" s="11" t="s">
        <v>348</v>
      </c>
      <c r="C2" s="11" t="s">
        <v>26</v>
      </c>
      <c r="D2" s="10"/>
      <c r="E2" s="10"/>
      <c r="F2" s="10"/>
      <c r="G2" s="10"/>
      <c r="H2" s="10"/>
      <c r="I2" s="10"/>
      <c r="J2" s="10"/>
      <c r="K2" s="10"/>
      <c r="L2" s="10"/>
      <c r="M2" s="10"/>
      <c r="N2" s="10"/>
      <c r="O2" s="10"/>
      <c r="P2" s="10"/>
      <c r="Q2" s="10"/>
      <c r="R2" s="10"/>
      <c r="S2" s="10"/>
    </row>
    <row r="3">
      <c r="A3" s="11" t="s">
        <v>349</v>
      </c>
      <c r="B3" s="11" t="s">
        <v>350</v>
      </c>
      <c r="C3" s="11" t="s">
        <v>38</v>
      </c>
      <c r="D3" s="10"/>
      <c r="E3" s="10"/>
      <c r="F3" s="10"/>
      <c r="G3" s="10"/>
      <c r="H3" s="10"/>
      <c r="I3" s="10"/>
      <c r="J3" s="10"/>
      <c r="K3" s="10"/>
      <c r="L3" s="10"/>
      <c r="M3" s="10"/>
      <c r="N3" s="10"/>
      <c r="O3" s="10"/>
      <c r="P3" s="10"/>
      <c r="Q3" s="10"/>
      <c r="R3" s="10"/>
      <c r="S3" s="10"/>
    </row>
    <row r="4">
      <c r="A4" s="11" t="s">
        <v>351</v>
      </c>
      <c r="B4" s="11" t="s">
        <v>352</v>
      </c>
      <c r="C4" s="11" t="s">
        <v>62</v>
      </c>
      <c r="D4" s="10"/>
      <c r="E4" s="10"/>
      <c r="F4" s="10"/>
      <c r="G4" s="10"/>
      <c r="H4" s="10"/>
      <c r="I4" s="10"/>
      <c r="J4" s="10"/>
      <c r="K4" s="10"/>
      <c r="L4" s="10"/>
      <c r="M4" s="10"/>
      <c r="N4" s="10"/>
      <c r="O4" s="10"/>
      <c r="P4" s="10"/>
      <c r="Q4" s="10"/>
      <c r="R4" s="10"/>
      <c r="S4" s="10"/>
    </row>
    <row r="5">
      <c r="A5" s="11" t="s">
        <v>353</v>
      </c>
      <c r="B5" s="11" t="s">
        <v>354</v>
      </c>
      <c r="C5" s="11" t="s">
        <v>50</v>
      </c>
      <c r="D5" s="10"/>
      <c r="E5" s="10"/>
      <c r="F5" s="10"/>
      <c r="G5" s="10"/>
      <c r="H5" s="10"/>
      <c r="I5" s="10"/>
      <c r="J5" s="10"/>
      <c r="K5" s="10"/>
      <c r="L5" s="10"/>
      <c r="M5" s="10"/>
      <c r="N5" s="10"/>
      <c r="O5" s="10"/>
      <c r="P5" s="10"/>
      <c r="Q5" s="10"/>
      <c r="R5" s="10"/>
      <c r="S5" s="10"/>
    </row>
    <row r="6">
      <c r="A6" s="11" t="s">
        <v>355</v>
      </c>
      <c r="B6" s="11" t="s">
        <v>356</v>
      </c>
      <c r="C6" s="11" t="s">
        <v>94</v>
      </c>
      <c r="D6" s="10"/>
      <c r="E6" s="10"/>
      <c r="F6" s="10"/>
      <c r="G6" s="10"/>
      <c r="H6" s="10"/>
      <c r="I6" s="10"/>
      <c r="J6" s="10"/>
      <c r="K6" s="10"/>
      <c r="L6" s="10"/>
      <c r="M6" s="10"/>
      <c r="N6" s="10"/>
      <c r="O6" s="10"/>
      <c r="P6" s="10"/>
      <c r="Q6" s="10"/>
      <c r="R6" s="10"/>
      <c r="S6" s="10"/>
    </row>
    <row r="7">
      <c r="A7" s="11" t="s">
        <v>357</v>
      </c>
      <c r="B7" s="11" t="s">
        <v>358</v>
      </c>
      <c r="C7" s="11" t="s">
        <v>32</v>
      </c>
      <c r="D7" s="10"/>
      <c r="E7" s="10"/>
      <c r="F7" s="10"/>
      <c r="G7" s="10"/>
      <c r="H7" s="10"/>
      <c r="I7" s="10"/>
      <c r="J7" s="10"/>
      <c r="K7" s="10"/>
      <c r="L7" s="10"/>
      <c r="M7" s="10"/>
      <c r="N7" s="10"/>
      <c r="O7" s="10"/>
      <c r="P7" s="10"/>
      <c r="Q7" s="10"/>
      <c r="R7" s="10"/>
      <c r="S7" s="10"/>
    </row>
    <row r="8">
      <c r="A8" s="11" t="s">
        <v>359</v>
      </c>
      <c r="B8" s="11" t="s">
        <v>360</v>
      </c>
      <c r="C8" s="11" t="s">
        <v>87</v>
      </c>
      <c r="D8" s="10"/>
      <c r="E8" s="10"/>
      <c r="F8" s="10"/>
      <c r="G8" s="10"/>
      <c r="H8" s="10"/>
      <c r="I8" s="10"/>
      <c r="J8" s="10"/>
      <c r="K8" s="10"/>
      <c r="L8" s="10"/>
      <c r="M8" s="10"/>
      <c r="N8" s="10"/>
      <c r="O8" s="10"/>
      <c r="P8" s="10"/>
      <c r="Q8" s="10"/>
      <c r="R8" s="10"/>
      <c r="S8" s="10"/>
    </row>
    <row r="9">
      <c r="A9" s="11" t="s">
        <v>361</v>
      </c>
      <c r="B9" s="11" t="s">
        <v>362</v>
      </c>
      <c r="C9" s="11" t="s">
        <v>68</v>
      </c>
      <c r="D9" s="10"/>
      <c r="E9" s="10"/>
      <c r="F9" s="10"/>
      <c r="G9" s="10"/>
      <c r="H9" s="10"/>
      <c r="I9" s="10"/>
      <c r="J9" s="10"/>
      <c r="K9" s="10"/>
      <c r="L9" s="10"/>
      <c r="M9" s="10"/>
      <c r="N9" s="10"/>
      <c r="O9" s="10"/>
      <c r="P9" s="10"/>
      <c r="Q9" s="10"/>
      <c r="R9" s="10"/>
      <c r="S9" s="10"/>
    </row>
    <row r="10">
      <c r="A10" s="11" t="s">
        <v>363</v>
      </c>
      <c r="B10" s="11" t="s">
        <v>364</v>
      </c>
      <c r="C10" s="11" t="s">
        <v>106</v>
      </c>
      <c r="D10" s="10"/>
      <c r="E10" s="10"/>
      <c r="F10" s="10"/>
      <c r="G10" s="10"/>
      <c r="H10" s="10"/>
      <c r="I10" s="10"/>
      <c r="J10" s="10"/>
      <c r="K10" s="10"/>
      <c r="L10" s="10"/>
      <c r="M10" s="10"/>
      <c r="N10" s="10"/>
      <c r="O10" s="10"/>
      <c r="P10" s="10"/>
      <c r="Q10" s="10"/>
      <c r="R10" s="10"/>
      <c r="S10" s="10"/>
    </row>
    <row r="11">
      <c r="A11" s="11" t="s">
        <v>365</v>
      </c>
      <c r="B11" s="11" t="s">
        <v>366</v>
      </c>
      <c r="C11" s="11" t="s">
        <v>111</v>
      </c>
      <c r="D11" s="10"/>
      <c r="E11" s="10"/>
      <c r="F11" s="10"/>
      <c r="G11" s="10"/>
      <c r="H11" s="10"/>
      <c r="I11" s="10"/>
      <c r="J11" s="10"/>
      <c r="K11" s="10"/>
      <c r="L11" s="10"/>
      <c r="M11" s="10"/>
      <c r="N11" s="10"/>
      <c r="O11" s="10"/>
      <c r="P11" s="10"/>
      <c r="Q11" s="10"/>
      <c r="R11" s="10"/>
      <c r="S11" s="10"/>
    </row>
    <row r="12">
      <c r="A12" s="11" t="s">
        <v>367</v>
      </c>
      <c r="B12" s="11" t="s">
        <v>368</v>
      </c>
      <c r="C12" s="11" t="s">
        <v>19</v>
      </c>
      <c r="D12" s="10"/>
      <c r="E12" s="10"/>
      <c r="F12" s="10"/>
      <c r="G12" s="10"/>
      <c r="H12" s="10"/>
      <c r="I12" s="10"/>
      <c r="J12" s="10"/>
      <c r="K12" s="10"/>
      <c r="L12" s="10"/>
      <c r="M12" s="10"/>
      <c r="N12" s="10"/>
      <c r="O12" s="10"/>
      <c r="P12" s="10"/>
      <c r="Q12" s="10"/>
      <c r="R12" s="10"/>
      <c r="S12" s="10"/>
    </row>
    <row r="13">
      <c r="A13" s="11" t="s">
        <v>369</v>
      </c>
      <c r="B13" s="11" t="s">
        <v>370</v>
      </c>
      <c r="C13" s="11" t="s">
        <v>74</v>
      </c>
      <c r="D13" s="10"/>
      <c r="E13" s="10"/>
      <c r="F13" s="10"/>
      <c r="G13" s="10"/>
      <c r="H13" s="10"/>
      <c r="I13" s="10"/>
      <c r="J13" s="10"/>
      <c r="K13" s="10"/>
      <c r="L13" s="10"/>
      <c r="M13" s="10"/>
      <c r="N13" s="10"/>
      <c r="O13" s="10"/>
      <c r="P13" s="10"/>
      <c r="Q13" s="10"/>
      <c r="R13" s="10"/>
      <c r="S13" s="10"/>
    </row>
    <row r="14">
      <c r="A14" s="11" t="s">
        <v>371</v>
      </c>
      <c r="B14" s="11" t="s">
        <v>372</v>
      </c>
      <c r="C14" s="11" t="s">
        <v>100</v>
      </c>
      <c r="D14" s="10"/>
      <c r="E14" s="10"/>
      <c r="F14" s="10"/>
      <c r="G14" s="10"/>
      <c r="H14" s="10"/>
      <c r="I14" s="10"/>
      <c r="J14" s="10"/>
      <c r="K14" s="10"/>
      <c r="L14" s="10"/>
      <c r="M14" s="10"/>
      <c r="N14" s="10"/>
      <c r="O14" s="10"/>
      <c r="P14" s="10"/>
      <c r="Q14" s="10"/>
      <c r="R14" s="10"/>
      <c r="S14" s="10"/>
    </row>
    <row r="15">
      <c r="A15" s="11" t="s">
        <v>373</v>
      </c>
      <c r="B15" s="11" t="s">
        <v>374</v>
      </c>
      <c r="C15" s="11" t="s">
        <v>56</v>
      </c>
      <c r="D15" s="10"/>
      <c r="E15" s="10"/>
      <c r="F15" s="10"/>
      <c r="G15" s="10"/>
      <c r="H15" s="10"/>
      <c r="I15" s="10"/>
      <c r="J15" s="10"/>
      <c r="K15" s="10"/>
      <c r="L15" s="10"/>
      <c r="M15" s="10"/>
      <c r="N15" s="10"/>
      <c r="O15" s="10"/>
      <c r="P15" s="10"/>
      <c r="Q15" s="10"/>
      <c r="R15" s="10"/>
      <c r="S15" s="10"/>
    </row>
    <row r="16">
      <c r="A16" s="11" t="s">
        <v>375</v>
      </c>
      <c r="B16" s="11" t="s">
        <v>376</v>
      </c>
      <c r="C16" s="11" t="s">
        <v>44</v>
      </c>
      <c r="D16" s="10"/>
      <c r="E16" s="10"/>
      <c r="F16" s="10"/>
      <c r="G16" s="10"/>
      <c r="H16" s="10"/>
      <c r="I16" s="10"/>
      <c r="J16" s="10"/>
      <c r="K16" s="10"/>
      <c r="L16" s="10"/>
      <c r="M16" s="10"/>
      <c r="N16" s="10"/>
      <c r="O16" s="10"/>
      <c r="P16" s="10"/>
      <c r="Q16" s="10"/>
      <c r="R16" s="10"/>
      <c r="S16" s="10"/>
    </row>
    <row r="17" ht="14.25" customHeight="1">
      <c r="A17" s="6"/>
      <c r="B17" s="6"/>
      <c r="C17" s="6"/>
      <c r="D17" s="6"/>
      <c r="E17" s="13"/>
      <c r="F17" s="13"/>
      <c r="G17" s="13"/>
      <c r="H17" s="13"/>
      <c r="I17" s="13"/>
      <c r="J17" s="13"/>
      <c r="K17" s="13"/>
      <c r="L17" s="13"/>
      <c r="M17" s="13"/>
      <c r="N17" s="13"/>
      <c r="O17" s="13"/>
      <c r="P17" s="13"/>
      <c r="Q17" s="13"/>
      <c r="R17" s="13"/>
      <c r="S17" s="13"/>
    </row>
    <row r="18" ht="14.25" customHeight="1">
      <c r="A18" s="6" t="s">
        <v>377</v>
      </c>
      <c r="B18" s="6" t="s">
        <v>378</v>
      </c>
      <c r="C18" s="6" t="s">
        <v>217</v>
      </c>
      <c r="D18" s="6"/>
      <c r="E18" s="13"/>
      <c r="F18" s="13"/>
      <c r="G18" s="13"/>
      <c r="H18" s="13"/>
      <c r="I18" s="13"/>
      <c r="J18" s="13"/>
      <c r="K18" s="13"/>
      <c r="L18" s="13"/>
      <c r="M18" s="13"/>
      <c r="N18" s="13"/>
      <c r="O18" s="13"/>
      <c r="P18" s="13"/>
      <c r="Q18" s="13"/>
      <c r="R18" s="13"/>
      <c r="S18" s="13"/>
    </row>
    <row r="19" ht="14.25" customHeight="1">
      <c r="A19" s="6" t="s">
        <v>379</v>
      </c>
      <c r="B19" s="6" t="s">
        <v>380</v>
      </c>
      <c r="C19" s="6" t="s">
        <v>211</v>
      </c>
      <c r="D19" s="6"/>
      <c r="E19" s="13"/>
      <c r="F19" s="13"/>
      <c r="G19" s="13"/>
      <c r="H19" s="13"/>
      <c r="I19" s="13"/>
      <c r="J19" s="13"/>
      <c r="K19" s="13"/>
      <c r="L19" s="13"/>
      <c r="M19" s="13"/>
      <c r="N19" s="13"/>
      <c r="O19" s="13"/>
      <c r="P19" s="13"/>
      <c r="Q19" s="13"/>
      <c r="R19" s="13"/>
      <c r="S19" s="13"/>
    </row>
    <row r="20" ht="14.25" customHeight="1">
      <c r="A20" s="6" t="s">
        <v>381</v>
      </c>
      <c r="B20" s="6" t="s">
        <v>382</v>
      </c>
      <c r="C20" s="6" t="s">
        <v>145</v>
      </c>
      <c r="D20" s="6"/>
      <c r="E20" s="13"/>
      <c r="F20" s="13"/>
      <c r="G20" s="13"/>
      <c r="H20" s="13"/>
      <c r="I20" s="13"/>
      <c r="J20" s="13"/>
      <c r="K20" s="13"/>
      <c r="L20" s="13"/>
      <c r="M20" s="13"/>
      <c r="N20" s="13"/>
      <c r="O20" s="13"/>
      <c r="P20" s="13"/>
      <c r="Q20" s="13"/>
      <c r="R20" s="13"/>
      <c r="S20" s="13"/>
    </row>
    <row r="21" ht="14.25" customHeight="1">
      <c r="A21" s="6" t="s">
        <v>383</v>
      </c>
      <c r="B21" s="6" t="s">
        <v>384</v>
      </c>
      <c r="C21" s="6" t="s">
        <v>385</v>
      </c>
      <c r="D21" s="6"/>
      <c r="E21" s="13"/>
      <c r="F21" s="13"/>
      <c r="G21" s="13"/>
      <c r="H21" s="13"/>
      <c r="I21" s="13"/>
      <c r="J21" s="13"/>
      <c r="K21" s="13"/>
      <c r="L21" s="13"/>
      <c r="M21" s="13"/>
      <c r="N21" s="13"/>
      <c r="O21" s="13"/>
      <c r="P21" s="13"/>
      <c r="Q21" s="13"/>
      <c r="R21" s="13"/>
      <c r="S21" s="13"/>
    </row>
    <row r="22" ht="14.25" customHeight="1">
      <c r="A22" s="6" t="s">
        <v>386</v>
      </c>
      <c r="B22" s="6" t="s">
        <v>387</v>
      </c>
      <c r="C22" s="6" t="s">
        <v>167</v>
      </c>
      <c r="D22" s="6"/>
      <c r="E22" s="13"/>
      <c r="F22" s="13"/>
      <c r="G22" s="13"/>
      <c r="H22" s="13"/>
      <c r="I22" s="13"/>
      <c r="J22" s="13"/>
      <c r="K22" s="13"/>
      <c r="L22" s="13"/>
      <c r="M22" s="13"/>
      <c r="N22" s="13"/>
      <c r="O22" s="13"/>
      <c r="P22" s="13"/>
      <c r="Q22" s="13"/>
      <c r="R22" s="13"/>
      <c r="S22" s="13"/>
    </row>
    <row r="23" ht="14.25" customHeight="1">
      <c r="A23" s="6" t="s">
        <v>388</v>
      </c>
      <c r="B23" s="6" t="s">
        <v>389</v>
      </c>
      <c r="C23" s="6" t="s">
        <v>190</v>
      </c>
      <c r="D23" s="6"/>
      <c r="E23" s="13"/>
      <c r="F23" s="13"/>
      <c r="G23" s="13"/>
      <c r="H23" s="13"/>
      <c r="I23" s="13"/>
      <c r="J23" s="13"/>
      <c r="K23" s="13"/>
      <c r="L23" s="13"/>
      <c r="M23" s="13"/>
      <c r="N23" s="13"/>
      <c r="O23" s="13"/>
      <c r="P23" s="13"/>
      <c r="Q23" s="13"/>
      <c r="R23" s="13"/>
      <c r="S23" s="13"/>
    </row>
    <row r="24" ht="14.25" customHeight="1">
      <c r="A24" s="6" t="s">
        <v>390</v>
      </c>
      <c r="B24" s="6" t="s">
        <v>391</v>
      </c>
      <c r="C24" s="6" t="s">
        <v>182</v>
      </c>
      <c r="D24" s="6"/>
      <c r="E24" s="13"/>
      <c r="F24" s="13"/>
      <c r="G24" s="13"/>
      <c r="H24" s="13"/>
      <c r="I24" s="13"/>
      <c r="J24" s="13"/>
      <c r="K24" s="13"/>
      <c r="L24" s="13"/>
      <c r="M24" s="13"/>
      <c r="N24" s="13"/>
      <c r="O24" s="13"/>
      <c r="P24" s="13"/>
      <c r="Q24" s="13"/>
      <c r="R24" s="13"/>
      <c r="S24" s="13"/>
    </row>
    <row r="25" ht="14.25" customHeight="1">
      <c r="A25" s="6" t="s">
        <v>392</v>
      </c>
      <c r="B25" s="6" t="s">
        <v>393</v>
      </c>
      <c r="C25" s="6" t="s">
        <v>186</v>
      </c>
      <c r="D25" s="6"/>
      <c r="E25" s="13"/>
      <c r="F25" s="13"/>
      <c r="G25" s="13"/>
      <c r="H25" s="13"/>
      <c r="I25" s="13"/>
      <c r="J25" s="13"/>
      <c r="K25" s="13"/>
      <c r="L25" s="13"/>
      <c r="M25" s="13"/>
      <c r="N25" s="13"/>
      <c r="O25" s="13"/>
      <c r="P25" s="13"/>
      <c r="Q25" s="13"/>
      <c r="R25" s="13"/>
      <c r="S25" s="13"/>
    </row>
    <row r="26" ht="14.25" customHeight="1">
      <c r="A26" s="6" t="s">
        <v>394</v>
      </c>
      <c r="B26" s="6" t="s">
        <v>395</v>
      </c>
      <c r="C26" s="6" t="s">
        <v>201</v>
      </c>
      <c r="D26" s="6"/>
      <c r="E26" s="13"/>
      <c r="F26" s="13"/>
      <c r="G26" s="13"/>
      <c r="H26" s="13"/>
      <c r="I26" s="13"/>
      <c r="J26" s="13"/>
      <c r="K26" s="13"/>
      <c r="L26" s="13"/>
      <c r="M26" s="13"/>
      <c r="N26" s="13"/>
      <c r="O26" s="13"/>
      <c r="P26" s="13"/>
      <c r="Q26" s="13"/>
      <c r="R26" s="13"/>
      <c r="S26" s="13"/>
    </row>
    <row r="27" ht="14.25" customHeight="1">
      <c r="A27" s="6" t="s">
        <v>396</v>
      </c>
      <c r="B27" s="6" t="s">
        <v>397</v>
      </c>
      <c r="C27" s="6" t="s">
        <v>196</v>
      </c>
      <c r="D27" s="6"/>
      <c r="E27" s="13"/>
      <c r="F27" s="13"/>
      <c r="G27" s="13"/>
      <c r="H27" s="13"/>
      <c r="I27" s="13"/>
      <c r="J27" s="13"/>
      <c r="K27" s="13"/>
      <c r="L27" s="13"/>
      <c r="M27" s="13"/>
      <c r="N27" s="13"/>
      <c r="O27" s="13"/>
      <c r="P27" s="13"/>
      <c r="Q27" s="13"/>
      <c r="R27" s="13"/>
      <c r="S27" s="13"/>
    </row>
    <row r="28" ht="14.25" customHeight="1">
      <c r="A28" s="6" t="s">
        <v>398</v>
      </c>
      <c r="B28" s="6" t="s">
        <v>399</v>
      </c>
      <c r="C28" s="6" t="s">
        <v>156</v>
      </c>
      <c r="D28" s="6"/>
      <c r="E28" s="13"/>
      <c r="F28" s="13"/>
      <c r="G28" s="13"/>
      <c r="H28" s="13"/>
      <c r="I28" s="13"/>
      <c r="J28" s="13"/>
      <c r="K28" s="13"/>
      <c r="L28" s="13"/>
      <c r="M28" s="13"/>
      <c r="N28" s="13"/>
      <c r="O28" s="13"/>
      <c r="P28" s="13"/>
      <c r="Q28" s="13"/>
      <c r="R28" s="13"/>
      <c r="S28" s="13"/>
    </row>
    <row r="29" ht="14.25" customHeight="1">
      <c r="A29" s="6" t="s">
        <v>400</v>
      </c>
      <c r="B29" s="6" t="s">
        <v>401</v>
      </c>
      <c r="C29" s="6" t="s">
        <v>177</v>
      </c>
      <c r="D29" s="6"/>
      <c r="E29" s="13"/>
      <c r="F29" s="13"/>
      <c r="G29" s="13"/>
      <c r="H29" s="13"/>
      <c r="I29" s="13"/>
      <c r="J29" s="13"/>
      <c r="K29" s="13"/>
      <c r="L29" s="13"/>
      <c r="M29" s="13"/>
      <c r="N29" s="13"/>
      <c r="O29" s="13"/>
      <c r="P29" s="13"/>
      <c r="Q29" s="13"/>
      <c r="R29" s="13"/>
      <c r="S29" s="13"/>
    </row>
    <row r="30" ht="14.25" customHeight="1">
      <c r="A30" s="6" t="s">
        <v>402</v>
      </c>
      <c r="B30" s="6" t="s">
        <v>403</v>
      </c>
      <c r="C30" s="6" t="s">
        <v>151</v>
      </c>
      <c r="D30" s="6"/>
      <c r="E30" s="13"/>
      <c r="F30" s="13"/>
      <c r="G30" s="13"/>
      <c r="H30" s="13"/>
      <c r="I30" s="13"/>
      <c r="J30" s="13"/>
      <c r="K30" s="13"/>
      <c r="L30" s="13"/>
      <c r="M30" s="13"/>
      <c r="N30" s="13"/>
      <c r="O30" s="13"/>
      <c r="P30" s="13"/>
      <c r="Q30" s="13"/>
      <c r="R30" s="13"/>
      <c r="S30" s="13"/>
    </row>
    <row r="31" ht="14.25" customHeight="1">
      <c r="A31" s="6" t="s">
        <v>404</v>
      </c>
      <c r="B31" s="6" t="s">
        <v>405</v>
      </c>
      <c r="C31" s="6" t="s">
        <v>171</v>
      </c>
      <c r="D31" s="6"/>
      <c r="E31" s="13"/>
      <c r="F31" s="13"/>
      <c r="G31" s="13"/>
      <c r="H31" s="13"/>
      <c r="I31" s="13"/>
      <c r="J31" s="13"/>
      <c r="K31" s="13"/>
      <c r="L31" s="13"/>
      <c r="M31" s="13"/>
      <c r="N31" s="13"/>
      <c r="O31" s="13"/>
      <c r="P31" s="13"/>
      <c r="Q31" s="13"/>
      <c r="R31" s="13"/>
      <c r="S31" s="13"/>
    </row>
    <row r="32" ht="14.25" customHeight="1">
      <c r="A32" s="6" t="s">
        <v>406</v>
      </c>
      <c r="B32" s="6" t="s">
        <v>407</v>
      </c>
      <c r="C32" s="6" t="s">
        <v>162</v>
      </c>
      <c r="D32" s="6"/>
      <c r="E32" s="13"/>
      <c r="F32" s="13"/>
      <c r="G32" s="13"/>
      <c r="H32" s="13"/>
      <c r="I32" s="13"/>
      <c r="J32" s="13"/>
      <c r="K32" s="13"/>
      <c r="L32" s="13"/>
      <c r="M32" s="13"/>
      <c r="N32" s="13"/>
      <c r="O32" s="13"/>
      <c r="P32" s="13"/>
      <c r="Q32" s="13"/>
      <c r="R32" s="13"/>
      <c r="S32" s="13"/>
    </row>
    <row r="33" ht="14.25" customHeight="1">
      <c r="A33" s="6" t="s">
        <v>408</v>
      </c>
      <c r="B33" s="6" t="s">
        <v>409</v>
      </c>
      <c r="C33" s="6" t="s">
        <v>206</v>
      </c>
      <c r="D33" s="6"/>
      <c r="E33" s="13"/>
      <c r="F33" s="13"/>
      <c r="G33" s="13"/>
      <c r="H33" s="13"/>
      <c r="I33" s="13"/>
      <c r="J33" s="13"/>
      <c r="K33" s="13"/>
      <c r="L33" s="13"/>
      <c r="M33" s="13"/>
      <c r="N33" s="13"/>
      <c r="O33" s="13"/>
      <c r="P33" s="13"/>
      <c r="Q33" s="13"/>
      <c r="R33" s="13"/>
      <c r="S33" s="13"/>
    </row>
    <row r="34" ht="14.25" customHeight="1">
      <c r="A34" s="6"/>
      <c r="B34" s="14"/>
      <c r="C34" s="14"/>
      <c r="D34" s="13"/>
      <c r="E34" s="13"/>
      <c r="F34" s="13"/>
      <c r="G34" s="13"/>
      <c r="H34" s="13"/>
      <c r="I34" s="13"/>
      <c r="J34" s="13"/>
      <c r="K34" s="13"/>
      <c r="L34" s="13"/>
      <c r="M34" s="13"/>
      <c r="N34" s="13"/>
      <c r="O34" s="13"/>
      <c r="P34" s="13"/>
      <c r="Q34" s="13"/>
      <c r="R34" s="13"/>
      <c r="S34" s="13"/>
    </row>
    <row r="35" ht="14.25" customHeight="1">
      <c r="A35" s="6"/>
      <c r="B35" s="14"/>
      <c r="C35" s="14"/>
      <c r="D35" s="13"/>
      <c r="E35" s="13"/>
      <c r="F35" s="13"/>
      <c r="G35" s="13"/>
      <c r="H35" s="13"/>
      <c r="I35" s="13"/>
      <c r="J35" s="13"/>
      <c r="K35" s="13"/>
      <c r="L35" s="13"/>
      <c r="M35" s="13"/>
      <c r="N35" s="13"/>
      <c r="O35" s="13"/>
      <c r="P35" s="13"/>
      <c r="Q35" s="13"/>
      <c r="R35" s="13"/>
      <c r="S35" s="13"/>
    </row>
    <row r="36" ht="14.25" customHeight="1">
      <c r="A36" s="6"/>
      <c r="B36" s="14"/>
      <c r="C36" s="14"/>
      <c r="D36" s="13"/>
      <c r="E36" s="13"/>
      <c r="F36" s="13"/>
      <c r="G36" s="13"/>
      <c r="H36" s="13"/>
      <c r="I36" s="13"/>
      <c r="J36" s="13"/>
      <c r="K36" s="13"/>
      <c r="L36" s="13"/>
      <c r="M36" s="13"/>
      <c r="N36" s="13"/>
      <c r="O36" s="13"/>
      <c r="P36" s="13"/>
      <c r="Q36" s="13"/>
      <c r="R36" s="13"/>
      <c r="S36" s="13"/>
    </row>
    <row r="37" ht="14.25" customHeight="1">
      <c r="A37" s="6"/>
      <c r="B37" s="14"/>
      <c r="C37" s="14"/>
      <c r="D37" s="13"/>
      <c r="E37" s="13"/>
      <c r="F37" s="13"/>
      <c r="G37" s="13"/>
      <c r="H37" s="13"/>
      <c r="I37" s="13"/>
      <c r="J37" s="13"/>
      <c r="K37" s="13"/>
      <c r="L37" s="13"/>
      <c r="M37" s="13"/>
      <c r="N37" s="13"/>
      <c r="O37" s="13"/>
      <c r="P37" s="13"/>
      <c r="Q37" s="13"/>
      <c r="R37" s="13"/>
      <c r="S37" s="13"/>
    </row>
    <row r="38" ht="14.25" customHeight="1">
      <c r="A38" s="6"/>
      <c r="B38" s="14"/>
      <c r="C38" s="14"/>
      <c r="D38" s="13"/>
      <c r="E38" s="13"/>
      <c r="F38" s="13"/>
      <c r="G38" s="13"/>
      <c r="H38" s="13"/>
      <c r="I38" s="13"/>
      <c r="J38" s="13"/>
      <c r="K38" s="13"/>
      <c r="L38" s="13"/>
      <c r="M38" s="13"/>
      <c r="N38" s="13"/>
      <c r="O38" s="13"/>
      <c r="P38" s="13"/>
      <c r="Q38" s="13"/>
      <c r="R38" s="13"/>
      <c r="S38" s="13"/>
    </row>
    <row r="39" ht="14.25" customHeight="1">
      <c r="A39" s="6"/>
      <c r="B39" s="14"/>
      <c r="C39" s="14"/>
      <c r="D39" s="13"/>
      <c r="E39" s="13"/>
      <c r="F39" s="13"/>
      <c r="G39" s="13"/>
      <c r="H39" s="13"/>
      <c r="I39" s="13"/>
      <c r="J39" s="13"/>
      <c r="K39" s="13"/>
      <c r="L39" s="13"/>
      <c r="M39" s="13"/>
      <c r="N39" s="13"/>
      <c r="O39" s="13"/>
      <c r="P39" s="13"/>
      <c r="Q39" s="13"/>
      <c r="R39" s="13"/>
      <c r="S39" s="13"/>
    </row>
    <row r="40" ht="14.25" customHeight="1">
      <c r="A40" s="15"/>
      <c r="B40" s="15" t="s">
        <v>120</v>
      </c>
      <c r="C40" s="15"/>
      <c r="D40" s="15"/>
      <c r="J40" s="13"/>
      <c r="K40" s="13"/>
      <c r="L40" s="13"/>
      <c r="M40" s="13"/>
      <c r="N40" s="13"/>
      <c r="O40" s="13"/>
      <c r="P40" s="13"/>
      <c r="Q40" s="13"/>
      <c r="R40" s="13"/>
      <c r="S40" s="13"/>
    </row>
    <row r="41" ht="14.25" customHeight="1">
      <c r="A41" s="16"/>
      <c r="B41" s="15" t="s">
        <v>126</v>
      </c>
      <c r="C41" s="15"/>
      <c r="D41" s="15"/>
      <c r="J41" s="13"/>
      <c r="K41" s="13"/>
      <c r="L41" s="13"/>
      <c r="M41" s="13"/>
      <c r="N41" s="13"/>
      <c r="O41" s="13"/>
      <c r="P41" s="13"/>
      <c r="Q41" s="13"/>
      <c r="R41" s="13"/>
      <c r="S41" s="13"/>
    </row>
    <row r="42" ht="14.25" customHeight="1">
      <c r="A42" s="16"/>
      <c r="B42" s="15" t="s">
        <v>129</v>
      </c>
      <c r="C42" s="16"/>
      <c r="D42" s="16"/>
      <c r="J42" s="13"/>
      <c r="K42" s="13"/>
      <c r="L42" s="13"/>
      <c r="M42" s="13"/>
      <c r="N42" s="13"/>
      <c r="O42" s="13"/>
      <c r="P42" s="13"/>
      <c r="Q42" s="13"/>
      <c r="R42" s="13"/>
      <c r="S42" s="13"/>
    </row>
    <row r="43" ht="14.25" customHeight="1">
      <c r="A43" s="16"/>
      <c r="B43" s="15" t="s">
        <v>132</v>
      </c>
      <c r="C43" s="16"/>
      <c r="D43" s="16"/>
      <c r="J43" s="13"/>
      <c r="K43" s="13"/>
      <c r="L43" s="13"/>
      <c r="M43" s="13"/>
      <c r="N43" s="13"/>
      <c r="O43" s="13"/>
      <c r="P43" s="13"/>
      <c r="Q43" s="13"/>
      <c r="R43" s="13"/>
      <c r="S43" s="13"/>
    </row>
    <row r="44" ht="14.25" customHeight="1">
      <c r="A44" s="6"/>
      <c r="B44" s="14"/>
      <c r="C44" s="14"/>
      <c r="D44" s="13"/>
      <c r="E44" s="13"/>
      <c r="F44" s="13"/>
      <c r="G44" s="13"/>
      <c r="H44" s="13"/>
      <c r="I44" s="13"/>
      <c r="J44" s="13"/>
      <c r="K44" s="13"/>
      <c r="L44" s="13"/>
      <c r="M44" s="13"/>
      <c r="N44" s="13"/>
      <c r="O44" s="13"/>
      <c r="P44" s="13"/>
      <c r="Q44" s="13"/>
      <c r="R44" s="13"/>
      <c r="S44" s="13"/>
    </row>
    <row r="45" ht="14.25" customHeight="1">
      <c r="A45" s="6"/>
      <c r="B45" s="14"/>
      <c r="C45" s="14"/>
      <c r="D45" s="13"/>
      <c r="E45" s="13"/>
      <c r="F45" s="13"/>
      <c r="G45" s="13"/>
      <c r="H45" s="13"/>
      <c r="I45" s="13"/>
      <c r="J45" s="13"/>
      <c r="K45" s="13"/>
      <c r="L45" s="13"/>
      <c r="M45" s="13"/>
      <c r="N45" s="13"/>
      <c r="O45" s="13"/>
      <c r="P45" s="13"/>
      <c r="Q45" s="13"/>
      <c r="R45" s="13"/>
      <c r="S45" s="13"/>
    </row>
    <row r="46" ht="14.25" customHeight="1">
      <c r="A46" s="6"/>
      <c r="B46" s="14"/>
      <c r="C46" s="14"/>
      <c r="D46" s="13"/>
      <c r="E46" s="13"/>
      <c r="F46" s="13"/>
      <c r="G46" s="13"/>
      <c r="H46" s="13"/>
      <c r="I46" s="13"/>
      <c r="J46" s="13"/>
      <c r="K46" s="13"/>
      <c r="L46" s="13"/>
      <c r="M46" s="13"/>
      <c r="N46" s="13"/>
      <c r="O46" s="13"/>
      <c r="P46" s="13"/>
      <c r="Q46" s="13"/>
      <c r="R46" s="13"/>
      <c r="S46" s="13"/>
    </row>
    <row r="47" ht="14.25" customHeight="1">
      <c r="A47" s="6"/>
      <c r="B47" s="14"/>
      <c r="C47" s="14"/>
      <c r="D47" s="13"/>
      <c r="E47" s="13"/>
      <c r="F47" s="13"/>
      <c r="G47" s="13"/>
      <c r="H47" s="13"/>
      <c r="I47" s="13"/>
      <c r="J47" s="13"/>
      <c r="K47" s="13"/>
      <c r="L47" s="13"/>
      <c r="M47" s="13"/>
      <c r="N47" s="13"/>
      <c r="O47" s="13"/>
      <c r="P47" s="13"/>
      <c r="Q47" s="13"/>
      <c r="R47" s="13"/>
      <c r="S47" s="13"/>
    </row>
    <row r="48" ht="14.25" customHeight="1">
      <c r="A48" s="6"/>
      <c r="B48" s="14"/>
      <c r="C48" s="14"/>
      <c r="D48" s="13"/>
      <c r="E48" s="13"/>
      <c r="F48" s="13"/>
      <c r="G48" s="13"/>
      <c r="H48" s="13"/>
      <c r="I48" s="13"/>
      <c r="J48" s="13"/>
      <c r="K48" s="13"/>
      <c r="L48" s="13"/>
      <c r="M48" s="13"/>
      <c r="N48" s="13"/>
      <c r="O48" s="13"/>
      <c r="P48" s="13"/>
      <c r="Q48" s="13"/>
      <c r="R48" s="13"/>
      <c r="S48" s="13"/>
    </row>
    <row r="49" ht="14.25" customHeight="1">
      <c r="A49" s="6"/>
      <c r="B49" s="14"/>
      <c r="C49" s="14"/>
      <c r="D49" s="13"/>
      <c r="E49" s="13"/>
      <c r="F49" s="13"/>
      <c r="G49" s="13"/>
      <c r="H49" s="13"/>
      <c r="I49" s="13"/>
      <c r="J49" s="13"/>
      <c r="K49" s="13"/>
      <c r="L49" s="13"/>
      <c r="M49" s="13"/>
      <c r="N49" s="13"/>
      <c r="O49" s="13"/>
      <c r="P49" s="13"/>
      <c r="Q49" s="13"/>
      <c r="R49" s="13"/>
      <c r="S49" s="13"/>
    </row>
    <row r="50" ht="14.25" customHeight="1">
      <c r="A50" s="6"/>
      <c r="B50" s="14"/>
      <c r="C50" s="14"/>
      <c r="D50" s="13"/>
      <c r="E50" s="13"/>
      <c r="F50" s="13"/>
      <c r="G50" s="13"/>
      <c r="H50" s="13"/>
      <c r="I50" s="13"/>
      <c r="J50" s="13"/>
      <c r="K50" s="13"/>
      <c r="L50" s="13"/>
      <c r="M50" s="13"/>
      <c r="N50" s="13"/>
      <c r="O50" s="13"/>
      <c r="P50" s="13"/>
      <c r="Q50" s="13"/>
      <c r="R50" s="13"/>
      <c r="S50" s="13"/>
    </row>
    <row r="51" ht="14.25" customHeight="1">
      <c r="A51" s="6"/>
      <c r="B51" s="14"/>
      <c r="C51" s="14"/>
      <c r="D51" s="13"/>
      <c r="E51" s="13"/>
      <c r="F51" s="13"/>
      <c r="G51" s="13"/>
      <c r="H51" s="13"/>
      <c r="I51" s="13"/>
      <c r="J51" s="13"/>
      <c r="K51" s="13"/>
      <c r="L51" s="13"/>
      <c r="M51" s="13"/>
      <c r="N51" s="13"/>
      <c r="O51" s="13"/>
      <c r="P51" s="13"/>
      <c r="Q51" s="13"/>
      <c r="R51" s="13"/>
      <c r="S51" s="13"/>
    </row>
    <row r="52" ht="14.25" customHeight="1">
      <c r="A52" s="6"/>
      <c r="B52" s="17"/>
      <c r="C52" s="10"/>
      <c r="D52" s="10"/>
      <c r="E52" s="10"/>
      <c r="F52" s="13"/>
      <c r="G52" s="13"/>
      <c r="H52" s="13"/>
      <c r="I52" s="13"/>
      <c r="J52" s="13"/>
      <c r="K52" s="13"/>
      <c r="L52" s="13"/>
      <c r="M52" s="13"/>
      <c r="N52" s="13"/>
      <c r="O52" s="13"/>
      <c r="P52" s="13"/>
      <c r="Q52" s="13"/>
      <c r="R52" s="13"/>
      <c r="S52" s="13"/>
    </row>
    <row r="53" ht="14.25" customHeight="1">
      <c r="A53" s="6"/>
      <c r="B53" s="17"/>
      <c r="C53" s="10"/>
      <c r="D53" s="10"/>
      <c r="E53" s="10"/>
      <c r="F53" s="13"/>
      <c r="G53" s="13"/>
      <c r="H53" s="13"/>
      <c r="I53" s="13"/>
      <c r="J53" s="13"/>
      <c r="K53" s="13"/>
      <c r="L53" s="13"/>
      <c r="M53" s="13"/>
      <c r="N53" s="13"/>
      <c r="O53" s="13"/>
      <c r="P53" s="13"/>
      <c r="Q53" s="13"/>
      <c r="R53" s="13"/>
      <c r="S53" s="13"/>
    </row>
    <row r="54" ht="14.25" customHeight="1">
      <c r="A54" s="6"/>
      <c r="B54" s="17"/>
      <c r="C54" s="10"/>
      <c r="D54" s="10"/>
      <c r="E54" s="10"/>
      <c r="F54" s="13"/>
      <c r="G54" s="13"/>
      <c r="H54" s="13"/>
      <c r="I54" s="13"/>
      <c r="J54" s="13"/>
      <c r="K54" s="13"/>
      <c r="L54" s="13"/>
      <c r="M54" s="13"/>
      <c r="N54" s="13"/>
      <c r="O54" s="13"/>
      <c r="P54" s="13"/>
      <c r="Q54" s="13"/>
      <c r="R54" s="13"/>
      <c r="S54" s="13"/>
    </row>
    <row r="55" ht="14.25" customHeight="1">
      <c r="A55" s="6"/>
      <c r="B55" s="17"/>
      <c r="C55" s="10"/>
      <c r="D55" s="10"/>
      <c r="E55" s="10"/>
      <c r="F55" s="13"/>
      <c r="G55" s="13"/>
      <c r="H55" s="13"/>
      <c r="I55" s="13"/>
      <c r="J55" s="13"/>
      <c r="K55" s="13"/>
      <c r="L55" s="13"/>
      <c r="M55" s="13"/>
      <c r="N55" s="13"/>
      <c r="O55" s="13"/>
      <c r="P55" s="13"/>
      <c r="Q55" s="13"/>
      <c r="R55" s="13"/>
      <c r="S55"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7.13"/>
    <col customWidth="1" min="3" max="3" width="38.38"/>
    <col customWidth="1" min="6" max="6" width="46.88"/>
  </cols>
  <sheetData>
    <row r="1">
      <c r="A1" s="18" t="s">
        <v>410</v>
      </c>
      <c r="B1" s="18">
        <v>101.0</v>
      </c>
      <c r="C1" s="18" t="s">
        <v>304</v>
      </c>
      <c r="D1" s="19"/>
      <c r="E1" s="19"/>
      <c r="G1" s="19"/>
      <c r="H1" s="19"/>
      <c r="I1" s="19"/>
      <c r="J1" s="19"/>
      <c r="K1" s="19"/>
      <c r="L1" s="19"/>
      <c r="M1" s="19"/>
      <c r="N1" s="19"/>
      <c r="O1" s="19"/>
      <c r="P1" s="19"/>
      <c r="Q1" s="19"/>
      <c r="R1" s="19"/>
      <c r="S1" s="19"/>
      <c r="T1" s="19"/>
      <c r="U1" s="19"/>
      <c r="V1" s="19"/>
      <c r="W1" s="19"/>
      <c r="X1" s="19"/>
      <c r="Y1" s="19"/>
      <c r="Z1" s="19"/>
    </row>
    <row r="2">
      <c r="A2" s="18" t="s">
        <v>411</v>
      </c>
      <c r="B2" s="18">
        <v>102.0</v>
      </c>
      <c r="C2" s="18" t="s">
        <v>412</v>
      </c>
      <c r="D2" s="19"/>
      <c r="E2" s="19"/>
      <c r="G2" s="19"/>
      <c r="H2" s="19"/>
      <c r="I2" s="19"/>
      <c r="J2" s="19"/>
      <c r="K2" s="19"/>
      <c r="L2" s="19"/>
      <c r="M2" s="19"/>
      <c r="N2" s="19"/>
      <c r="O2" s="19"/>
      <c r="P2" s="19"/>
      <c r="Q2" s="19"/>
      <c r="R2" s="19"/>
      <c r="S2" s="19"/>
      <c r="T2" s="19"/>
      <c r="U2" s="19"/>
      <c r="V2" s="19"/>
      <c r="W2" s="19"/>
      <c r="X2" s="19"/>
      <c r="Y2" s="19"/>
      <c r="Z2" s="19"/>
    </row>
    <row r="3">
      <c r="A3" s="18" t="s">
        <v>413</v>
      </c>
      <c r="B3" s="18">
        <v>103.0</v>
      </c>
      <c r="C3" s="18" t="s">
        <v>273</v>
      </c>
      <c r="D3" s="19"/>
      <c r="E3" s="19"/>
      <c r="G3" s="19"/>
      <c r="H3" s="19"/>
      <c r="I3" s="19"/>
      <c r="J3" s="19"/>
      <c r="K3" s="19"/>
      <c r="L3" s="19"/>
      <c r="M3" s="19"/>
      <c r="N3" s="19"/>
      <c r="O3" s="19"/>
      <c r="P3" s="19"/>
      <c r="Q3" s="19"/>
      <c r="R3" s="19"/>
      <c r="S3" s="19"/>
      <c r="T3" s="19"/>
      <c r="U3" s="19"/>
      <c r="V3" s="19"/>
      <c r="W3" s="19"/>
      <c r="X3" s="19"/>
      <c r="Y3" s="19"/>
      <c r="Z3" s="19"/>
    </row>
    <row r="4">
      <c r="A4" s="18" t="s">
        <v>414</v>
      </c>
      <c r="B4" s="18">
        <v>104.0</v>
      </c>
      <c r="C4" s="18" t="s">
        <v>273</v>
      </c>
      <c r="D4" s="19"/>
      <c r="E4" s="19"/>
      <c r="G4" s="19"/>
      <c r="H4" s="19"/>
      <c r="I4" s="19"/>
      <c r="J4" s="19"/>
      <c r="K4" s="19"/>
      <c r="L4" s="19"/>
      <c r="M4" s="19"/>
      <c r="N4" s="19"/>
      <c r="O4" s="19"/>
      <c r="P4" s="19"/>
      <c r="Q4" s="19"/>
      <c r="R4" s="19"/>
      <c r="S4" s="19"/>
      <c r="T4" s="19"/>
      <c r="U4" s="19"/>
      <c r="V4" s="19"/>
      <c r="W4" s="19"/>
      <c r="X4" s="19"/>
      <c r="Y4" s="19"/>
      <c r="Z4" s="19"/>
    </row>
    <row r="5">
      <c r="A5" s="18" t="s">
        <v>415</v>
      </c>
      <c r="B5" s="18">
        <v>105.0</v>
      </c>
      <c r="C5" s="18" t="s">
        <v>60</v>
      </c>
      <c r="D5" s="19"/>
      <c r="E5" s="19"/>
      <c r="G5" s="19"/>
      <c r="H5" s="19"/>
      <c r="I5" s="19"/>
      <c r="J5" s="19"/>
      <c r="K5" s="19"/>
      <c r="L5" s="19"/>
      <c r="M5" s="19"/>
      <c r="N5" s="19"/>
      <c r="O5" s="19"/>
      <c r="P5" s="19"/>
      <c r="Q5" s="19"/>
      <c r="R5" s="19"/>
      <c r="S5" s="19"/>
      <c r="T5" s="19"/>
      <c r="U5" s="19"/>
      <c r="V5" s="19"/>
      <c r="W5" s="19"/>
      <c r="X5" s="19"/>
      <c r="Y5" s="19"/>
      <c r="Z5" s="19"/>
    </row>
    <row r="6">
      <c r="A6" s="18" t="s">
        <v>416</v>
      </c>
      <c r="B6" s="18">
        <v>106.0</v>
      </c>
      <c r="C6" s="18" t="s">
        <v>60</v>
      </c>
      <c r="D6" s="19"/>
      <c r="E6" s="19"/>
      <c r="G6" s="19"/>
      <c r="H6" s="19"/>
      <c r="I6" s="19"/>
      <c r="J6" s="19"/>
      <c r="K6" s="19"/>
      <c r="L6" s="19"/>
      <c r="M6" s="19"/>
      <c r="N6" s="19"/>
      <c r="O6" s="19"/>
      <c r="P6" s="19"/>
      <c r="Q6" s="19"/>
      <c r="R6" s="19"/>
      <c r="S6" s="19"/>
      <c r="T6" s="19"/>
      <c r="U6" s="19"/>
      <c r="V6" s="19"/>
      <c r="W6" s="19"/>
      <c r="X6" s="19"/>
      <c r="Y6" s="19"/>
      <c r="Z6" s="19"/>
    </row>
    <row r="7">
      <c r="A7" s="18" t="s">
        <v>417</v>
      </c>
      <c r="B7" s="18">
        <v>107.0</v>
      </c>
      <c r="C7" s="18" t="s">
        <v>84</v>
      </c>
      <c r="D7" s="19"/>
      <c r="E7" s="19"/>
      <c r="G7" s="19"/>
      <c r="H7" s="19"/>
      <c r="I7" s="19"/>
      <c r="J7" s="19"/>
      <c r="K7" s="19"/>
      <c r="L7" s="19"/>
      <c r="M7" s="19"/>
      <c r="N7" s="19"/>
      <c r="O7" s="19"/>
      <c r="P7" s="19"/>
      <c r="Q7" s="19"/>
      <c r="R7" s="19"/>
      <c r="S7" s="19"/>
      <c r="T7" s="19"/>
      <c r="U7" s="19"/>
      <c r="V7" s="19"/>
      <c r="W7" s="19"/>
      <c r="X7" s="19"/>
      <c r="Y7" s="19"/>
      <c r="Z7" s="19"/>
    </row>
    <row r="8">
      <c r="A8" s="18" t="s">
        <v>418</v>
      </c>
      <c r="B8" s="18">
        <v>108.0</v>
      </c>
      <c r="C8" s="18" t="s">
        <v>84</v>
      </c>
      <c r="D8" s="19"/>
      <c r="E8" s="19"/>
      <c r="G8" s="19"/>
      <c r="H8" s="19"/>
      <c r="I8" s="19"/>
      <c r="J8" s="19"/>
      <c r="K8" s="19"/>
      <c r="L8" s="19"/>
      <c r="M8" s="19"/>
      <c r="N8" s="19"/>
      <c r="O8" s="19"/>
      <c r="P8" s="19"/>
      <c r="Q8" s="19"/>
      <c r="R8" s="19"/>
      <c r="S8" s="19"/>
      <c r="T8" s="19"/>
      <c r="U8" s="19"/>
      <c r="V8" s="19"/>
      <c r="W8" s="19"/>
      <c r="X8" s="19"/>
      <c r="Y8" s="19"/>
      <c r="Z8" s="19"/>
    </row>
    <row r="9">
      <c r="A9" s="18" t="s">
        <v>419</v>
      </c>
      <c r="B9" s="18">
        <v>109.0</v>
      </c>
      <c r="C9" s="18" t="s">
        <v>273</v>
      </c>
      <c r="D9" s="19"/>
      <c r="E9" s="19"/>
      <c r="G9" s="19"/>
      <c r="H9" s="19"/>
      <c r="I9" s="19"/>
      <c r="J9" s="19"/>
      <c r="K9" s="19"/>
      <c r="L9" s="19"/>
      <c r="M9" s="19"/>
      <c r="N9" s="19"/>
      <c r="O9" s="19"/>
      <c r="P9" s="19"/>
      <c r="Q9" s="19"/>
      <c r="R9" s="19"/>
      <c r="S9" s="19"/>
      <c r="T9" s="19"/>
      <c r="U9" s="19"/>
      <c r="V9" s="19"/>
      <c r="W9" s="19"/>
      <c r="X9" s="19"/>
      <c r="Y9" s="19"/>
      <c r="Z9" s="19"/>
    </row>
    <row r="10">
      <c r="A10" s="18" t="s">
        <v>410</v>
      </c>
      <c r="B10" s="18">
        <v>110.0</v>
      </c>
      <c r="C10" s="18" t="s">
        <v>84</v>
      </c>
      <c r="D10" s="19"/>
      <c r="E10" s="19"/>
      <c r="G10" s="19"/>
      <c r="H10" s="19"/>
      <c r="I10" s="19"/>
      <c r="J10" s="19"/>
      <c r="K10" s="19"/>
      <c r="L10" s="19"/>
      <c r="M10" s="19"/>
      <c r="N10" s="19"/>
      <c r="O10" s="19"/>
      <c r="P10" s="19"/>
      <c r="Q10" s="19"/>
      <c r="R10" s="19"/>
      <c r="S10" s="19"/>
      <c r="T10" s="19"/>
      <c r="U10" s="19"/>
      <c r="V10" s="19"/>
      <c r="W10" s="19"/>
      <c r="X10" s="19"/>
      <c r="Y10" s="19"/>
      <c r="Z10" s="19"/>
    </row>
    <row r="11">
      <c r="A11" s="18" t="s">
        <v>410</v>
      </c>
      <c r="B11" s="18">
        <v>111.0</v>
      </c>
      <c r="C11" s="18" t="s">
        <v>420</v>
      </c>
      <c r="D11" s="19"/>
      <c r="E11" s="19"/>
      <c r="G11" s="19"/>
      <c r="H11" s="19"/>
      <c r="I11" s="19"/>
      <c r="J11" s="19"/>
      <c r="K11" s="19"/>
      <c r="L11" s="19"/>
      <c r="M11" s="19"/>
      <c r="N11" s="19"/>
      <c r="O11" s="19"/>
      <c r="P11" s="19"/>
      <c r="Q11" s="19"/>
      <c r="R11" s="19"/>
      <c r="S11" s="19"/>
      <c r="T11" s="19"/>
      <c r="U11" s="19"/>
      <c r="V11" s="19"/>
      <c r="W11" s="19"/>
      <c r="X11" s="19"/>
      <c r="Y11" s="19"/>
      <c r="Z11" s="19"/>
    </row>
    <row r="12">
      <c r="A12" s="18" t="s">
        <v>410</v>
      </c>
      <c r="B12" s="18">
        <v>112.0</v>
      </c>
      <c r="C12" s="18" t="s">
        <v>421</v>
      </c>
      <c r="D12" s="19"/>
      <c r="E12" s="19"/>
      <c r="G12" s="19"/>
      <c r="H12" s="19"/>
      <c r="I12" s="19"/>
      <c r="J12" s="19"/>
      <c r="K12" s="19"/>
      <c r="L12" s="19"/>
      <c r="M12" s="19"/>
      <c r="N12" s="19"/>
      <c r="O12" s="19"/>
      <c r="P12" s="19"/>
      <c r="Q12" s="19"/>
      <c r="R12" s="19"/>
      <c r="S12" s="19"/>
      <c r="T12" s="19"/>
      <c r="U12" s="19"/>
      <c r="V12" s="19"/>
      <c r="W12" s="19"/>
      <c r="X12" s="19"/>
      <c r="Y12" s="19"/>
      <c r="Z12" s="19"/>
    </row>
    <row r="13">
      <c r="A13" s="18" t="s">
        <v>410</v>
      </c>
      <c r="B13" s="18">
        <v>113.0</v>
      </c>
      <c r="C13" s="18" t="s">
        <v>422</v>
      </c>
      <c r="D13" s="19"/>
      <c r="E13" s="19"/>
      <c r="G13" s="19"/>
      <c r="H13" s="19"/>
      <c r="I13" s="19"/>
      <c r="J13" s="19"/>
      <c r="K13" s="19"/>
      <c r="L13" s="19"/>
      <c r="M13" s="19"/>
      <c r="N13" s="19"/>
      <c r="O13" s="19"/>
      <c r="P13" s="19"/>
      <c r="Q13" s="19"/>
      <c r="R13" s="19"/>
      <c r="S13" s="19"/>
      <c r="T13" s="19"/>
      <c r="U13" s="19"/>
      <c r="V13" s="19"/>
      <c r="W13" s="19"/>
      <c r="X13" s="19"/>
      <c r="Y13" s="19"/>
      <c r="Z13" s="19"/>
    </row>
    <row r="14">
      <c r="A14" s="18" t="s">
        <v>410</v>
      </c>
      <c r="B14" s="18">
        <v>114.0</v>
      </c>
      <c r="C14" s="18" t="s">
        <v>422</v>
      </c>
      <c r="D14" s="19"/>
      <c r="E14" s="19"/>
      <c r="G14" s="19"/>
      <c r="H14" s="19"/>
      <c r="I14" s="19"/>
      <c r="J14" s="19"/>
      <c r="K14" s="19"/>
      <c r="L14" s="19"/>
      <c r="M14" s="19"/>
      <c r="N14" s="19"/>
      <c r="O14" s="19"/>
      <c r="P14" s="19"/>
      <c r="Q14" s="19"/>
      <c r="R14" s="19"/>
      <c r="S14" s="19"/>
      <c r="T14" s="19"/>
      <c r="U14" s="19"/>
      <c r="V14" s="19"/>
      <c r="W14" s="19"/>
      <c r="X14" s="19"/>
      <c r="Y14" s="19"/>
      <c r="Z14" s="19"/>
    </row>
    <row r="15">
      <c r="A15" s="18" t="s">
        <v>410</v>
      </c>
      <c r="B15" s="18">
        <v>115.0</v>
      </c>
      <c r="C15" s="18" t="s">
        <v>423</v>
      </c>
      <c r="D15" s="19"/>
      <c r="E15" s="19"/>
      <c r="G15" s="19"/>
      <c r="H15" s="19"/>
      <c r="I15" s="19"/>
      <c r="J15" s="19"/>
      <c r="K15" s="19"/>
      <c r="L15" s="19"/>
      <c r="M15" s="19"/>
      <c r="N15" s="19"/>
      <c r="O15" s="19"/>
      <c r="P15" s="19"/>
      <c r="Q15" s="19"/>
      <c r="R15" s="19"/>
      <c r="S15" s="19"/>
      <c r="T15" s="19"/>
      <c r="U15" s="19"/>
      <c r="V15" s="19"/>
      <c r="W15" s="19"/>
      <c r="X15" s="19"/>
      <c r="Y15" s="19"/>
      <c r="Z15" s="19"/>
    </row>
    <row r="16">
      <c r="A16" s="18" t="s">
        <v>410</v>
      </c>
      <c r="B16" s="18">
        <v>116.0</v>
      </c>
      <c r="C16" s="18" t="s">
        <v>260</v>
      </c>
      <c r="D16" s="19"/>
      <c r="E16" s="19"/>
      <c r="G16" s="19"/>
      <c r="H16" s="19"/>
      <c r="I16" s="19"/>
      <c r="J16" s="19"/>
      <c r="K16" s="19"/>
      <c r="L16" s="19"/>
      <c r="M16" s="19"/>
      <c r="N16" s="19"/>
      <c r="O16" s="19"/>
      <c r="P16" s="19"/>
      <c r="Q16" s="19"/>
      <c r="R16" s="19"/>
      <c r="S16" s="19"/>
      <c r="T16" s="19"/>
      <c r="U16" s="19"/>
      <c r="V16" s="19"/>
      <c r="W16" s="19"/>
      <c r="X16" s="19"/>
      <c r="Y16" s="19"/>
      <c r="Z16" s="19"/>
    </row>
    <row r="17">
      <c r="A17" s="18" t="s">
        <v>410</v>
      </c>
      <c r="B17" s="18">
        <v>117.0</v>
      </c>
      <c r="C17" s="18" t="s">
        <v>424</v>
      </c>
      <c r="D17" s="19"/>
      <c r="E17" s="19"/>
      <c r="G17" s="19"/>
      <c r="H17" s="19"/>
      <c r="I17" s="19"/>
      <c r="J17" s="19"/>
      <c r="K17" s="19"/>
      <c r="L17" s="19"/>
      <c r="M17" s="19"/>
      <c r="N17" s="19"/>
      <c r="O17" s="19"/>
      <c r="P17" s="19"/>
      <c r="Q17" s="19"/>
      <c r="R17" s="19"/>
      <c r="S17" s="19"/>
      <c r="T17" s="19"/>
      <c r="U17" s="19"/>
      <c r="V17" s="19"/>
      <c r="W17" s="19"/>
      <c r="X17" s="19"/>
      <c r="Y17" s="19"/>
      <c r="Z17" s="19"/>
    </row>
    <row r="18">
      <c r="A18" s="18" t="s">
        <v>410</v>
      </c>
      <c r="B18" s="18">
        <v>118.0</v>
      </c>
      <c r="C18" s="18" t="s">
        <v>425</v>
      </c>
      <c r="D18" s="19"/>
      <c r="E18" s="19"/>
      <c r="G18" s="19"/>
      <c r="H18" s="19"/>
      <c r="I18" s="19"/>
      <c r="J18" s="19"/>
      <c r="K18" s="19"/>
      <c r="L18" s="19"/>
      <c r="M18" s="19"/>
      <c r="N18" s="19"/>
      <c r="O18" s="19"/>
      <c r="P18" s="19"/>
      <c r="Q18" s="19"/>
      <c r="R18" s="19"/>
      <c r="S18" s="19"/>
      <c r="T18" s="19"/>
      <c r="U18" s="19"/>
      <c r="V18" s="19"/>
      <c r="W18" s="19"/>
      <c r="X18" s="19"/>
      <c r="Y18" s="19"/>
      <c r="Z18" s="19"/>
    </row>
    <row r="19">
      <c r="A19" s="18" t="s">
        <v>410</v>
      </c>
      <c r="B19" s="18">
        <v>119.0</v>
      </c>
      <c r="C19" s="18" t="s">
        <v>426</v>
      </c>
      <c r="D19" s="19"/>
      <c r="E19" s="19"/>
      <c r="G19" s="19"/>
      <c r="H19" s="19"/>
      <c r="I19" s="19"/>
      <c r="J19" s="19"/>
      <c r="K19" s="19"/>
      <c r="L19" s="19"/>
      <c r="M19" s="19"/>
      <c r="N19" s="19"/>
      <c r="O19" s="19"/>
      <c r="P19" s="19"/>
      <c r="Q19" s="19"/>
      <c r="R19" s="19"/>
      <c r="S19" s="19"/>
      <c r="T19" s="19"/>
      <c r="U19" s="19"/>
      <c r="V19" s="19"/>
      <c r="W19" s="19"/>
      <c r="X19" s="19"/>
      <c r="Y19" s="19"/>
      <c r="Z19" s="19"/>
    </row>
    <row r="20">
      <c r="A20" s="18" t="s">
        <v>410</v>
      </c>
      <c r="B20" s="18">
        <v>120.0</v>
      </c>
      <c r="C20" s="18" t="s">
        <v>426</v>
      </c>
      <c r="D20" s="19"/>
      <c r="E20" s="19"/>
      <c r="G20" s="19"/>
      <c r="H20" s="19"/>
      <c r="I20" s="19"/>
      <c r="J20" s="19"/>
      <c r="K20" s="19"/>
      <c r="L20" s="19"/>
      <c r="M20" s="19"/>
      <c r="N20" s="19"/>
      <c r="O20" s="19"/>
      <c r="P20" s="19"/>
      <c r="Q20" s="19"/>
      <c r="R20" s="19"/>
      <c r="S20" s="19"/>
      <c r="T20" s="19"/>
      <c r="U20" s="19"/>
      <c r="V20" s="19"/>
      <c r="W20" s="19"/>
      <c r="X20" s="19"/>
      <c r="Y20" s="19"/>
      <c r="Z20" s="19"/>
    </row>
    <row r="21">
      <c r="A21" s="18" t="s">
        <v>410</v>
      </c>
      <c r="B21" s="18">
        <v>121.0</v>
      </c>
      <c r="C21" s="20" t="s">
        <v>426</v>
      </c>
      <c r="D21" s="19"/>
      <c r="E21" s="19"/>
      <c r="G21" s="19"/>
      <c r="H21" s="19"/>
      <c r="I21" s="19"/>
      <c r="J21" s="19"/>
      <c r="K21" s="19"/>
      <c r="L21" s="19"/>
      <c r="M21" s="19"/>
      <c r="N21" s="19"/>
      <c r="O21" s="19"/>
      <c r="P21" s="19"/>
      <c r="Q21" s="19"/>
      <c r="R21" s="19"/>
      <c r="S21" s="19"/>
      <c r="T21" s="19"/>
      <c r="U21" s="19"/>
      <c r="V21" s="19"/>
      <c r="W21" s="19"/>
      <c r="X21" s="19"/>
      <c r="Y21" s="19"/>
      <c r="Z21" s="19"/>
    </row>
    <row r="22">
      <c r="A22" s="18" t="s">
        <v>410</v>
      </c>
      <c r="B22" s="18">
        <v>122.0</v>
      </c>
      <c r="C22" s="20" t="s">
        <v>104</v>
      </c>
      <c r="D22" s="19"/>
      <c r="E22" s="19"/>
      <c r="G22" s="19"/>
      <c r="H22" s="19"/>
      <c r="I22" s="19"/>
      <c r="J22" s="19"/>
      <c r="K22" s="19"/>
      <c r="L22" s="19"/>
      <c r="M22" s="19"/>
      <c r="N22" s="19"/>
      <c r="O22" s="19"/>
      <c r="P22" s="19"/>
      <c r="Q22" s="19"/>
      <c r="R22" s="19"/>
      <c r="S22" s="19"/>
      <c r="T22" s="19"/>
      <c r="U22" s="19"/>
      <c r="V22" s="19"/>
      <c r="W22" s="19"/>
      <c r="X22" s="19"/>
      <c r="Y22" s="19"/>
      <c r="Z22" s="19"/>
    </row>
    <row r="23">
      <c r="A23" s="18" t="s">
        <v>410</v>
      </c>
      <c r="B23" s="18">
        <v>123.0</v>
      </c>
      <c r="C23" s="20" t="s">
        <v>104</v>
      </c>
      <c r="D23" s="19"/>
      <c r="E23" s="19"/>
      <c r="G23" s="19"/>
      <c r="H23" s="19"/>
      <c r="I23" s="19"/>
      <c r="J23" s="19"/>
      <c r="K23" s="19"/>
      <c r="L23" s="19"/>
      <c r="M23" s="19"/>
      <c r="N23" s="19"/>
      <c r="O23" s="19"/>
      <c r="P23" s="19"/>
      <c r="Q23" s="19"/>
      <c r="R23" s="19"/>
      <c r="S23" s="19"/>
      <c r="T23" s="19"/>
      <c r="U23" s="19"/>
      <c r="V23" s="19"/>
      <c r="W23" s="19"/>
      <c r="X23" s="19"/>
      <c r="Y23" s="19"/>
      <c r="Z23" s="19"/>
    </row>
    <row r="24">
      <c r="A24" s="18" t="s">
        <v>410</v>
      </c>
      <c r="B24" s="18">
        <v>124.0</v>
      </c>
      <c r="C24" s="18" t="s">
        <v>104</v>
      </c>
      <c r="D24" s="19"/>
      <c r="E24" s="19"/>
      <c r="G24" s="19"/>
      <c r="H24" s="19"/>
      <c r="I24" s="19"/>
      <c r="J24" s="19"/>
      <c r="K24" s="19"/>
      <c r="L24" s="19"/>
      <c r="M24" s="19"/>
      <c r="N24" s="19"/>
      <c r="O24" s="19"/>
      <c r="P24" s="19"/>
      <c r="Q24" s="19"/>
      <c r="R24" s="19"/>
      <c r="S24" s="19"/>
      <c r="T24" s="19"/>
      <c r="U24" s="19"/>
      <c r="V24" s="19"/>
      <c r="W24" s="19"/>
      <c r="X24" s="19"/>
      <c r="Y24" s="19"/>
      <c r="Z24" s="19"/>
    </row>
    <row r="25">
      <c r="A25" s="18" t="s">
        <v>410</v>
      </c>
      <c r="B25" s="18">
        <v>125.0</v>
      </c>
      <c r="C25" s="18" t="s">
        <v>427</v>
      </c>
      <c r="D25" s="19"/>
      <c r="E25" s="19"/>
      <c r="G25" s="19"/>
      <c r="H25" s="19"/>
      <c r="I25" s="19"/>
      <c r="J25" s="19"/>
      <c r="K25" s="19"/>
      <c r="L25" s="19"/>
      <c r="M25" s="19"/>
      <c r="N25" s="19"/>
      <c r="O25" s="19"/>
      <c r="P25" s="19"/>
      <c r="Q25" s="19"/>
      <c r="R25" s="19"/>
      <c r="S25" s="19"/>
      <c r="T25" s="19"/>
      <c r="U25" s="19"/>
      <c r="V25" s="19"/>
      <c r="W25" s="19"/>
      <c r="X25" s="19"/>
      <c r="Y25" s="19"/>
      <c r="Z25" s="19"/>
    </row>
    <row r="26">
      <c r="A26" s="18" t="s">
        <v>410</v>
      </c>
      <c r="B26" s="18">
        <v>126.0</v>
      </c>
      <c r="C26" s="18" t="s">
        <v>427</v>
      </c>
      <c r="D26" s="19"/>
      <c r="E26" s="19"/>
      <c r="G26" s="19"/>
      <c r="H26" s="19"/>
      <c r="I26" s="19"/>
      <c r="J26" s="19"/>
      <c r="K26" s="19"/>
      <c r="L26" s="19"/>
      <c r="M26" s="19"/>
      <c r="N26" s="19"/>
      <c r="O26" s="19"/>
      <c r="P26" s="19"/>
      <c r="Q26" s="19"/>
      <c r="R26" s="19"/>
      <c r="S26" s="19"/>
      <c r="T26" s="19"/>
      <c r="U26" s="19"/>
      <c r="V26" s="19"/>
      <c r="W26" s="19"/>
      <c r="X26" s="19"/>
      <c r="Y26" s="19"/>
      <c r="Z26" s="19"/>
    </row>
    <row r="27">
      <c r="A27" s="18" t="s">
        <v>410</v>
      </c>
      <c r="B27" s="18">
        <v>127.0</v>
      </c>
      <c r="C27" s="18" t="s">
        <v>428</v>
      </c>
      <c r="D27" s="19"/>
      <c r="E27" s="19"/>
      <c r="G27" s="19"/>
      <c r="H27" s="19"/>
      <c r="I27" s="19"/>
      <c r="J27" s="19"/>
      <c r="K27" s="19"/>
      <c r="L27" s="19"/>
      <c r="M27" s="19"/>
      <c r="N27" s="19"/>
      <c r="O27" s="19"/>
      <c r="P27" s="19"/>
      <c r="Q27" s="19"/>
      <c r="R27" s="19"/>
      <c r="S27" s="19"/>
      <c r="T27" s="19"/>
      <c r="U27" s="19"/>
      <c r="V27" s="19"/>
      <c r="W27" s="19"/>
      <c r="X27" s="19"/>
      <c r="Y27" s="19"/>
      <c r="Z27" s="19"/>
    </row>
    <row r="28">
      <c r="A28" s="18" t="s">
        <v>410</v>
      </c>
      <c r="B28" s="18">
        <v>128.0</v>
      </c>
      <c r="C28" s="18" t="s">
        <v>429</v>
      </c>
      <c r="D28" s="19"/>
      <c r="E28" s="19"/>
      <c r="G28" s="19"/>
      <c r="H28" s="19"/>
      <c r="I28" s="19"/>
      <c r="J28" s="19"/>
      <c r="K28" s="19"/>
      <c r="L28" s="19"/>
      <c r="M28" s="19"/>
      <c r="N28" s="19"/>
      <c r="O28" s="19"/>
      <c r="P28" s="19"/>
      <c r="Q28" s="19"/>
      <c r="R28" s="19"/>
      <c r="S28" s="19"/>
      <c r="T28" s="19"/>
      <c r="U28" s="19"/>
      <c r="V28" s="19"/>
      <c r="W28" s="19"/>
      <c r="X28" s="19"/>
      <c r="Y28" s="19"/>
      <c r="Z28" s="19"/>
    </row>
    <row r="29">
      <c r="A29" s="18" t="s">
        <v>410</v>
      </c>
      <c r="B29" s="18">
        <v>129.0</v>
      </c>
      <c r="C29" s="18" t="s">
        <v>332</v>
      </c>
      <c r="D29" s="19"/>
      <c r="E29" s="19"/>
      <c r="G29" s="19"/>
      <c r="H29" s="19"/>
      <c r="I29" s="19"/>
      <c r="J29" s="19"/>
      <c r="K29" s="19"/>
      <c r="L29" s="19"/>
      <c r="M29" s="19"/>
      <c r="N29" s="19"/>
      <c r="O29" s="19"/>
      <c r="P29" s="19"/>
      <c r="Q29" s="19"/>
      <c r="R29" s="19"/>
      <c r="S29" s="19"/>
      <c r="T29" s="19"/>
      <c r="U29" s="19"/>
      <c r="V29" s="19"/>
      <c r="W29" s="19"/>
      <c r="X29" s="19"/>
      <c r="Y29" s="19"/>
      <c r="Z29" s="19"/>
    </row>
    <row r="30">
      <c r="A30" s="18" t="s">
        <v>410</v>
      </c>
      <c r="B30" s="18">
        <v>130.0</v>
      </c>
      <c r="C30" s="18" t="s">
        <v>430</v>
      </c>
      <c r="D30" s="19"/>
      <c r="E30" s="19"/>
      <c r="G30" s="19"/>
      <c r="H30" s="19"/>
      <c r="I30" s="19"/>
      <c r="J30" s="19"/>
      <c r="K30" s="19"/>
      <c r="L30" s="19"/>
      <c r="M30" s="19"/>
      <c r="N30" s="19"/>
      <c r="O30" s="19"/>
      <c r="P30" s="19"/>
      <c r="Q30" s="19"/>
      <c r="R30" s="19"/>
      <c r="S30" s="19"/>
      <c r="T30" s="19"/>
      <c r="U30" s="19"/>
      <c r="V30" s="19"/>
      <c r="W30" s="19"/>
      <c r="X30" s="19"/>
      <c r="Y30" s="19"/>
      <c r="Z30" s="19"/>
    </row>
    <row r="31">
      <c r="A31" s="18"/>
      <c r="B31" s="18">
        <v>150.0</v>
      </c>
      <c r="C31" s="18"/>
      <c r="D31" s="19"/>
      <c r="E31" s="19"/>
      <c r="G31" s="19"/>
      <c r="H31" s="19"/>
      <c r="I31" s="19"/>
      <c r="J31" s="19"/>
      <c r="K31" s="19"/>
      <c r="L31" s="19"/>
      <c r="M31" s="19"/>
      <c r="N31" s="19"/>
      <c r="O31" s="19"/>
      <c r="P31" s="19"/>
      <c r="Q31" s="19"/>
      <c r="R31" s="19"/>
      <c r="S31" s="19"/>
      <c r="T31" s="19"/>
      <c r="U31" s="19"/>
      <c r="V31" s="19"/>
      <c r="W31" s="19"/>
      <c r="X31" s="19"/>
      <c r="Y31" s="19"/>
      <c r="Z31" s="19"/>
    </row>
    <row r="32">
      <c r="A32" s="18" t="s">
        <v>431</v>
      </c>
      <c r="B32" s="18">
        <v>301.0</v>
      </c>
      <c r="C32" s="18" t="s">
        <v>91</v>
      </c>
      <c r="D32" s="19"/>
      <c r="E32" s="19"/>
      <c r="G32" s="19"/>
      <c r="H32" s="19"/>
      <c r="I32" s="19"/>
      <c r="J32" s="19"/>
      <c r="K32" s="19"/>
      <c r="L32" s="19"/>
      <c r="M32" s="19"/>
      <c r="N32" s="19"/>
      <c r="O32" s="19"/>
      <c r="P32" s="19"/>
      <c r="Q32" s="19"/>
      <c r="R32" s="19"/>
      <c r="S32" s="19"/>
      <c r="T32" s="19"/>
      <c r="U32" s="19"/>
      <c r="V32" s="19"/>
      <c r="W32" s="19"/>
      <c r="X32" s="19"/>
      <c r="Y32" s="19"/>
      <c r="Z32" s="19"/>
    </row>
    <row r="33">
      <c r="A33" s="18" t="s">
        <v>431</v>
      </c>
      <c r="B33" s="18">
        <v>302.0</v>
      </c>
      <c r="C33" s="18" t="s">
        <v>91</v>
      </c>
      <c r="D33" s="19"/>
      <c r="E33" s="19"/>
      <c r="G33" s="19"/>
      <c r="H33" s="19"/>
      <c r="I33" s="19"/>
      <c r="J33" s="19"/>
      <c r="K33" s="19"/>
      <c r="L33" s="19"/>
      <c r="M33" s="19"/>
      <c r="N33" s="19"/>
      <c r="O33" s="19"/>
      <c r="P33" s="19"/>
      <c r="Q33" s="19"/>
      <c r="R33" s="19"/>
      <c r="S33" s="19"/>
      <c r="T33" s="19"/>
      <c r="U33" s="19"/>
      <c r="V33" s="19"/>
      <c r="W33" s="19"/>
      <c r="X33" s="19"/>
      <c r="Y33" s="19"/>
      <c r="Z33" s="19"/>
    </row>
    <row r="34">
      <c r="A34" s="18" t="s">
        <v>431</v>
      </c>
      <c r="B34" s="18">
        <v>303.0</v>
      </c>
      <c r="C34" s="18" t="s">
        <v>180</v>
      </c>
      <c r="D34" s="19"/>
      <c r="E34" s="19"/>
      <c r="G34" s="19"/>
      <c r="H34" s="19"/>
      <c r="I34" s="19"/>
      <c r="J34" s="19"/>
      <c r="K34" s="19"/>
      <c r="L34" s="19"/>
      <c r="M34" s="19"/>
      <c r="N34" s="19"/>
      <c r="O34" s="19"/>
      <c r="P34" s="19"/>
      <c r="Q34" s="19"/>
      <c r="R34" s="19"/>
      <c r="S34" s="19"/>
      <c r="T34" s="19"/>
      <c r="U34" s="19"/>
      <c r="V34" s="19"/>
      <c r="W34" s="19"/>
      <c r="X34" s="19"/>
      <c r="Y34" s="19"/>
      <c r="Z34" s="19"/>
    </row>
    <row r="35">
      <c r="A35" s="18" t="s">
        <v>431</v>
      </c>
      <c r="B35" s="18">
        <v>304.0</v>
      </c>
      <c r="C35" s="18" t="s">
        <v>180</v>
      </c>
      <c r="D35" s="19"/>
      <c r="E35" s="19"/>
      <c r="G35" s="19"/>
      <c r="H35" s="19"/>
      <c r="I35" s="19"/>
      <c r="J35" s="19"/>
      <c r="K35" s="19"/>
      <c r="L35" s="19"/>
      <c r="M35" s="19"/>
      <c r="N35" s="19"/>
      <c r="O35" s="19"/>
      <c r="P35" s="19"/>
      <c r="Q35" s="19"/>
      <c r="R35" s="19"/>
      <c r="S35" s="19"/>
      <c r="T35" s="19"/>
      <c r="U35" s="19"/>
      <c r="V35" s="19"/>
      <c r="W35" s="19"/>
      <c r="X35" s="19"/>
      <c r="Y35" s="19"/>
      <c r="Z35" s="19"/>
    </row>
    <row r="36">
      <c r="A36" s="18" t="s">
        <v>431</v>
      </c>
      <c r="B36" s="18">
        <v>305.0</v>
      </c>
      <c r="C36" s="18" t="s">
        <v>180</v>
      </c>
      <c r="D36" s="19"/>
      <c r="E36" s="19"/>
      <c r="G36" s="19"/>
      <c r="H36" s="19"/>
      <c r="I36" s="19"/>
      <c r="J36" s="19"/>
      <c r="K36" s="19"/>
      <c r="L36" s="19"/>
      <c r="M36" s="19"/>
      <c r="N36" s="19"/>
      <c r="O36" s="19"/>
      <c r="P36" s="19"/>
      <c r="Q36" s="19"/>
      <c r="R36" s="19"/>
      <c r="S36" s="19"/>
      <c r="T36" s="19"/>
      <c r="U36" s="19"/>
      <c r="V36" s="19"/>
      <c r="W36" s="19"/>
      <c r="X36" s="19"/>
      <c r="Y36" s="19"/>
      <c r="Z36" s="19"/>
    </row>
    <row r="37">
      <c r="A37" s="18" t="s">
        <v>431</v>
      </c>
      <c r="B37" s="18">
        <v>306.0</v>
      </c>
      <c r="C37" s="18" t="s">
        <v>180</v>
      </c>
      <c r="D37" s="19"/>
      <c r="E37" s="19"/>
      <c r="G37" s="19"/>
      <c r="H37" s="19"/>
      <c r="I37" s="19"/>
      <c r="J37" s="19"/>
      <c r="K37" s="19"/>
      <c r="L37" s="19"/>
      <c r="M37" s="19"/>
      <c r="N37" s="19"/>
      <c r="O37" s="19"/>
      <c r="P37" s="19"/>
      <c r="Q37" s="19"/>
      <c r="R37" s="19"/>
      <c r="S37" s="19"/>
      <c r="T37" s="19"/>
      <c r="U37" s="19"/>
      <c r="V37" s="19"/>
      <c r="W37" s="19"/>
      <c r="X37" s="19"/>
      <c r="Y37" s="19"/>
      <c r="Z37" s="19"/>
    </row>
    <row r="38">
      <c r="A38" s="18" t="s">
        <v>431</v>
      </c>
      <c r="B38" s="18">
        <v>307.0</v>
      </c>
      <c r="C38" s="18" t="s">
        <v>432</v>
      </c>
      <c r="D38" s="19"/>
      <c r="E38" s="19"/>
      <c r="G38" s="19"/>
      <c r="H38" s="19"/>
      <c r="I38" s="19"/>
      <c r="J38" s="19"/>
      <c r="K38" s="19"/>
      <c r="L38" s="19"/>
      <c r="M38" s="19"/>
      <c r="N38" s="19"/>
      <c r="O38" s="19"/>
      <c r="P38" s="19"/>
      <c r="Q38" s="19"/>
      <c r="R38" s="19"/>
      <c r="S38" s="19"/>
      <c r="T38" s="19"/>
      <c r="U38" s="19"/>
      <c r="V38" s="19"/>
      <c r="W38" s="19"/>
      <c r="X38" s="19"/>
      <c r="Y38" s="19"/>
      <c r="Z38" s="19"/>
    </row>
    <row r="39">
      <c r="A39" s="18" t="s">
        <v>431</v>
      </c>
      <c r="B39" s="18">
        <v>308.0</v>
      </c>
      <c r="C39" s="18" t="s">
        <v>432</v>
      </c>
      <c r="D39" s="19"/>
      <c r="E39" s="19"/>
      <c r="G39" s="19"/>
      <c r="H39" s="19"/>
      <c r="I39" s="19"/>
      <c r="J39" s="19"/>
      <c r="K39" s="19"/>
      <c r="L39" s="19"/>
      <c r="M39" s="19"/>
      <c r="N39" s="19"/>
      <c r="O39" s="19"/>
      <c r="P39" s="19"/>
      <c r="Q39" s="19"/>
      <c r="R39" s="19"/>
      <c r="S39" s="19"/>
      <c r="T39" s="19"/>
      <c r="U39" s="19"/>
      <c r="V39" s="19"/>
      <c r="W39" s="19"/>
      <c r="X39" s="19"/>
      <c r="Y39" s="19"/>
      <c r="Z39" s="19"/>
    </row>
    <row r="40">
      <c r="A40" s="18" t="s">
        <v>431</v>
      </c>
      <c r="B40" s="18">
        <v>309.0</v>
      </c>
      <c r="C40" s="18" t="s">
        <v>84</v>
      </c>
      <c r="D40" s="19"/>
      <c r="E40" s="19"/>
      <c r="G40" s="19"/>
      <c r="H40" s="19"/>
      <c r="I40" s="19"/>
      <c r="J40" s="19"/>
      <c r="K40" s="19"/>
      <c r="L40" s="19"/>
      <c r="M40" s="19"/>
      <c r="N40" s="19"/>
      <c r="O40" s="19"/>
      <c r="P40" s="19"/>
      <c r="Q40" s="19"/>
      <c r="R40" s="19"/>
      <c r="S40" s="19"/>
      <c r="T40" s="19"/>
      <c r="U40" s="19"/>
      <c r="V40" s="19"/>
      <c r="W40" s="19"/>
      <c r="X40" s="19"/>
      <c r="Y40" s="19"/>
      <c r="Z40" s="19"/>
    </row>
    <row r="41">
      <c r="A41" s="18" t="s">
        <v>431</v>
      </c>
      <c r="B41" s="18">
        <v>310.0</v>
      </c>
      <c r="C41" s="18" t="s">
        <v>84</v>
      </c>
      <c r="D41" s="19"/>
      <c r="E41" s="19"/>
      <c r="G41" s="19"/>
      <c r="H41" s="19"/>
      <c r="I41" s="19"/>
      <c r="J41" s="19"/>
      <c r="K41" s="19"/>
      <c r="L41" s="19"/>
      <c r="M41" s="19"/>
      <c r="N41" s="19"/>
      <c r="O41" s="19"/>
      <c r="P41" s="19"/>
      <c r="Q41" s="19"/>
      <c r="R41" s="19"/>
      <c r="S41" s="19"/>
      <c r="T41" s="19"/>
      <c r="U41" s="19"/>
      <c r="V41" s="19"/>
      <c r="W41" s="19"/>
      <c r="X41" s="19"/>
      <c r="Y41" s="19"/>
      <c r="Z41" s="19"/>
    </row>
    <row r="42">
      <c r="A42" s="18" t="s">
        <v>431</v>
      </c>
      <c r="B42" s="18">
        <v>311.0</v>
      </c>
      <c r="C42" s="18" t="s">
        <v>84</v>
      </c>
      <c r="D42" s="19"/>
      <c r="E42" s="19"/>
      <c r="G42" s="19"/>
      <c r="H42" s="19"/>
      <c r="I42" s="19"/>
      <c r="J42" s="19"/>
      <c r="K42" s="19"/>
      <c r="L42" s="19"/>
      <c r="M42" s="19"/>
      <c r="N42" s="19"/>
      <c r="O42" s="19"/>
      <c r="P42" s="19"/>
      <c r="Q42" s="19"/>
      <c r="R42" s="19"/>
      <c r="S42" s="19"/>
      <c r="T42" s="19"/>
      <c r="U42" s="19"/>
      <c r="V42" s="19"/>
      <c r="W42" s="19"/>
      <c r="X42" s="19"/>
      <c r="Y42" s="19"/>
      <c r="Z42" s="19"/>
    </row>
    <row r="43">
      <c r="A43" s="18" t="s">
        <v>431</v>
      </c>
      <c r="B43" s="18">
        <v>312.0</v>
      </c>
      <c r="C43" s="18" t="s">
        <v>84</v>
      </c>
      <c r="D43" s="19"/>
      <c r="E43" s="19"/>
      <c r="G43" s="19"/>
      <c r="H43" s="19"/>
      <c r="I43" s="19"/>
      <c r="J43" s="19"/>
      <c r="K43" s="19"/>
      <c r="L43" s="19"/>
      <c r="M43" s="19"/>
      <c r="N43" s="19"/>
      <c r="O43" s="19"/>
      <c r="P43" s="19"/>
      <c r="Q43" s="19"/>
      <c r="R43" s="19"/>
      <c r="S43" s="19"/>
      <c r="T43" s="19"/>
      <c r="U43" s="19"/>
      <c r="V43" s="19"/>
      <c r="W43" s="19"/>
      <c r="X43" s="19"/>
      <c r="Y43" s="19"/>
      <c r="Z43" s="19"/>
    </row>
    <row r="44">
      <c r="A44" s="18" t="s">
        <v>431</v>
      </c>
      <c r="B44" s="18">
        <v>313.0</v>
      </c>
      <c r="C44" s="18" t="s">
        <v>433</v>
      </c>
      <c r="D44" s="19"/>
      <c r="E44" s="19"/>
      <c r="G44" s="19"/>
      <c r="H44" s="19"/>
      <c r="I44" s="19"/>
      <c r="J44" s="19"/>
      <c r="K44" s="19"/>
      <c r="L44" s="19"/>
      <c r="M44" s="19"/>
      <c r="N44" s="19"/>
      <c r="O44" s="19"/>
      <c r="P44" s="19"/>
      <c r="Q44" s="19"/>
      <c r="R44" s="19"/>
      <c r="S44" s="19"/>
      <c r="T44" s="19"/>
      <c r="U44" s="19"/>
      <c r="V44" s="19"/>
      <c r="W44" s="19"/>
      <c r="X44" s="19"/>
      <c r="Y44" s="19"/>
      <c r="Z44" s="19"/>
    </row>
    <row r="45">
      <c r="A45" s="18" t="s">
        <v>431</v>
      </c>
      <c r="B45" s="18">
        <v>314.0</v>
      </c>
      <c r="C45" s="18" t="s">
        <v>433</v>
      </c>
      <c r="D45" s="19"/>
      <c r="E45" s="19"/>
      <c r="G45" s="19"/>
      <c r="H45" s="19"/>
      <c r="I45" s="19"/>
      <c r="J45" s="19"/>
      <c r="K45" s="19"/>
      <c r="L45" s="19"/>
      <c r="M45" s="19"/>
      <c r="N45" s="19"/>
      <c r="O45" s="19"/>
      <c r="P45" s="19"/>
      <c r="Q45" s="19"/>
      <c r="R45" s="19"/>
      <c r="S45" s="19"/>
      <c r="T45" s="19"/>
      <c r="U45" s="19"/>
      <c r="V45" s="19"/>
      <c r="W45" s="19"/>
      <c r="X45" s="19"/>
      <c r="Y45" s="19"/>
      <c r="Z45" s="19"/>
    </row>
    <row r="46">
      <c r="A46" s="18" t="s">
        <v>431</v>
      </c>
      <c r="B46" s="18">
        <v>315.0</v>
      </c>
      <c r="C46" s="18" t="s">
        <v>434</v>
      </c>
      <c r="D46" s="19"/>
      <c r="E46" s="19"/>
      <c r="G46" s="19"/>
      <c r="H46" s="19"/>
      <c r="I46" s="19"/>
      <c r="J46" s="19"/>
      <c r="K46" s="19"/>
      <c r="L46" s="19"/>
      <c r="M46" s="19"/>
      <c r="N46" s="19"/>
      <c r="O46" s="19"/>
      <c r="P46" s="19"/>
      <c r="Q46" s="19"/>
      <c r="R46" s="19"/>
      <c r="S46" s="19"/>
      <c r="T46" s="19"/>
      <c r="U46" s="19"/>
      <c r="V46" s="19"/>
      <c r="W46" s="19"/>
      <c r="X46" s="19"/>
      <c r="Y46" s="19"/>
      <c r="Z46" s="19"/>
    </row>
    <row r="47">
      <c r="A47" s="18" t="s">
        <v>431</v>
      </c>
      <c r="B47" s="18">
        <v>316.0</v>
      </c>
      <c r="C47" s="18" t="s">
        <v>434</v>
      </c>
      <c r="D47" s="19"/>
      <c r="E47" s="19"/>
      <c r="G47" s="19"/>
      <c r="H47" s="19"/>
      <c r="I47" s="19"/>
      <c r="J47" s="19"/>
      <c r="K47" s="19"/>
      <c r="L47" s="19"/>
      <c r="M47" s="19"/>
      <c r="N47" s="19"/>
      <c r="O47" s="19"/>
      <c r="P47" s="19"/>
      <c r="Q47" s="19"/>
      <c r="R47" s="19"/>
      <c r="S47" s="19"/>
      <c r="T47" s="19"/>
      <c r="U47" s="19"/>
      <c r="V47" s="19"/>
      <c r="W47" s="19"/>
      <c r="X47" s="19"/>
      <c r="Y47" s="19"/>
      <c r="Z47" s="19"/>
    </row>
    <row r="48">
      <c r="A48" s="18" t="s">
        <v>431</v>
      </c>
      <c r="B48" s="18">
        <v>317.0</v>
      </c>
      <c r="C48" s="18" t="s">
        <v>434</v>
      </c>
      <c r="D48" s="19"/>
      <c r="E48" s="19"/>
      <c r="G48" s="19"/>
      <c r="H48" s="19"/>
      <c r="I48" s="19"/>
      <c r="J48" s="19"/>
      <c r="K48" s="19"/>
      <c r="L48" s="19"/>
      <c r="M48" s="19"/>
      <c r="N48" s="19"/>
      <c r="O48" s="19"/>
      <c r="P48" s="19"/>
      <c r="Q48" s="19"/>
      <c r="R48" s="19"/>
      <c r="S48" s="19"/>
      <c r="T48" s="19"/>
      <c r="U48" s="19"/>
      <c r="V48" s="19"/>
      <c r="W48" s="19"/>
      <c r="X48" s="19"/>
      <c r="Y48" s="19"/>
      <c r="Z48" s="19"/>
    </row>
    <row r="49">
      <c r="A49" s="18" t="s">
        <v>431</v>
      </c>
      <c r="B49" s="18">
        <v>318.0</v>
      </c>
      <c r="C49" s="18" t="s">
        <v>435</v>
      </c>
      <c r="D49" s="19"/>
      <c r="E49" s="19"/>
      <c r="G49" s="19"/>
      <c r="H49" s="19"/>
      <c r="I49" s="19"/>
      <c r="J49" s="19"/>
      <c r="K49" s="19"/>
      <c r="L49" s="19"/>
      <c r="M49" s="19"/>
      <c r="N49" s="19"/>
      <c r="O49" s="19"/>
      <c r="P49" s="19"/>
      <c r="Q49" s="19"/>
      <c r="R49" s="19"/>
      <c r="S49" s="19"/>
      <c r="T49" s="19"/>
      <c r="U49" s="19"/>
      <c r="V49" s="19"/>
      <c r="W49" s="19"/>
      <c r="X49" s="19"/>
      <c r="Y49" s="19"/>
      <c r="Z49" s="19"/>
    </row>
    <row r="50">
      <c r="A50" s="18" t="s">
        <v>431</v>
      </c>
      <c r="B50" s="18">
        <v>319.0</v>
      </c>
      <c r="C50" s="18" t="s">
        <v>435</v>
      </c>
      <c r="D50" s="19"/>
      <c r="E50" s="19"/>
      <c r="G50" s="19"/>
      <c r="H50" s="19"/>
      <c r="I50" s="19"/>
      <c r="J50" s="19"/>
      <c r="K50" s="19"/>
      <c r="L50" s="19"/>
      <c r="M50" s="19"/>
      <c r="N50" s="19"/>
      <c r="O50" s="19"/>
      <c r="P50" s="19"/>
      <c r="Q50" s="19"/>
      <c r="R50" s="19"/>
      <c r="S50" s="19"/>
      <c r="T50" s="19"/>
      <c r="U50" s="19"/>
      <c r="V50" s="19"/>
      <c r="W50" s="19"/>
      <c r="X50" s="19"/>
      <c r="Y50" s="19"/>
      <c r="Z50" s="19"/>
    </row>
    <row r="51">
      <c r="A51" s="18" t="s">
        <v>431</v>
      </c>
      <c r="B51" s="18">
        <v>320.0</v>
      </c>
      <c r="C51" s="18" t="s">
        <v>174</v>
      </c>
      <c r="D51" s="19"/>
      <c r="E51" s="19"/>
      <c r="G51" s="19"/>
      <c r="H51" s="19"/>
      <c r="I51" s="19"/>
      <c r="J51" s="19"/>
      <c r="K51" s="19"/>
      <c r="L51" s="19"/>
      <c r="M51" s="19"/>
      <c r="N51" s="19"/>
      <c r="O51" s="19"/>
      <c r="P51" s="19"/>
      <c r="Q51" s="19"/>
      <c r="R51" s="19"/>
      <c r="S51" s="19"/>
      <c r="T51" s="19"/>
      <c r="U51" s="19"/>
      <c r="V51" s="19"/>
      <c r="W51" s="19"/>
      <c r="X51" s="19"/>
      <c r="Y51" s="19"/>
      <c r="Z51" s="19"/>
    </row>
    <row r="52">
      <c r="A52" s="18" t="s">
        <v>431</v>
      </c>
      <c r="B52" s="18">
        <v>321.0</v>
      </c>
      <c r="C52" s="18" t="s">
        <v>174</v>
      </c>
      <c r="D52" s="19"/>
      <c r="E52" s="19"/>
      <c r="G52" s="19"/>
      <c r="H52" s="19"/>
      <c r="I52" s="19"/>
      <c r="J52" s="19"/>
      <c r="K52" s="19"/>
      <c r="L52" s="19"/>
      <c r="M52" s="19"/>
      <c r="N52" s="19"/>
      <c r="O52" s="19"/>
      <c r="P52" s="19"/>
      <c r="Q52" s="19"/>
      <c r="R52" s="19"/>
      <c r="S52" s="19"/>
      <c r="T52" s="19"/>
      <c r="U52" s="19"/>
      <c r="V52" s="19"/>
      <c r="W52" s="19"/>
      <c r="X52" s="19"/>
      <c r="Y52" s="19"/>
      <c r="Z52" s="19"/>
    </row>
    <row r="53">
      <c r="A53" s="18" t="s">
        <v>431</v>
      </c>
      <c r="B53" s="18">
        <v>322.0</v>
      </c>
      <c r="C53" s="18" t="s">
        <v>104</v>
      </c>
      <c r="D53" s="19"/>
      <c r="E53" s="19"/>
      <c r="G53" s="19"/>
      <c r="H53" s="19"/>
      <c r="I53" s="19"/>
      <c r="J53" s="19"/>
      <c r="K53" s="19"/>
      <c r="L53" s="19"/>
      <c r="M53" s="19"/>
      <c r="N53" s="19"/>
      <c r="O53" s="19"/>
      <c r="P53" s="19"/>
      <c r="Q53" s="19"/>
      <c r="R53" s="19"/>
      <c r="S53" s="19"/>
      <c r="T53" s="19"/>
      <c r="U53" s="19"/>
      <c r="V53" s="19"/>
      <c r="W53" s="19"/>
      <c r="X53" s="19"/>
      <c r="Y53" s="19"/>
      <c r="Z53" s="19"/>
    </row>
    <row r="54">
      <c r="A54" s="18" t="s">
        <v>431</v>
      </c>
      <c r="B54" s="18">
        <v>323.0</v>
      </c>
      <c r="C54" s="18" t="s">
        <v>104</v>
      </c>
      <c r="D54" s="19"/>
      <c r="E54" s="19"/>
      <c r="G54" s="19"/>
      <c r="H54" s="19"/>
      <c r="I54" s="19"/>
      <c r="J54" s="19"/>
      <c r="K54" s="19"/>
      <c r="L54" s="19"/>
      <c r="M54" s="19"/>
      <c r="N54" s="19"/>
      <c r="O54" s="19"/>
      <c r="P54" s="19"/>
      <c r="Q54" s="19"/>
      <c r="R54" s="19"/>
      <c r="S54" s="19"/>
      <c r="T54" s="19"/>
      <c r="U54" s="19"/>
      <c r="V54" s="19"/>
      <c r="W54" s="19"/>
      <c r="X54" s="19"/>
      <c r="Y54" s="19"/>
      <c r="Z54" s="19"/>
    </row>
    <row r="55">
      <c r="A55" s="18" t="s">
        <v>431</v>
      </c>
      <c r="B55" s="18">
        <v>324.0</v>
      </c>
      <c r="C55" s="18" t="s">
        <v>98</v>
      </c>
      <c r="D55" s="19"/>
      <c r="E55" s="19"/>
      <c r="G55" s="19"/>
      <c r="H55" s="19"/>
      <c r="I55" s="19"/>
      <c r="J55" s="19"/>
      <c r="K55" s="19"/>
      <c r="L55" s="19"/>
      <c r="M55" s="19"/>
      <c r="N55" s="19"/>
      <c r="O55" s="19"/>
      <c r="P55" s="19"/>
      <c r="Q55" s="19"/>
      <c r="R55" s="19"/>
      <c r="S55" s="19"/>
      <c r="T55" s="19"/>
      <c r="U55" s="19"/>
      <c r="V55" s="19"/>
      <c r="W55" s="19"/>
      <c r="X55" s="19"/>
      <c r="Y55" s="19"/>
      <c r="Z55" s="19"/>
    </row>
    <row r="56">
      <c r="A56" s="18" t="s">
        <v>431</v>
      </c>
      <c r="B56" s="18">
        <v>325.0</v>
      </c>
      <c r="C56" s="18" t="s">
        <v>98</v>
      </c>
      <c r="D56" s="19"/>
      <c r="E56" s="19"/>
      <c r="G56" s="19"/>
      <c r="H56" s="19"/>
      <c r="I56" s="19"/>
      <c r="J56" s="19"/>
      <c r="K56" s="19"/>
      <c r="L56" s="19"/>
      <c r="M56" s="19"/>
      <c r="N56" s="19"/>
      <c r="O56" s="19"/>
      <c r="P56" s="19"/>
      <c r="Q56" s="19"/>
      <c r="R56" s="19"/>
      <c r="S56" s="19"/>
      <c r="T56" s="19"/>
      <c r="U56" s="19"/>
      <c r="V56" s="19"/>
      <c r="W56" s="19"/>
      <c r="X56" s="19"/>
      <c r="Y56" s="19"/>
      <c r="Z56" s="19"/>
    </row>
    <row r="57">
      <c r="A57" s="18" t="s">
        <v>431</v>
      </c>
      <c r="B57" s="18">
        <v>326.0</v>
      </c>
      <c r="C57" s="18" t="s">
        <v>199</v>
      </c>
      <c r="D57" s="19"/>
      <c r="E57" s="19"/>
      <c r="G57" s="19"/>
      <c r="H57" s="19"/>
      <c r="I57" s="19"/>
      <c r="J57" s="19"/>
      <c r="K57" s="19"/>
      <c r="L57" s="19"/>
      <c r="M57" s="19"/>
      <c r="N57" s="19"/>
      <c r="O57" s="19"/>
      <c r="P57" s="19"/>
      <c r="Q57" s="19"/>
      <c r="R57" s="19"/>
      <c r="S57" s="19"/>
      <c r="T57" s="19"/>
      <c r="U57" s="19"/>
      <c r="V57" s="19"/>
      <c r="W57" s="19"/>
      <c r="X57" s="19"/>
      <c r="Y57" s="19"/>
      <c r="Z57" s="19"/>
    </row>
    <row r="58">
      <c r="A58" s="18" t="s">
        <v>431</v>
      </c>
      <c r="B58" s="18">
        <v>327.0</v>
      </c>
      <c r="C58" s="18" t="s">
        <v>436</v>
      </c>
      <c r="D58" s="19"/>
      <c r="E58" s="19"/>
      <c r="G58" s="19"/>
      <c r="H58" s="19"/>
      <c r="I58" s="19"/>
      <c r="J58" s="19"/>
      <c r="K58" s="19"/>
      <c r="L58" s="19"/>
      <c r="M58" s="19"/>
      <c r="N58" s="19"/>
      <c r="O58" s="19"/>
      <c r="P58" s="19"/>
      <c r="Q58" s="19"/>
      <c r="R58" s="19"/>
      <c r="S58" s="19"/>
      <c r="T58" s="19"/>
      <c r="U58" s="19"/>
      <c r="V58" s="19"/>
      <c r="W58" s="19"/>
      <c r="X58" s="19"/>
      <c r="Y58" s="19"/>
      <c r="Z58" s="19"/>
    </row>
    <row r="59">
      <c r="A59" s="18" t="s">
        <v>431</v>
      </c>
      <c r="B59" s="18">
        <v>328.0</v>
      </c>
      <c r="C59" s="18" t="s">
        <v>436</v>
      </c>
      <c r="D59" s="19"/>
      <c r="E59" s="19"/>
      <c r="G59" s="19"/>
      <c r="H59" s="19"/>
      <c r="I59" s="19"/>
      <c r="J59" s="19"/>
      <c r="K59" s="19"/>
      <c r="L59" s="19"/>
      <c r="M59" s="19"/>
      <c r="N59" s="19"/>
      <c r="O59" s="19"/>
      <c r="P59" s="19"/>
      <c r="Q59" s="19"/>
      <c r="R59" s="19"/>
      <c r="S59" s="19"/>
      <c r="T59" s="19"/>
      <c r="U59" s="19"/>
      <c r="V59" s="19"/>
      <c r="W59" s="19"/>
      <c r="X59" s="19"/>
      <c r="Y59" s="19"/>
      <c r="Z59" s="19"/>
    </row>
    <row r="60">
      <c r="A60" s="18" t="s">
        <v>431</v>
      </c>
      <c r="B60" s="18">
        <v>329.0</v>
      </c>
      <c r="C60" s="18" t="s">
        <v>437</v>
      </c>
      <c r="D60" s="19"/>
      <c r="E60" s="19"/>
      <c r="G60" s="19"/>
      <c r="H60" s="19"/>
      <c r="I60" s="19"/>
      <c r="J60" s="19"/>
      <c r="K60" s="19"/>
      <c r="L60" s="19"/>
      <c r="M60" s="19"/>
      <c r="N60" s="19"/>
      <c r="O60" s="19"/>
      <c r="P60" s="19"/>
      <c r="Q60" s="19"/>
      <c r="R60" s="19"/>
      <c r="S60" s="19"/>
      <c r="T60" s="19"/>
      <c r="U60" s="19"/>
      <c r="V60" s="19"/>
      <c r="W60" s="19"/>
      <c r="X60" s="19"/>
      <c r="Y60" s="19"/>
      <c r="Z60" s="19"/>
    </row>
    <row r="61">
      <c r="A61" s="18" t="s">
        <v>431</v>
      </c>
      <c r="B61" s="18">
        <v>330.0</v>
      </c>
      <c r="C61" s="18" t="s">
        <v>437</v>
      </c>
      <c r="D61" s="19"/>
      <c r="E61" s="19"/>
      <c r="G61" s="19"/>
      <c r="H61" s="19"/>
      <c r="I61" s="19"/>
      <c r="J61" s="19"/>
      <c r="K61" s="19"/>
      <c r="L61" s="19"/>
      <c r="M61" s="19"/>
      <c r="N61" s="19"/>
      <c r="O61" s="19"/>
      <c r="P61" s="19"/>
      <c r="Q61" s="19"/>
      <c r="R61" s="19"/>
      <c r="S61" s="19"/>
      <c r="T61" s="19"/>
      <c r="U61" s="19"/>
      <c r="V61" s="19"/>
      <c r="W61" s="19"/>
      <c r="X61" s="19"/>
      <c r="Y61" s="19"/>
      <c r="Z61" s="19"/>
    </row>
    <row r="62">
      <c r="A62" s="18"/>
      <c r="B62" s="18">
        <v>350.0</v>
      </c>
      <c r="C62" s="18"/>
      <c r="D62" s="19"/>
      <c r="E62" s="19"/>
      <c r="F62" s="19"/>
      <c r="G62" s="19"/>
      <c r="H62" s="19"/>
      <c r="I62" s="19"/>
      <c r="J62" s="19"/>
      <c r="K62" s="19"/>
      <c r="L62" s="19"/>
      <c r="M62" s="19"/>
      <c r="N62" s="19"/>
      <c r="O62" s="19"/>
      <c r="P62" s="19"/>
      <c r="Q62" s="19"/>
      <c r="R62" s="19"/>
      <c r="S62" s="19"/>
      <c r="T62" s="19"/>
      <c r="U62" s="19"/>
      <c r="V62" s="19"/>
      <c r="W62" s="19"/>
      <c r="X62" s="19"/>
      <c r="Y62" s="19"/>
      <c r="Z62" s="19"/>
    </row>
    <row r="63">
      <c r="A63" s="18" t="s">
        <v>438</v>
      </c>
      <c r="B63" s="18">
        <v>401.0</v>
      </c>
      <c r="C63" s="18"/>
      <c r="D63" s="19"/>
      <c r="E63" s="19"/>
      <c r="F63" s="19"/>
      <c r="G63" s="19"/>
      <c r="H63" s="19"/>
      <c r="I63" s="19"/>
      <c r="J63" s="19"/>
      <c r="K63" s="19"/>
      <c r="L63" s="19"/>
      <c r="M63" s="19"/>
      <c r="N63" s="19"/>
      <c r="O63" s="19"/>
      <c r="P63" s="19"/>
      <c r="Q63" s="19"/>
      <c r="R63" s="19"/>
      <c r="S63" s="19"/>
      <c r="T63" s="19"/>
      <c r="U63" s="19"/>
      <c r="V63" s="19"/>
      <c r="W63" s="19"/>
      <c r="X63" s="19"/>
      <c r="Y63" s="19"/>
      <c r="Z63" s="19"/>
    </row>
    <row r="64">
      <c r="A64" s="18" t="s">
        <v>438</v>
      </c>
      <c r="B64" s="18">
        <v>402.0</v>
      </c>
      <c r="C64" s="18"/>
      <c r="D64" s="19"/>
      <c r="E64" s="19"/>
      <c r="F64" s="19"/>
      <c r="G64" s="19"/>
      <c r="H64" s="19"/>
      <c r="I64" s="19"/>
      <c r="J64" s="19"/>
      <c r="K64" s="19"/>
      <c r="L64" s="19"/>
      <c r="M64" s="19"/>
      <c r="N64" s="19"/>
      <c r="O64" s="19"/>
      <c r="P64" s="19"/>
      <c r="Q64" s="19"/>
      <c r="R64" s="19"/>
      <c r="S64" s="19"/>
      <c r="T64" s="19"/>
      <c r="U64" s="19"/>
      <c r="V64" s="19"/>
      <c r="W64" s="19"/>
      <c r="X64" s="19"/>
      <c r="Y64" s="19"/>
      <c r="Z64" s="19"/>
    </row>
    <row r="65">
      <c r="A65" s="18" t="s">
        <v>438</v>
      </c>
      <c r="B65" s="18">
        <v>403.0</v>
      </c>
      <c r="C65" s="18"/>
      <c r="D65" s="19"/>
      <c r="E65" s="19"/>
      <c r="F65" s="19"/>
      <c r="G65" s="19"/>
      <c r="H65" s="19"/>
      <c r="I65" s="19"/>
      <c r="J65" s="19"/>
      <c r="K65" s="19"/>
      <c r="L65" s="19"/>
      <c r="M65" s="19"/>
      <c r="N65" s="19"/>
      <c r="O65" s="19"/>
      <c r="P65" s="19"/>
      <c r="Q65" s="19"/>
      <c r="R65" s="19"/>
      <c r="S65" s="19"/>
      <c r="T65" s="19"/>
      <c r="U65" s="19"/>
      <c r="V65" s="19"/>
      <c r="W65" s="19"/>
      <c r="X65" s="19"/>
      <c r="Y65" s="19"/>
      <c r="Z65" s="19"/>
    </row>
    <row r="66">
      <c r="A66" s="18"/>
      <c r="B66" s="18">
        <v>450.0</v>
      </c>
      <c r="C66" s="21"/>
      <c r="D66" s="19"/>
      <c r="E66" s="19"/>
      <c r="F66" s="18"/>
      <c r="G66" s="19"/>
      <c r="H66" s="19"/>
      <c r="I66" s="19"/>
      <c r="J66" s="19"/>
      <c r="K66" s="19"/>
      <c r="L66" s="19"/>
      <c r="M66" s="19"/>
      <c r="N66" s="19"/>
      <c r="O66" s="19"/>
      <c r="P66" s="19"/>
      <c r="Q66" s="19"/>
      <c r="R66" s="19"/>
      <c r="S66" s="19"/>
      <c r="T66" s="19"/>
      <c r="U66" s="19"/>
      <c r="V66" s="19"/>
      <c r="W66" s="19"/>
      <c r="X66" s="19"/>
      <c r="Y66" s="19"/>
      <c r="Z66" s="19"/>
    </row>
    <row r="67">
      <c r="A67" s="18" t="s">
        <v>439</v>
      </c>
      <c r="B67" s="18">
        <v>501.0</v>
      </c>
      <c r="C67" s="21"/>
      <c r="D67" s="19"/>
      <c r="E67" s="19"/>
      <c r="F67" s="18"/>
      <c r="G67" s="19"/>
      <c r="H67" s="19"/>
      <c r="I67" s="19"/>
      <c r="J67" s="19"/>
      <c r="K67" s="19"/>
      <c r="L67" s="19"/>
      <c r="M67" s="19"/>
      <c r="N67" s="19"/>
      <c r="O67" s="19"/>
      <c r="P67" s="19"/>
      <c r="Q67" s="19"/>
      <c r="R67" s="19"/>
      <c r="S67" s="19"/>
      <c r="T67" s="19"/>
      <c r="U67" s="19"/>
      <c r="V67" s="19"/>
      <c r="W67" s="19"/>
      <c r="X67" s="19"/>
      <c r="Y67" s="19"/>
      <c r="Z67" s="19"/>
    </row>
    <row r="68">
      <c r="A68" s="18" t="s">
        <v>439</v>
      </c>
      <c r="B68" s="18">
        <v>502.0</v>
      </c>
      <c r="C68" s="21"/>
      <c r="D68" s="19"/>
      <c r="E68" s="19"/>
      <c r="F68" s="19"/>
      <c r="G68" s="19"/>
      <c r="H68" s="19"/>
      <c r="I68" s="19"/>
      <c r="J68" s="19"/>
      <c r="K68" s="19"/>
      <c r="L68" s="19"/>
      <c r="M68" s="19"/>
      <c r="N68" s="19"/>
      <c r="O68" s="19"/>
      <c r="P68" s="19"/>
      <c r="Q68" s="19"/>
      <c r="R68" s="19"/>
      <c r="S68" s="19"/>
      <c r="T68" s="19"/>
      <c r="U68" s="19"/>
      <c r="V68" s="19"/>
      <c r="W68" s="19"/>
      <c r="X68" s="19"/>
      <c r="Y68" s="19"/>
      <c r="Z68" s="19"/>
    </row>
    <row r="69">
      <c r="A69" s="18" t="s">
        <v>439</v>
      </c>
      <c r="B69" s="18">
        <v>503.0</v>
      </c>
      <c r="C69" s="21"/>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G71" s="19"/>
      <c r="H71" s="19"/>
      <c r="I71" s="19"/>
      <c r="J71" s="19"/>
      <c r="K71" s="19"/>
      <c r="L71" s="19"/>
      <c r="M71" s="19"/>
      <c r="N71" s="19"/>
      <c r="O71" s="19"/>
      <c r="P71" s="19"/>
      <c r="Q71" s="19"/>
      <c r="R71" s="19"/>
      <c r="S71" s="19"/>
      <c r="T71" s="19"/>
      <c r="U71" s="19"/>
      <c r="V71" s="19"/>
      <c r="W71" s="19"/>
      <c r="X71" s="19"/>
      <c r="Y71" s="19"/>
      <c r="Z71" s="19"/>
    </row>
    <row r="72">
      <c r="A72" s="19"/>
      <c r="B72" s="19"/>
      <c r="C72" s="18" t="s">
        <v>199</v>
      </c>
      <c r="D72" s="19"/>
      <c r="E72" s="19"/>
      <c r="G72" s="19"/>
      <c r="H72" s="19"/>
      <c r="I72" s="19"/>
      <c r="J72" s="19"/>
      <c r="K72" s="19"/>
      <c r="L72" s="19"/>
      <c r="M72" s="19"/>
      <c r="N72" s="19"/>
      <c r="O72" s="19"/>
      <c r="P72" s="19"/>
      <c r="Q72" s="19"/>
      <c r="R72" s="19"/>
      <c r="S72" s="19"/>
      <c r="T72" s="19"/>
      <c r="U72" s="19"/>
      <c r="V72" s="19"/>
      <c r="W72" s="19"/>
      <c r="X72" s="19"/>
      <c r="Y72" s="19"/>
      <c r="Z72" s="19"/>
    </row>
    <row r="73">
      <c r="A73" s="19"/>
      <c r="B73" s="19"/>
      <c r="C73" s="18" t="s">
        <v>260</v>
      </c>
      <c r="D73" s="19"/>
      <c r="E73" s="19"/>
      <c r="G73" s="19"/>
      <c r="H73" s="19"/>
      <c r="I73" s="19"/>
      <c r="J73" s="19"/>
      <c r="K73" s="19"/>
      <c r="L73" s="19"/>
      <c r="M73" s="19"/>
      <c r="N73" s="19"/>
      <c r="O73" s="19"/>
      <c r="P73" s="19"/>
      <c r="Q73" s="19"/>
      <c r="R73" s="19"/>
      <c r="S73" s="19"/>
      <c r="T73" s="19"/>
      <c r="U73" s="19"/>
      <c r="V73" s="19"/>
      <c r="W73" s="19"/>
      <c r="X73" s="19"/>
      <c r="Y73" s="19"/>
      <c r="Z73" s="19"/>
    </row>
    <row r="74">
      <c r="A74" s="19"/>
      <c r="B74" s="19"/>
      <c r="C74" s="18" t="s">
        <v>98</v>
      </c>
      <c r="D74" s="19"/>
      <c r="E74" s="19"/>
      <c r="G74" s="19"/>
      <c r="H74" s="19"/>
      <c r="I74" s="19"/>
      <c r="J74" s="19"/>
      <c r="K74" s="19"/>
      <c r="L74" s="19"/>
      <c r="M74" s="19"/>
      <c r="N74" s="19"/>
      <c r="O74" s="19"/>
      <c r="P74" s="19"/>
      <c r="Q74" s="19"/>
      <c r="R74" s="19"/>
      <c r="S74" s="19"/>
      <c r="T74" s="19"/>
      <c r="U74" s="19"/>
      <c r="V74" s="19"/>
      <c r="W74" s="19"/>
      <c r="X74" s="19"/>
      <c r="Y74" s="19"/>
      <c r="Z74" s="19"/>
    </row>
    <row r="75">
      <c r="A75" s="19"/>
      <c r="B75" s="19"/>
      <c r="C75" s="18" t="s">
        <v>424</v>
      </c>
      <c r="D75" s="19"/>
      <c r="E75" s="19"/>
      <c r="G75" s="19"/>
      <c r="H75" s="19"/>
      <c r="I75" s="19"/>
      <c r="J75" s="19"/>
      <c r="K75" s="19"/>
      <c r="L75" s="19"/>
      <c r="M75" s="19"/>
      <c r="N75" s="19"/>
      <c r="O75" s="19"/>
      <c r="P75" s="19"/>
      <c r="Q75" s="19"/>
      <c r="R75" s="19"/>
      <c r="S75" s="19"/>
      <c r="T75" s="19"/>
      <c r="U75" s="19"/>
      <c r="V75" s="19"/>
      <c r="W75" s="19"/>
      <c r="X75" s="19"/>
      <c r="Y75" s="19"/>
      <c r="Z75" s="19"/>
    </row>
    <row r="76">
      <c r="A76" s="19"/>
      <c r="B76" s="19"/>
      <c r="C76" s="18" t="s">
        <v>430</v>
      </c>
      <c r="D76" s="19"/>
      <c r="E76" s="19"/>
      <c r="G76" s="19"/>
      <c r="H76" s="19"/>
      <c r="I76" s="19"/>
      <c r="J76" s="19"/>
      <c r="K76" s="19"/>
      <c r="L76" s="19"/>
      <c r="M76" s="19"/>
      <c r="N76" s="19"/>
      <c r="O76" s="19"/>
      <c r="P76" s="19"/>
      <c r="Q76" s="19"/>
      <c r="R76" s="19"/>
      <c r="S76" s="19"/>
      <c r="T76" s="19"/>
      <c r="U76" s="19"/>
      <c r="V76" s="19"/>
      <c r="W76" s="19"/>
      <c r="X76" s="19"/>
      <c r="Y76" s="19"/>
      <c r="Z76" s="19"/>
    </row>
    <row r="77">
      <c r="A77" s="19"/>
      <c r="B77" s="19"/>
      <c r="C77" s="18" t="s">
        <v>412</v>
      </c>
      <c r="D77" s="19"/>
      <c r="E77" s="19"/>
      <c r="G77" s="19"/>
      <c r="H77" s="19"/>
      <c r="I77" s="19"/>
      <c r="J77" s="19"/>
      <c r="K77" s="19"/>
      <c r="L77" s="19"/>
      <c r="M77" s="19"/>
      <c r="N77" s="19"/>
      <c r="O77" s="19"/>
      <c r="P77" s="19"/>
      <c r="Q77" s="19"/>
      <c r="R77" s="19"/>
      <c r="S77" s="19"/>
      <c r="T77" s="19"/>
      <c r="U77" s="19"/>
      <c r="V77" s="19"/>
      <c r="W77" s="19"/>
      <c r="X77" s="19"/>
      <c r="Y77" s="19"/>
      <c r="Z77" s="19"/>
    </row>
    <row r="78">
      <c r="A78" s="19"/>
      <c r="B78" s="19"/>
      <c r="C78" s="18" t="s">
        <v>427</v>
      </c>
      <c r="D78" s="19"/>
      <c r="E78" s="19"/>
      <c r="G78" s="19"/>
      <c r="H78" s="19"/>
      <c r="I78" s="19"/>
      <c r="J78" s="19"/>
      <c r="K78" s="19"/>
      <c r="L78" s="19"/>
      <c r="M78" s="19"/>
      <c r="N78" s="19"/>
      <c r="O78" s="19"/>
      <c r="P78" s="19"/>
      <c r="Q78" s="19"/>
      <c r="R78" s="19"/>
      <c r="S78" s="19"/>
      <c r="T78" s="19"/>
      <c r="U78" s="19"/>
      <c r="V78" s="19"/>
      <c r="W78" s="19"/>
      <c r="X78" s="19"/>
      <c r="Y78" s="19"/>
      <c r="Z78" s="19"/>
    </row>
    <row r="79">
      <c r="A79" s="19"/>
      <c r="B79" s="19"/>
      <c r="C79" s="18" t="s">
        <v>273</v>
      </c>
      <c r="D79" s="19"/>
      <c r="E79" s="19"/>
      <c r="G79" s="19"/>
      <c r="H79" s="19"/>
      <c r="I79" s="19"/>
      <c r="J79" s="19"/>
      <c r="K79" s="19"/>
      <c r="L79" s="19"/>
      <c r="M79" s="19"/>
      <c r="N79" s="19"/>
      <c r="O79" s="19"/>
      <c r="P79" s="19"/>
      <c r="Q79" s="19"/>
      <c r="R79" s="19"/>
      <c r="S79" s="19"/>
      <c r="T79" s="19"/>
      <c r="U79" s="19"/>
      <c r="V79" s="19"/>
      <c r="W79" s="19"/>
      <c r="X79" s="19"/>
      <c r="Y79" s="19"/>
      <c r="Z79" s="19"/>
    </row>
    <row r="80">
      <c r="A80" s="19"/>
      <c r="B80" s="19"/>
      <c r="C80" s="18" t="s">
        <v>304</v>
      </c>
      <c r="D80" s="19"/>
      <c r="E80" s="19"/>
      <c r="G80" s="19"/>
      <c r="H80" s="19"/>
      <c r="I80" s="19"/>
      <c r="J80" s="19"/>
      <c r="K80" s="19"/>
      <c r="L80" s="19"/>
      <c r="M80" s="19"/>
      <c r="N80" s="19"/>
      <c r="O80" s="19"/>
      <c r="P80" s="19"/>
      <c r="Q80" s="19"/>
      <c r="R80" s="19"/>
      <c r="S80" s="19"/>
      <c r="T80" s="19"/>
      <c r="U80" s="19"/>
      <c r="V80" s="19"/>
      <c r="W80" s="19"/>
      <c r="X80" s="19"/>
      <c r="Y80" s="19"/>
      <c r="Z80" s="19"/>
    </row>
    <row r="81">
      <c r="A81" s="19"/>
      <c r="B81" s="19"/>
      <c r="C81" s="18" t="s">
        <v>432</v>
      </c>
      <c r="D81" s="19"/>
      <c r="E81" s="19"/>
      <c r="G81" s="19"/>
      <c r="H81" s="19"/>
      <c r="I81" s="19"/>
      <c r="J81" s="19"/>
      <c r="K81" s="19"/>
      <c r="L81" s="19"/>
      <c r="M81" s="19"/>
      <c r="N81" s="19"/>
      <c r="O81" s="19"/>
      <c r="P81" s="19"/>
      <c r="Q81" s="19"/>
      <c r="R81" s="19"/>
      <c r="S81" s="19"/>
      <c r="T81" s="19"/>
      <c r="U81" s="19"/>
      <c r="V81" s="19"/>
      <c r="W81" s="19"/>
      <c r="X81" s="19"/>
      <c r="Y81" s="19"/>
      <c r="Z81" s="19"/>
    </row>
    <row r="82">
      <c r="A82" s="19"/>
      <c r="B82" s="19"/>
      <c r="C82" s="18" t="s">
        <v>421</v>
      </c>
      <c r="D82" s="19"/>
      <c r="E82" s="19"/>
      <c r="G82" s="19"/>
      <c r="H82" s="19"/>
      <c r="I82" s="19"/>
      <c r="J82" s="19"/>
      <c r="K82" s="19"/>
      <c r="L82" s="19"/>
      <c r="M82" s="19"/>
      <c r="N82" s="19"/>
      <c r="O82" s="19"/>
      <c r="P82" s="19"/>
      <c r="Q82" s="19"/>
      <c r="R82" s="19"/>
      <c r="S82" s="19"/>
      <c r="T82" s="19"/>
      <c r="U82" s="19"/>
      <c r="V82" s="19"/>
      <c r="W82" s="19"/>
      <c r="X82" s="19"/>
      <c r="Y82" s="19"/>
      <c r="Z82" s="19"/>
    </row>
    <row r="83">
      <c r="A83" s="19"/>
      <c r="B83" s="19"/>
      <c r="C83" s="18" t="s">
        <v>332</v>
      </c>
      <c r="D83" s="19"/>
      <c r="E83" s="19"/>
      <c r="G83" s="19"/>
      <c r="H83" s="19"/>
      <c r="I83" s="19"/>
      <c r="J83" s="19"/>
      <c r="K83" s="19"/>
      <c r="L83" s="19"/>
      <c r="M83" s="19"/>
      <c r="N83" s="19"/>
      <c r="O83" s="19"/>
      <c r="P83" s="19"/>
      <c r="Q83" s="19"/>
      <c r="R83" s="19"/>
      <c r="S83" s="19"/>
      <c r="T83" s="19"/>
      <c r="U83" s="19"/>
      <c r="V83" s="19"/>
      <c r="W83" s="19"/>
      <c r="X83" s="19"/>
      <c r="Y83" s="19"/>
      <c r="Z83" s="19"/>
    </row>
    <row r="84">
      <c r="A84" s="19"/>
      <c r="B84" s="19"/>
      <c r="C84" s="18" t="s">
        <v>435</v>
      </c>
      <c r="D84" s="19"/>
      <c r="E84" s="19"/>
      <c r="G84" s="19"/>
      <c r="H84" s="19"/>
      <c r="I84" s="19"/>
      <c r="J84" s="19"/>
      <c r="K84" s="19"/>
      <c r="L84" s="19"/>
      <c r="M84" s="19"/>
      <c r="N84" s="19"/>
      <c r="O84" s="19"/>
      <c r="P84" s="19"/>
      <c r="Q84" s="19"/>
      <c r="R84" s="19"/>
      <c r="S84" s="19"/>
      <c r="T84" s="19"/>
      <c r="U84" s="19"/>
      <c r="V84" s="19"/>
      <c r="W84" s="19"/>
      <c r="X84" s="19"/>
      <c r="Y84" s="19"/>
      <c r="Z84" s="19"/>
    </row>
    <row r="85">
      <c r="A85" s="19"/>
      <c r="B85" s="19"/>
      <c r="C85" s="18" t="s">
        <v>420</v>
      </c>
      <c r="D85" s="19"/>
      <c r="E85" s="19"/>
      <c r="G85" s="19"/>
      <c r="H85" s="19"/>
      <c r="I85" s="19"/>
      <c r="J85" s="19"/>
      <c r="K85" s="19"/>
      <c r="L85" s="19"/>
      <c r="M85" s="19"/>
      <c r="N85" s="19"/>
      <c r="O85" s="19"/>
      <c r="P85" s="19"/>
      <c r="Q85" s="19"/>
      <c r="R85" s="19"/>
      <c r="S85" s="19"/>
      <c r="T85" s="19"/>
      <c r="U85" s="19"/>
      <c r="V85" s="19"/>
      <c r="W85" s="19"/>
      <c r="X85" s="19"/>
      <c r="Y85" s="19"/>
      <c r="Z85" s="19"/>
    </row>
    <row r="86">
      <c r="A86" s="19"/>
      <c r="B86" s="19"/>
      <c r="C86" s="18" t="s">
        <v>425</v>
      </c>
      <c r="D86" s="19"/>
      <c r="E86" s="19"/>
      <c r="G86" s="19"/>
      <c r="H86" s="19"/>
      <c r="I86" s="19"/>
      <c r="J86" s="19"/>
      <c r="K86" s="19"/>
      <c r="L86" s="19"/>
      <c r="M86" s="19"/>
      <c r="N86" s="19"/>
      <c r="O86" s="19"/>
      <c r="P86" s="19"/>
      <c r="Q86" s="19"/>
      <c r="R86" s="19"/>
      <c r="S86" s="19"/>
      <c r="T86" s="19"/>
      <c r="U86" s="19"/>
      <c r="V86" s="19"/>
      <c r="W86" s="19"/>
      <c r="X86" s="19"/>
      <c r="Y86" s="19"/>
      <c r="Z86" s="19"/>
    </row>
    <row r="87">
      <c r="A87" s="19"/>
      <c r="B87" s="19"/>
      <c r="C87" s="18" t="s">
        <v>422</v>
      </c>
      <c r="D87" s="19"/>
      <c r="E87" s="19"/>
      <c r="G87" s="19"/>
      <c r="H87" s="19"/>
      <c r="I87" s="19"/>
      <c r="J87" s="19"/>
      <c r="K87" s="19"/>
      <c r="L87" s="19"/>
      <c r="M87" s="19"/>
      <c r="N87" s="19"/>
      <c r="O87" s="19"/>
      <c r="P87" s="19"/>
      <c r="Q87" s="19"/>
      <c r="R87" s="19"/>
      <c r="S87" s="19"/>
      <c r="T87" s="19"/>
      <c r="U87" s="19"/>
      <c r="V87" s="19"/>
      <c r="W87" s="19"/>
      <c r="X87" s="19"/>
      <c r="Y87" s="19"/>
      <c r="Z87" s="19"/>
    </row>
    <row r="88">
      <c r="A88" s="19"/>
      <c r="B88" s="19"/>
      <c r="C88" s="18" t="s">
        <v>440</v>
      </c>
      <c r="D88" s="19"/>
      <c r="E88" s="19"/>
      <c r="G88" s="19"/>
      <c r="H88" s="19"/>
      <c r="I88" s="19"/>
      <c r="J88" s="19"/>
      <c r="K88" s="19"/>
      <c r="L88" s="19"/>
      <c r="M88" s="19"/>
      <c r="N88" s="19"/>
      <c r="O88" s="19"/>
      <c r="P88" s="19"/>
      <c r="Q88" s="19"/>
      <c r="R88" s="19"/>
      <c r="S88" s="19"/>
      <c r="T88" s="19"/>
      <c r="U88" s="19"/>
      <c r="V88" s="19"/>
      <c r="W88" s="19"/>
      <c r="X88" s="19"/>
      <c r="Y88" s="19"/>
      <c r="Z88" s="19"/>
    </row>
    <row r="89">
      <c r="A89" s="19"/>
      <c r="B89" s="19"/>
      <c r="C89" s="20" t="s">
        <v>426</v>
      </c>
      <c r="D89" s="19"/>
      <c r="E89" s="19"/>
      <c r="G89" s="19"/>
      <c r="H89" s="19"/>
      <c r="I89" s="19"/>
      <c r="J89" s="19"/>
      <c r="K89" s="19"/>
      <c r="L89" s="19"/>
      <c r="M89" s="19"/>
      <c r="N89" s="19"/>
      <c r="O89" s="19"/>
      <c r="P89" s="19"/>
      <c r="Q89" s="19"/>
      <c r="R89" s="19"/>
      <c r="S89" s="19"/>
      <c r="T89" s="19"/>
      <c r="U89" s="19"/>
      <c r="V89" s="19"/>
      <c r="W89" s="19"/>
      <c r="X89" s="19"/>
      <c r="Y89" s="19"/>
      <c r="Z89" s="19"/>
    </row>
    <row r="90">
      <c r="A90" s="19"/>
      <c r="B90" s="19"/>
      <c r="C90" s="18" t="s">
        <v>84</v>
      </c>
      <c r="D90" s="19"/>
      <c r="E90" s="19"/>
      <c r="G90" s="19"/>
      <c r="H90" s="19"/>
      <c r="I90" s="19"/>
      <c r="J90" s="19"/>
      <c r="K90" s="19"/>
      <c r="L90" s="19"/>
      <c r="M90" s="19"/>
      <c r="N90" s="19"/>
      <c r="O90" s="19"/>
      <c r="P90" s="19"/>
      <c r="Q90" s="19"/>
      <c r="R90" s="19"/>
      <c r="S90" s="19"/>
      <c r="T90" s="19"/>
      <c r="U90" s="19"/>
      <c r="V90" s="19"/>
      <c r="W90" s="19"/>
      <c r="X90" s="19"/>
      <c r="Y90" s="19"/>
      <c r="Z90" s="19"/>
    </row>
    <row r="91">
      <c r="A91" s="19"/>
      <c r="B91" s="19"/>
      <c r="C91" s="18" t="s">
        <v>60</v>
      </c>
      <c r="D91" s="19"/>
      <c r="E91" s="19"/>
      <c r="G91" s="19"/>
      <c r="H91" s="19"/>
      <c r="I91" s="19"/>
      <c r="J91" s="19"/>
      <c r="K91" s="19"/>
      <c r="L91" s="19"/>
      <c r="M91" s="19"/>
      <c r="N91" s="19"/>
      <c r="O91" s="19"/>
      <c r="P91" s="19"/>
      <c r="Q91" s="19"/>
      <c r="R91" s="19"/>
      <c r="S91" s="19"/>
      <c r="T91" s="19"/>
      <c r="U91" s="19"/>
      <c r="V91" s="19"/>
      <c r="W91" s="19"/>
      <c r="X91" s="19"/>
      <c r="Y91" s="19"/>
      <c r="Z91" s="19"/>
    </row>
    <row r="92">
      <c r="A92" s="19"/>
      <c r="B92" s="19"/>
      <c r="C92" s="18" t="s">
        <v>436</v>
      </c>
      <c r="D92" s="19"/>
      <c r="E92" s="19"/>
      <c r="G92" s="19"/>
      <c r="H92" s="19"/>
      <c r="I92" s="19"/>
      <c r="J92" s="19"/>
      <c r="K92" s="19"/>
      <c r="L92" s="19"/>
      <c r="M92" s="19"/>
      <c r="N92" s="19"/>
      <c r="O92" s="19"/>
      <c r="P92" s="19"/>
      <c r="Q92" s="19"/>
      <c r="R92" s="19"/>
      <c r="S92" s="19"/>
      <c r="T92" s="19"/>
      <c r="U92" s="19"/>
      <c r="V92" s="19"/>
      <c r="W92" s="19"/>
      <c r="X92" s="19"/>
      <c r="Y92" s="19"/>
      <c r="Z92" s="19"/>
    </row>
    <row r="93">
      <c r="A93" s="19"/>
      <c r="B93" s="19"/>
      <c r="C93" s="18" t="s">
        <v>180</v>
      </c>
      <c r="D93" s="19"/>
      <c r="E93" s="19"/>
      <c r="G93" s="19"/>
      <c r="H93" s="19"/>
      <c r="I93" s="19"/>
      <c r="J93" s="19"/>
      <c r="K93" s="19"/>
      <c r="L93" s="19"/>
      <c r="M93" s="19"/>
      <c r="N93" s="19"/>
      <c r="O93" s="19"/>
      <c r="P93" s="19"/>
      <c r="Q93" s="19"/>
      <c r="R93" s="19"/>
      <c r="S93" s="19"/>
      <c r="T93" s="19"/>
      <c r="U93" s="19"/>
      <c r="V93" s="19"/>
      <c r="W93" s="19"/>
      <c r="X93" s="19"/>
      <c r="Y93" s="19"/>
      <c r="Z93" s="19"/>
    </row>
    <row r="94">
      <c r="A94" s="19"/>
      <c r="B94" s="19"/>
      <c r="C94" s="18" t="s">
        <v>104</v>
      </c>
      <c r="D94" s="19"/>
      <c r="E94" s="19"/>
      <c r="G94" s="19"/>
      <c r="H94" s="19"/>
      <c r="I94" s="19"/>
      <c r="J94" s="19"/>
      <c r="K94" s="19"/>
      <c r="L94" s="19"/>
      <c r="M94" s="19"/>
      <c r="N94" s="19"/>
      <c r="O94" s="19"/>
      <c r="P94" s="19"/>
      <c r="Q94" s="19"/>
      <c r="R94" s="19"/>
      <c r="S94" s="19"/>
      <c r="T94" s="19"/>
      <c r="U94" s="19"/>
      <c r="V94" s="19"/>
      <c r="W94" s="19"/>
      <c r="X94" s="19"/>
      <c r="Y94" s="19"/>
      <c r="Z94" s="19"/>
    </row>
    <row r="95">
      <c r="A95" s="19"/>
      <c r="B95" s="19"/>
      <c r="C95" s="18" t="s">
        <v>423</v>
      </c>
      <c r="D95" s="19"/>
      <c r="E95" s="19"/>
      <c r="G95" s="19"/>
      <c r="H95" s="19"/>
      <c r="I95" s="19"/>
      <c r="J95" s="19"/>
      <c r="K95" s="19"/>
      <c r="L95" s="19"/>
      <c r="M95" s="19"/>
      <c r="N95" s="19"/>
      <c r="O95" s="19"/>
      <c r="P95" s="19"/>
      <c r="Q95" s="19"/>
      <c r="R95" s="19"/>
      <c r="S95" s="19"/>
      <c r="T95" s="19"/>
      <c r="U95" s="19"/>
      <c r="V95" s="19"/>
      <c r="W95" s="19"/>
      <c r="X95" s="19"/>
      <c r="Y95" s="19"/>
      <c r="Z95" s="19"/>
    </row>
    <row r="96">
      <c r="A96" s="19"/>
      <c r="B96" s="19"/>
      <c r="C96" s="18" t="s">
        <v>437</v>
      </c>
      <c r="D96" s="19"/>
      <c r="E96" s="19"/>
      <c r="G96" s="19"/>
      <c r="H96" s="19"/>
      <c r="I96" s="19"/>
      <c r="J96" s="19"/>
      <c r="K96" s="19"/>
      <c r="L96" s="19"/>
      <c r="M96" s="19"/>
      <c r="N96" s="19"/>
      <c r="O96" s="19"/>
      <c r="P96" s="19"/>
      <c r="Q96" s="19"/>
      <c r="R96" s="19"/>
      <c r="S96" s="19"/>
      <c r="T96" s="19"/>
      <c r="U96" s="19"/>
      <c r="V96" s="19"/>
      <c r="W96" s="19"/>
      <c r="X96" s="19"/>
      <c r="Y96" s="19"/>
      <c r="Z96" s="19"/>
    </row>
    <row r="97">
      <c r="A97" s="19"/>
      <c r="B97" s="19"/>
      <c r="C97" s="18" t="s">
        <v>433</v>
      </c>
      <c r="D97" s="19"/>
      <c r="E97" s="19"/>
      <c r="G97" s="19"/>
      <c r="H97" s="19"/>
      <c r="I97" s="19"/>
      <c r="J97" s="19"/>
      <c r="K97" s="19"/>
      <c r="L97" s="19"/>
      <c r="M97" s="19"/>
      <c r="N97" s="19"/>
      <c r="O97" s="19"/>
      <c r="P97" s="19"/>
      <c r="Q97" s="19"/>
      <c r="R97" s="19"/>
      <c r="S97" s="19"/>
      <c r="T97" s="19"/>
      <c r="U97" s="19"/>
      <c r="V97" s="19"/>
      <c r="W97" s="19"/>
      <c r="X97" s="19"/>
      <c r="Y97" s="19"/>
      <c r="Z97" s="19"/>
    </row>
    <row r="98">
      <c r="A98" s="19"/>
      <c r="B98" s="19"/>
      <c r="C98" s="18" t="s">
        <v>434</v>
      </c>
      <c r="D98" s="19"/>
      <c r="E98" s="19"/>
      <c r="G98" s="19"/>
      <c r="H98" s="19"/>
      <c r="I98" s="19"/>
      <c r="J98" s="19"/>
      <c r="K98" s="19"/>
      <c r="L98" s="19"/>
      <c r="M98" s="19"/>
      <c r="N98" s="19"/>
      <c r="O98" s="19"/>
      <c r="P98" s="19"/>
      <c r="Q98" s="19"/>
      <c r="R98" s="19"/>
      <c r="S98" s="19"/>
      <c r="T98" s="19"/>
      <c r="U98" s="19"/>
      <c r="V98" s="19"/>
      <c r="W98" s="19"/>
      <c r="X98" s="19"/>
      <c r="Y98" s="19"/>
      <c r="Z98" s="19"/>
    </row>
    <row r="99">
      <c r="A99" s="19"/>
      <c r="B99" s="19"/>
      <c r="C99" s="18" t="s">
        <v>174</v>
      </c>
      <c r="D99" s="19"/>
      <c r="E99" s="19"/>
      <c r="G99" s="19"/>
      <c r="H99" s="19"/>
      <c r="I99" s="19"/>
      <c r="J99" s="19"/>
      <c r="K99" s="19"/>
      <c r="L99" s="19"/>
      <c r="M99" s="19"/>
      <c r="N99" s="19"/>
      <c r="O99" s="19"/>
      <c r="P99" s="19"/>
      <c r="Q99" s="19"/>
      <c r="R99" s="19"/>
      <c r="S99" s="19"/>
      <c r="T99" s="19"/>
      <c r="U99" s="19"/>
      <c r="V99" s="19"/>
      <c r="W99" s="19"/>
      <c r="X99" s="19"/>
      <c r="Y99" s="19"/>
      <c r="Z99" s="19"/>
    </row>
    <row r="100">
      <c r="A100" s="19"/>
      <c r="B100" s="19"/>
      <c r="C100" s="18" t="s">
        <v>91</v>
      </c>
      <c r="D100" s="19"/>
      <c r="E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D101" s="19"/>
      <c r="E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8"/>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8"/>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8"/>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8"/>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8"/>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8"/>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8"/>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20"/>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20"/>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8"/>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8"/>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8"/>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8"/>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8"/>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8"/>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8"/>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8"/>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8"/>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8"/>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8"/>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8"/>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8"/>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8"/>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8"/>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8"/>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8"/>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8"/>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8"/>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8"/>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sheetData>
  <drawing r:id="rId1"/>
</worksheet>
</file>