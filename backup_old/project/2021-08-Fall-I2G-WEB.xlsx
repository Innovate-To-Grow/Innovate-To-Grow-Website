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01-Fall-I2G-WEB" sheetId="1" r:id="rId5"/>
    <sheet state="visible" name="2021-01-Fall-I2G-STUDENTS" sheetId="2" r:id="rId6"/>
    <sheet state="visible" name="teams students list" sheetId="3" r:id="rId7"/>
    <sheet state="visible" name="student names test" sheetId="4" r:id="rId8"/>
    <sheet state="visible" name="PARTNERS + SPONSORS" sheetId="5" r:id="rId9"/>
  </sheets>
  <definedNames/>
  <calcPr/>
</workbook>
</file>

<file path=xl/sharedStrings.xml><?xml version="1.0" encoding="utf-8"?>
<sst xmlns="http://schemas.openxmlformats.org/spreadsheetml/2006/main" count="1950" uniqueCount="957">
  <si>
    <t>Track</t>
  </si>
  <si>
    <t>Order</t>
  </si>
  <si>
    <t>Year-Semester</t>
  </si>
  <si>
    <t>Class</t>
  </si>
  <si>
    <t>Team#</t>
  </si>
  <si>
    <t>Team Name</t>
  </si>
  <si>
    <t>Project Title</t>
  </si>
  <si>
    <t>Organization</t>
  </si>
  <si>
    <t>Industry</t>
  </si>
  <si>
    <t>Abstract</t>
  </si>
  <si>
    <t>Student Names</t>
  </si>
  <si>
    <t>Name:  Title</t>
  </si>
  <si>
    <t>2021-08-Fall-CAP</t>
  </si>
  <si>
    <t>CAP</t>
  </si>
  <si>
    <t>CAP01</t>
  </si>
  <si>
    <t>Team Holography</t>
  </si>
  <si>
    <t>Low-Cost High-Resolution Digital In-Line Holographic Microscope (DIHM)</t>
  </si>
  <si>
    <t>IBM</t>
  </si>
  <si>
    <t>BioTech</t>
  </si>
  <si>
    <t>The team worked with IBM Research Center in San Jose which is part of the Center of Cellular Construction. The problem is to take a digital in-line holographic microscope and create a waterproof shell to enclose it so that it can be submerged underwater to detect, identify, and capture images and videos of free-floating plankton. Plankton are being used because they are great indicators of ecological change. The original design of the microscope was altered to reduce the size of the water channel between the camera and the laser diode, to taper the bottom of the shell cap so the PVC pipe would fit better, and to make the design of the shell thicker so it would be more resilient to pressure and water. The material used to print the shell encapsulating the microscope components is a 3D printer filament called ABS (Acrylonitrile Butadiene Styrene). The main microscope components include a Raspberry pi zero, Raspberry pi zero camera, a laser diode, and a USB cable. One of the constraints was to keep the system cost-effective as it is a goal to mass produce the microscopes to be used for research.</t>
  </si>
  <si>
    <t>Alexander Nguyen, Emmanuel Egun, Jacob Espinosa, Mariella Quevada</t>
  </si>
  <si>
    <t>CAP02</t>
  </si>
  <si>
    <t>The GO2 Cage</t>
  </si>
  <si>
    <t>Small Animal Oxygen Cage</t>
  </si>
  <si>
    <t>Klingborg Enterprises</t>
  </si>
  <si>
    <t>Health Care</t>
  </si>
  <si>
    <t>Like humans, many animals develop respiratory issues throughout their life. For animals, it may be more difficult to find solutions to increase their oxygen intake. Since creating a respiratory mask that will be universal for all animals is close to impossible, Dr. Klingborg’s idea is to focus on the idea of an oxygen environment. The need for an oxygen solution is essential for all veterinary clinics, but the current solution is subpar or extremely expensive. This project is a modular door that will attach to various existing cages and will supply oxygen from an oxygen concentrator on the side cart. The design is not only able to supply oxygen but will also filter out carbon dioxide while controlling temperature and humidity as needed. This project will improve any veterinarian's experience as it simplifies all of the complexities such as replacing the existing door, oxygen tank refills and even mobility of the system.</t>
  </si>
  <si>
    <t>Anthony Alfaro, Austin Dahlin, Eberardo Camorlinga-Ruiz, Son Tran</t>
  </si>
  <si>
    <t>CAP03</t>
  </si>
  <si>
    <t>Oak Removal Team</t>
  </si>
  <si>
    <t>Oak Removal from Winery Tanks</t>
  </si>
  <si>
    <t>E&amp;J Gallo Winery</t>
  </si>
  <si>
    <t>Food Processing</t>
  </si>
  <si>
    <t>E &amp; J Gallo has soaked bags in their wine tanks that need to be removed through a small tank door. The main objectives of an effective design are to make a system that spends less time in the oak removal process, reduces workers' time in the tank, and improves the ergonomics.  There were many safety and design constraints that influenced our ideas, but the team decided to use a winch and tarp system to drag bags across the tank floor. A winch, connected to a gondola, goes out, up to 40 feet, to a loaded tarp inside the tank. The team developed this idea into a working protype that has been tested on site with fruitful resuls.  The team hopes to push for this protoype to be product-tested, potentially improved and implemented.</t>
  </si>
  <si>
    <t>Jose Gomez, Josef Hand, Kevin Aguirre, Ricardo Garcia Limon</t>
  </si>
  <si>
    <t>CAP04</t>
  </si>
  <si>
    <t>A.B.S.S.</t>
  </si>
  <si>
    <t>Air Rescue Basket Stabilizer Phase 2</t>
  </si>
  <si>
    <t>The Pi Shop</t>
  </si>
  <si>
    <t>Transportation</t>
  </si>
  <si>
    <t>During air rescue missions, operators use a litter basket attached to a cable hoist to airlift medical patients into a helicopter for transportation to a hospital. As the basket is lifted up, it can get caught in the turbulent air created by the helicopter’s propellers, otherwise known as rotor wash. Because this action can cause trauma and fatal injuries to the patient, it was brought to the attention of our client, The Pi Shop. The Pi Shop is a product incubator located in Fresno that partners with Blue Dolphin Design and Engineering to help young entrepreneurs build businesses around their ideas that solve solutions to problems such as the one presented by the air rescue operations. Our client tasked us with finding a solution that either prevents or minimizes the spin of the basket. The resulting design from our research and development was the Air Basket Stabilizing Sail prototype, otherwise known as A.B.S.S. It is a controlled sail that attaches onto the helicopter’s rescue basket hoist cable above the basket and can be controlled by an operator. To reduce the spin, the position of the sail is modified to utilize the rotor wash and create a rotating force counter to that created by the rotor wash.</t>
  </si>
  <si>
    <t>Daniel Cooney, Daniel Thomas, Jasmine Heer, Luz Mascorro Ramirez, Thomas Anderson</t>
  </si>
  <si>
    <t>CAP05</t>
  </si>
  <si>
    <t>Tubular Almonds</t>
  </si>
  <si>
    <t>Tubular Drag Conveyor Cleaning System</t>
  </si>
  <si>
    <t>Blue Diamond Growers</t>
  </si>
  <si>
    <t>Blue Diamond Growers, who primarily process almonds, use Cablevey systems to transfer almonds within their facility. During this process, friction and excess almond particles create a black residue that is difficult to remove from the inner walls and pucks of this conveyor. The objective was to create an in-line mechanical system that did not introduce water to their transfer process. Our team created a two-step cleaning process that will use a circular air ring to remove residue from the pucks and a Pipe Pig attachment to scrape the remaining residue from the inner walls of the Cablevey system.</t>
  </si>
  <si>
    <t>Cindy Cervantes, Juan Garcia, Mary Baltazar, Quinncie Reider</t>
  </si>
  <si>
    <t>CAP06</t>
  </si>
  <si>
    <t>Team 6</t>
  </si>
  <si>
    <t>Design Gripper for 3 Axis Robot in Agriculture</t>
  </si>
  <si>
    <t>Milano Technical Group</t>
  </si>
  <si>
    <t>Agriculture</t>
  </si>
  <si>
    <t>Currently, there is a significant labor shortage that prevents the quick packaging needed to ensure retailers receive fresh and quality fruit. Milano Technical Group seeks to resolve this issue by automating the process of placing packages of stoned fruit inside boxes. They have developed a tri-axial robotic arm to address the labor shortage issue and prepare the shipments with the speed required. However, they lacked the necessary attachment to properly grasp the bags of stoned fruit. The mission of this project is to design and build an attachment for the robotic arm that is capable of grasping the bags of fruit. Therefore, we have developed a robotic clamping device that will tackle the problem. The device enables the tri-axial system to package the bags of stoned fruit inside boxes for shipment.</t>
  </si>
  <si>
    <t>Alfonso Villafuerte, Renato Mendoza Chavez, Ranulfo Tinta-Hernandez Jr, Shangkun Yang</t>
  </si>
  <si>
    <t>CAP07</t>
  </si>
  <si>
    <t>The Ream Team</t>
  </si>
  <si>
    <t>Chili Reaming</t>
  </si>
  <si>
    <t>Sensient Natural Ingredients</t>
  </si>
  <si>
    <t>Sensient Natural Ingredients provides farm-to-table ingredients and solutions that cultivate natural ingredients to bring flavor, texture, color and nutrition to food products while keeping labels clean and simple. Currently, they are experiencing several problems with their chili reaming process. The drum would spin, the blade would have trouble reaching the last two inches of product, and approximately half a pound of product would be lost during this process. CAP 07 team designed a new blade that will help reach the product and changed the material used for the friction padding to prevent the drum from spinning. To tackle the product loss, the team designed a cone that would be attached to the system that will prevent the product from spilling over the drum.</t>
  </si>
  <si>
    <t>Arturo Juarez, Diego Banuelos, Juan Amezcua Ramirez, Juan Guzman</t>
  </si>
  <si>
    <t>CAP08</t>
  </si>
  <si>
    <t>Auto Bots</t>
  </si>
  <si>
    <t>Auto Furrow Alert</t>
  </si>
  <si>
    <t>Merced College Ag Operations</t>
  </si>
  <si>
    <t>Merced Community College has a 100-acre farm that uses furrow irrigation to water its pumpkins and tomatoes. Furrow irrigation is a gravity-based method which requires “blocks/checks” to slow down the flow rate of water. The “blocks/checks” function similarly to a dam, as it pools the water in the furrow until it reaches two holes and flows off into the next sectioned area. The objective of this project was to address the extensive labor required to monitor the “blocks/checks,” during irrigation. Manually monitoring the furrows is an inefficient and costly task. The team designed a sensor network, extending across 1-acre of land, using microcontrollers and radio modules. The sensor network assists irrigators by reporting the water height along the “blocks/checks” in 10 min intervals.</t>
  </si>
  <si>
    <t>Andy Lin, Alexis Prieto, Jose Landeros, Ravinderjit Sidhu</t>
  </si>
  <si>
    <t>CAP09</t>
  </si>
  <si>
    <t>The Seeders</t>
  </si>
  <si>
    <t>Big Seed Placer</t>
  </si>
  <si>
    <t>Merced Community College District has a 100-acre farm that grows a pumpkin patch annually. The farm uses a greenhouse to propagate the seeds and then transplants them using a mechanical transplanter. The farm requires a simpler way to seed trays with less time and labor. The Seeders have developed a vacuum seeder that matches the dimensions of the trays. The seeder will use suction to store the seeds in an organized position where an employee is able to place it above a tray, release the suction, and have the seeds fall into the cells of the tray all at once.</t>
  </si>
  <si>
    <t>Jesus Beatriz, Jose Galvan, Marquise Jefferson, Shushen Chen</t>
  </si>
  <si>
    <t>CAP10</t>
  </si>
  <si>
    <t>Wasted Potential</t>
  </si>
  <si>
    <t>Remote Fertilizer Tank Data Communicator</t>
  </si>
  <si>
    <t>California Ag Solutions</t>
  </si>
  <si>
    <t>California Agricultural Solutions (CAS) has 100 fertilizer tanks of various shapes and capacities, making it difficult to know how much fertilizer solution is remaining within. While some tanks are left out in the field at various locations, the client would waste petrol checking in on their tanks. The potential of parts and tanks being stolen is also a concern, as they are necessary for the company to continue operating. Team 10 designed a device that could help with not only locating their trailers if stolen but also by utilizing a submersible pressure sensor to measure the capacity within the trailers.</t>
  </si>
  <si>
    <t>Anthony Morales, Eddie Santiago, Kelvin Flor, Tiara Armanino Dayrit</t>
  </si>
  <si>
    <t>CAP11</t>
  </si>
  <si>
    <t>BART Safety Indicator</t>
  </si>
  <si>
    <t>Contact Rail Energization Indicator</t>
  </si>
  <si>
    <t>BART</t>
  </si>
  <si>
    <t>The San Francisco BART system runs trains that are propelled by 1000V DC energized contact rail (the "third rail") parallel to the track. Currently, the maintenance team physically probes this rail to confirm its de-energization state before working, and are seeking a redundant method to determine the energization state of the third rail, in order to increase the safety of the maintenance crew.  Our team has designed a supplemental visual system indicator, using a buck converter circuit to step down the voltage extracted from the third rail, and displaying the energization state of the third rail through a LED system.</t>
  </si>
  <si>
    <t>Jacob Hardy, Kovin Aghassi Lelham, Nhan Cao, Victor Nguyen</t>
  </si>
  <si>
    <t>CAP12</t>
  </si>
  <si>
    <t>The Data Loggers</t>
  </si>
  <si>
    <t>Smart Turnout Data Logging</t>
  </si>
  <si>
    <t>Henry Miller Reclamation District</t>
  </si>
  <si>
    <t>Water</t>
  </si>
  <si>
    <t>Henry Miller Reclamation District operates approximately 2,000 gate turnouts over 47,285 acres between Los Banos and Dos Palos in Merced County. These gate turnouts channel water for San Luis Canal Company (SLCC) customers. Currently, water flow measurements are manually logged once or twice per day by canal operators. This method assumes a constant flow rate over the course of 24 hours, which is not true since water level fluctuations and gate height adjustments can occur throughout the day. To address this issue, UC Merced’s Capstone Team 12 designed a system to track water flow measurements more accurately and more consistently. Specifically, this design would log data in intervals of 15 minutes in order to capture changes in gate height and water level fluctuations. This system consists of an upstream pressure transducer, downstream pressure sensor, gate position sensor, and data logger.</t>
  </si>
  <si>
    <t>Brian Ceja, Joseph Webb, Tanner Ragan, Wilson Chuong</t>
  </si>
  <si>
    <t>CAP13</t>
  </si>
  <si>
    <t>Plant Food Distributors</t>
  </si>
  <si>
    <t>Precision Granular Fertilizer Application on Young Almond Trees</t>
  </si>
  <si>
    <t>Gemperle Orchards</t>
  </si>
  <si>
    <t>Gemperle Orchards is an almond farming operation. Currently they apply granular fertilizer by hand. Granular fertilizer allows for a more direct fertilization to the young almond tree and avoids feeding the surrounding weed flora. Our client is in the process of replanting some of their acreage and has tasked our team to design an agricultural implement that can accurately dispense granular fertilizer to the base of young almond trees. The agricultural implement that our team has designed is to be hitched onto our client’s ATV. Through research we found an existing blueberry fertilizing implement and based some subsystems of our design on it. Our biggest contribution to this agricultural implement is our barrel subsystem. The barrel subsystem holds and dispenses fertilizer only when a young almond tree is detected. Our agricultural implement ensures that the client continues to precisely feed their young almond trees while avoiding inefficient use of fertilizer.</t>
  </si>
  <si>
    <t>Daniela Garcia, Ivan Hernandez, Joshua Young, Victoria Mendoza</t>
  </si>
  <si>
    <t>CAP14</t>
  </si>
  <si>
    <t>Augers</t>
  </si>
  <si>
    <t>Shuttle Truck Augur Controllability</t>
  </si>
  <si>
    <t>Flory Industries</t>
  </si>
  <si>
    <t>Flory Industries is an agricultural company that manufactures and sells nut harvesting equipment worldwide. Flory's shuttle truck has intermittent auger controllability issues at low rotational speeds. The objective of this project was to analyze the auger system, simulate the hydraulic circuit on Automation Studio, test different theories to eliminate or fix the augers' performance and provide Flory Industries with possible economically feasible solutions. Over the semester, Team Augers tackled these objectives and identified the fundamental problem in the hydraulic circuit, where at low speeds, the pressure and flow rates were fluctuating. The team recreated the oscillatory behavior in the system using Automation Studio and ran physical tests by varying the relationship between the compensator and proportional valve. As a result, the team suggests implementing a higher rating compensator within the current hydraulic system to allow a higher pressure drop to stabilize the lower speeds of the auger. This is coupled with tuning the proportional valve threshold to remove the remaining low oscillating speeds.</t>
  </si>
  <si>
    <t>Curtis Kremerskotter, Daniel Navarrete, Shruti Chakraborty, Sakawat Thanvir</t>
  </si>
  <si>
    <t>CAP15</t>
  </si>
  <si>
    <t>SCARA Calibration Team</t>
  </si>
  <si>
    <t>Fixed Robot Calibration Method</t>
  </si>
  <si>
    <t>Omron</t>
  </si>
  <si>
    <t>Robots need to have regular calibration in order to fit the industry standard. Working with the company OMRON, the SCARA Calibration Team was assigned to create a new calibration method for OMRON’s SCARA robot line. This calibration system must be able to calibrate the system in 15 minutes or less, produce the exact same results every time, and be able to be used as many times as needed. Through a semester of designing, testing, and organizing, the team was able to develop a calibration system that builds upon its predecessors to become more efficient than other systems by implementing new code to the SCARA robot as well as designing a new calibration rod. The rod calculates the maximum work area of the robot, and verifies based not only on eyesight but also with a precision test where the robot places a rod through a precise hole.</t>
  </si>
  <si>
    <t>Gualberto Hernandez Echeverria, Jahlani Mccrumby, Lizbeth Sanchez, Nicholas Clifford</t>
  </si>
  <si>
    <t>CAP16</t>
  </si>
  <si>
    <t>Reporters</t>
  </si>
  <si>
    <t>Patient Logger Reporting</t>
  </si>
  <si>
    <t>Fresno Institute of Neuroscience</t>
  </si>
  <si>
    <t>The Fresno Institute of Neuroscience provides clinical care, patient diagnosis and evaluations, research, educational and administrative consulting services for patients with neurological illnesses in the California Central Valley. Many of these patients frequently deal with chronic pain and other neurological conditions and note that their symptoms vary. Therefore, it is necessary to create a device that logs patients pain levels along with collecting external factors, in order for physicians to understand external factors influence on their pain. To solve this problem, our team created a small, inexpensive, and user-friendly encapsulation that contains the arduino sensor that will track patient pain, posture, and daily activity. The encapsulation was 3D printed in Stereolithography (SLA) resin material. Working alongside the computer science engineering team, the data from the arduino sensors planted on the patient will be transmitted via Bluetooth System. Patients will be able to log their patient pain levels on the Android Pad which will then filter movements that caused pain. Obtaining the data that marks the movements and external factors that cause patients pain, will allow the physicians to develop a treatment plan that alleviates these external factors.</t>
  </si>
  <si>
    <t>Aurora Rodriguez Teodoro, Diana Cruz Garcia, Ean Camacho-Escobedo, Jennifer Mendez</t>
  </si>
  <si>
    <t>CAP17</t>
  </si>
  <si>
    <t>The Iguanas</t>
  </si>
  <si>
    <t>Extended Bike Seating</t>
  </si>
  <si>
    <t>Sports</t>
  </si>
  <si>
    <t>Bike seats remained the same for over a century, while bikes evolved to support different types of cycling.  When riding a mountain bike downhill or with obstacles, the rider may shift the body behind and lower than the seat, and may hit or catch the rear edge of the seat trying to regain seating position.  The Iguana's designed seat extension concepts to pad and guide back on to the seat.  Finally, the team built a mechanical adjustable attachment that clamps a seat extension to the main seat.  This idea was developed for a possible new startup venture in collaboration with The Pi Shop, a product incubator.</t>
  </si>
  <si>
    <t>Centurion Barron, Emmanuel Abok, Nodebechukwu Paully-Umeh, Zen Unity</t>
  </si>
  <si>
    <t>CAP18</t>
  </si>
  <si>
    <t>Hydrastar</t>
  </si>
  <si>
    <t>Improved Hydraulic Heat Dissipation</t>
  </si>
  <si>
    <t>The Morning Star Company</t>
  </si>
  <si>
    <t>The Morning Star Company is a tomato processing and harvesting firm. Their harvesting season begins in July and ends around the middle to the end of October. The harvesters are being run 22-23 hours a day to maximize the amount of tomatoes harvested during this time period. The only pauses are during shift changes in which harvesters are cleaned and quickly serviced. This continuous workload causes the hydraulic system to generate excess heat throughout the day and eventually causes systematic failure. Once this happens the harvester must be shut down for several hours until the hydraulic system returns to an acceptable operating temperature. This causes our client to lose harvesting time and in turn, revenue that would have been generated from the harvested tomatoes. To solve this, we have performed an analysis of several heat exchangers to decide what would act as a more efficient replacement for the one currently in use. In addition, our team has selected a reversible fan to clear debris from the heat exchanger that may be causing inefficient heat dissipation.</t>
  </si>
  <si>
    <t>Garrett Johnson, Hla Lwin, Ibrahim Sabih, Michael Ponce</t>
  </si>
  <si>
    <t>CAP19</t>
  </si>
  <si>
    <t>Condensate Recovery</t>
  </si>
  <si>
    <t>Condensate Recovery and Use</t>
  </si>
  <si>
    <t>The Morning Star Company harvests and processes tomatoes, including the creation of tomato paste. In the condensation process, large amounts of water known as condensate is lost due to the particulates it contains. This is a huge opportunity to save the plant thousands of gallons of water a day if it can be cleansed and reused for other processes. Our solution to this issue was to create a system of filters and heat exchangers that can cool the hot condensate and allow it to pass through a reverse osmosis system, creating nearly pure H2O for the plant to use.</t>
  </si>
  <si>
    <t>Connor Burns, Jared Diliberto, Matthew Perez, Rodrigo Elizarraraz</t>
  </si>
  <si>
    <t>CAP20</t>
  </si>
  <si>
    <t>PouchTeks</t>
  </si>
  <si>
    <t>Cascade Cooler Pouch Outfeed</t>
  </si>
  <si>
    <t>Neil Jones Foods (TomaTek)</t>
  </si>
  <si>
    <t>Neil Jones Food Company consists of three processing facilities, including TomaTek. Located in Firebaugh CA, TomaTek processes California tomatoes into various tomato products. For our team's problem, hot tomato paste pouches go through a cascading cooler. This cascading cooler mixes the paste within the pouches and cools these pouches with water. Upon exiting the cooler, the pouches fall onto a conveyor below in a random orientation sometimes stacking on top of one another. Currently, two employees on each manufacturing line monitors these pouches separating, flattening, and aligning as neccessary. Our team was tasked with automating this process and did so by creating a continous flow tapering wall that will only allow for properly aligned and non stacked pouches to continue towards packaging while circulating rejected pouches back into the system.</t>
  </si>
  <si>
    <t>Gui Rong Chang, Jose Morales, Mark Dutka, Marvin Parungao</t>
  </si>
  <si>
    <t>CAP21</t>
  </si>
  <si>
    <t>Cangineers</t>
  </si>
  <si>
    <t>Palletizer Can Patterns</t>
  </si>
  <si>
    <t xml:space="preserve">Neil Jones Foods (San Benito Foods)
</t>
  </si>
  <si>
    <t>In order to package Neil Jones tomato cans, a certain offset pattern must be achieved. Currently, there is a worker who manually adjusts unorganized cans, but this is a safety hazard and inefficient. Cangineers approached this problem by figuring how to even out the distribution of the cans better. This solution is to have two doors that will be moved by an air cylinder from the left and right of the conveyor belt allowing the cans to flow without the need of human adjustment. The team’s solution will adjust cans into an offset pattern automatically to make the palletizer more self-sufficient, allowing the packaging of cans to be safer and more efficient.</t>
  </si>
  <si>
    <t>Andres Torres, Kevin Kuang, Marcos Morales, William Le</t>
  </si>
  <si>
    <t>CAP22</t>
  </si>
  <si>
    <t>Asphalt Rocks</t>
  </si>
  <si>
    <t>Project Greenstreet 2.0</t>
  </si>
  <si>
    <t>Corigin Solutions</t>
  </si>
  <si>
    <t>Materials</t>
  </si>
  <si>
    <t>Our client Corigin solutions has an excess amount of bio-oil which is a byproduct when producing bio-char. Our team has conceived a solution to make use of this oil by converting it into a tar-like substance that will then be primarily used for pot-holes, and then eventually for mainline road infrastructures. The bio-oil is pretreated with crumb rubber from recycled tires and then heated for an extended period to reduce the innate moisture content of the bio-oil. Finally, the crumb rubber modified bio-oil is then mixed with common road aggregate to provide the necessary structural integrity that is needed to be as strong and durable as the roads that are driven and walked on everyday.</t>
  </si>
  <si>
    <t>Abraham Avendano, Jonathan Aguilera, Justin Pham, Linda Castellanos-Torres</t>
  </si>
  <si>
    <t>CAP23</t>
  </si>
  <si>
    <t>Algae Prevention</t>
  </si>
  <si>
    <t>Clean Dairy Water Trough Design</t>
  </si>
  <si>
    <t>Diamond J Dairy</t>
  </si>
  <si>
    <t>Diamond J Dairy farms operate approximately 2,000 cows. In order for these cows to deliver healthy and rich nutritious milk, the water they drink must be clean. Part of the dairy farm's challenge is effectively delivering that high quality water to the concrete troughs that the cows drink from. The problem that the farm faces is that the concrete’s porous nature results in hidden hotspots for algae growth. Additionally, the feed that the cows bring with them encourages algae growth reducing the clean water quality they need. We developed a low cost chemical approach that quickly gets rid of the algae concentration in the water and provides an effective solution to the porosity of the troughs. By applying a concrete resurfacer to the bottom surface of the troughs, the presence of algae stuck to the bottom surface is eliminated. Additionally, a dilute bleach solution is poured into the water to reduce the population of aglae that grow in the drinking water for the cows. Moreover, a deep skimmer net is implemented to remove food debris and reduce the amount of nutrients which helps prevent algae growth.</t>
  </si>
  <si>
    <t>Jonathan Mendoza, Vienna Banez, Wendy Ninomiya, Yi Hao Xie</t>
  </si>
  <si>
    <t>2021-08-Fall-CEE</t>
  </si>
  <si>
    <t>CEE</t>
  </si>
  <si>
    <t>CEE01</t>
  </si>
  <si>
    <t>Newman Wetland</t>
  </si>
  <si>
    <t>Agricultural Runoff Treatment</t>
  </si>
  <si>
    <t>City of Newman</t>
  </si>
  <si>
    <t>Our project is to design a wetland to treat agricultural runoff for the City of Newman, CA. The City of Newman is seeking a creative engineering solution to lower the environmental impact of polluted agricultural and urban runoff while diversifying water resources. The design constraints and requirements are to remove 50% total phosphorus and 75% of nitrogen (specifically nitrates) from irrigation water. The treated water would be utilized to dilute municipal wastewater effluent prior to land application and groundwater recharge on city-owned agricultural crops. To address the needs of the City of Newman, we designed a free water surface treatment wetland, and evaluated the design on technical, environmental, economic, and sustainable factors.</t>
  </si>
  <si>
    <t>Leonel Arvizu, Charlotte Calvario, Ismael Ontiveros, Stephanie Segura</t>
  </si>
  <si>
    <t>CEE02</t>
  </si>
  <si>
    <t>AgMAR</t>
  </si>
  <si>
    <t>Experimental Smart Farm: Water Storage and Groundwater Recharge</t>
  </si>
  <si>
    <t>UC Merced</t>
  </si>
  <si>
    <t xml:space="preserve">Climate change and the growing demand of water have strained irrigation resources in the Central Valley. The UC Merced Experimental Smart Farm (ESF) located on the campus of UC Merced is required to enhance the groundwater (GW) storage capacity to ensure sufficient irrigation during below average water years. The pre-existing water supply for the ESF are nearby groundwater wells that pump the water to flood-irrigation risers. Given the constraints of California’s Sustainable Groundwater Management Act (SGMA) of 2014, ESF is required to operate under conjunctive and sustainable water use. To enhance groundwater storage and operate under SGMA we designed a sustainable onsite water storage system that utilizes a micro- reservoir, above ground storage tank, and a recharge infiltration basin under the farm’s cultivation area. The proposed design will recharge 240 acre-ft of groundwater and provide drought tolerant irrigation during low water years.
</t>
  </si>
  <si>
    <t>Brooklyn James, Stephanie Orozco, Megan Pinkus</t>
  </si>
  <si>
    <t>CEE03</t>
  </si>
  <si>
    <t>San JoAQuin Air Quality</t>
  </si>
  <si>
    <t>Proposed expansion of the San Joaquin Valley Air Pollution Monitoring Network</t>
  </si>
  <si>
    <t>San Joaquin Air Pollution Control District</t>
  </si>
  <si>
    <t>Environment</t>
  </si>
  <si>
    <t>The San Joaquin Valley exceeds air pollution standards for two key pollutants, Ozone and Particulate Matter 2.5. The current air monitoring network is outdated and fails to reach increased pollution emissions and equity needs, leading to detrimental health effects on vulnerable communities. To address this problem we designed an expansion of the current air monitoring network administered by the San Joaquin Valley Air Pollution Control District (SJVAPCD) by assessing the current network deficiencies and shortcomings. The constraints and requirements of the design are Regulatory Compliance, Equity Impact Factor, Land Cover, and Site Distribution. Target communities and final site locations were spatially determined and located to expand air pollution monitoring, ultimately anticipating that the SJVAPCD will evaluate and implement the design proposals to mitigate hazardous air risks to vulnerable communities in the San Joaquin Valley.</t>
  </si>
  <si>
    <t>Elaina Cavada, Nefertari Marin, Jesus Salas Hernandez, Tasos Tentoglou</t>
  </si>
  <si>
    <t>2021-08-Fall-CSE</t>
  </si>
  <si>
    <t>CSE</t>
  </si>
  <si>
    <t>CSE01</t>
  </si>
  <si>
    <t>Veracruzers</t>
  </si>
  <si>
    <t>Merging Selected Results from Multiple Searches</t>
  </si>
  <si>
    <t>Veracruz Ventures</t>
  </si>
  <si>
    <t>Software</t>
  </si>
  <si>
    <t>Have you ever performed multiple searches on a dataset, and wished they were all in one place? With the aid of Veracruz Ventures, an AgTech company, the team created an app where a user can perform multiple searches and sort through these searches all without having to leave the application or end up with multiple tabs.</t>
  </si>
  <si>
    <t>Aaron Kaushal, Alex Taylor, Loreta Camacho, Ranvir Singh</t>
  </si>
  <si>
    <t>CSE02</t>
  </si>
  <si>
    <t>Intercontinental</t>
  </si>
  <si>
    <t>Veracruz Ventures is an agricultural company investing in sustainable innovation including data management. As such, there is a need for the development and deployment of a user-friendly management system interface that leverages multiple search results from a database to maximize the user's retention and acquisition of data. As such, our team  built a multi-purpose user interface that allow any user to spawn and search through multiple data tables in a single page from a database, which can not only freely manipulate the selected search results but also compound multiple search results into a single data table by using the Open source Jquery Library, Cloud Tables and Python Flask. This is further compounded by the application having the foundation of retaining and sharing the finalized results to any tab or person, respectively.</t>
  </si>
  <si>
    <t>David Salse, Fabiola Pineda, Sidharth Babu, Sy Loc</t>
  </si>
  <si>
    <t>CSE03</t>
  </si>
  <si>
    <t>The Diamond Cowboys</t>
  </si>
  <si>
    <t>Cow Detection in Soaker Area</t>
  </si>
  <si>
    <t>Diamond J Dairy is a first generation farm who’s Core belief is that there is always something to learn. The farm has a strong focus on sustainability, efficiency, and modernization, and continues to keep up with the latest and most efficient farming technologies. To keep up with the ongoing vision, this team has worked to build a cost-effective, flexible &amp; robust system able to optimize the use of water by cow sprinklers, using industry leading computer vision and image processing techniques, with the help of AWS web services to maintain security.</t>
  </si>
  <si>
    <t>Bharadwaj Satyanarayana, Kevin Hernandez, Rohit Vemuri, Tanner Nodolf</t>
  </si>
  <si>
    <t>CSE04</t>
  </si>
  <si>
    <t>Cool Cow Coders</t>
  </si>
  <si>
    <t>Diamond J. Dairy is a modern dairy farm that utilizes an automated, state-of-the-art soaker system to keep their cows cool and maximize dairy production. Currently, there is significant water waste because the soaker system turns on when cows are not present in the soaking area. For environmental and economic reasons, water conservation is a high priority for Diamond J. Dairy. The Cool Cow Coders have developed a vision-based program that recognizes and detects cows within the soaking area. When deployed throughout the farm, the team’s software will aid water conservation efforts by ensuring soaker valves are only activated when a cow is within its soaking vicinity.</t>
  </si>
  <si>
    <t>Aditi Kisara, Crystal Reynoso Figueroa, Shivanshu Gupta, Zachary Harry</t>
  </si>
  <si>
    <t>CSE05</t>
  </si>
  <si>
    <t>Project ANJIL</t>
  </si>
  <si>
    <t>Chronic pain affects more than 20% of adults in the United States (CDC). However, finding the root cause of this pain can be a difficult and expensive endeavor. Pain can be intermittent and often does not present itself in the physician's office. In collaboration with the Fresno Institute of Neuroscience, the Project ANJIL team introduces an integrated pain tracking solution that measures both qualitative and quantitative data to help physicians determine how different life factors and activities influence patients' pain levels over time. A mobile base station device is combined with multiple self-contained sensor packages. Sensor data is communicated to the base station via Bluetooth Low-Energy allowing each sensor package to remain operational without recharging for multiple days. Patients are able to enter pain and ancillary information through a user-friendly touch interface. Together, the sensor data and patient data allow the physician to better understand each patient's chronic pain.</t>
  </si>
  <si>
    <t>Adam Weingram, Isaac Shin, Junia Jacinto, Lafrance Daniels, Nu-Chong Lee</t>
  </si>
  <si>
    <t>CSE06</t>
  </si>
  <si>
    <t>Wear Your MASK</t>
  </si>
  <si>
    <t>Operations Control Center Shift Log Workbench</t>
  </si>
  <si>
    <t>The Bay Area Rapid Transit (BART) provides public transport in the San Francisco Bay Area. BART is starting to outgrow their current event management system which needs to be updated to support California Public Utilities Commission (CPUC) codes and have input latency reduced. Our team’s solution is a web-based application that targets BART’s current pain points in their log entry process while keeping the core features of their current system. Some key features of the product include flexible entry searching, low input latency, and assisted autocomplete for CPUC codes in a more user-friendly design.</t>
  </si>
  <si>
    <t>Aaron Leung, Kelvin Nguyen, Mritthika Harish, Shivali Aggarwal</t>
  </si>
  <si>
    <t>CSE07</t>
  </si>
  <si>
    <t>BART Loggers</t>
  </si>
  <si>
    <t>Management and event reporting are very crucial when it comes to the operation of a big transportation system. Bay Area Rapid Transit (BART) attempts to improve its management efficiency through a web-driven application. This application allows Operation Control Center (OCC) Managers to report any day-to-day incidents like maintenance work, police activity, delays, equipment abnormalities, and other events impacting the regular operation of the system. The team designed and optimized BART’s web app to increase efficiency and workflow within the management of the OCC. The web app creates improvement in the process of inputting, categorizing, condensing, extracting, and reporting data.</t>
  </si>
  <si>
    <t>Francisco Lira, Gregorio Contreras Cervantes, Julio Lopez, Mercedes Jimenez Garcia</t>
  </si>
  <si>
    <t>CSE08</t>
  </si>
  <si>
    <t>ProjectY</t>
  </si>
  <si>
    <t>Delivering Early Math Education Materials to Families</t>
  </si>
  <si>
    <t>Early Family Math</t>
  </si>
  <si>
    <t>Education</t>
  </si>
  <si>
    <t>Early Family Math is a non-profit organization that focuses on providing educational materials to those with limited resources. Currently, there is a website built that allows families to access information regarding the organization. However, there is no efficient or scalable method that can deliver and allow families to access materials according to their needs. The team developed a web app that allows families to register and receive emails which consist of materials in accordance to the child’s educational level.</t>
  </si>
  <si>
    <t>Connor Bourke, Elaine Huang, Matthew Chang, Ying Zhang</t>
  </si>
  <si>
    <t>CSE09</t>
  </si>
  <si>
    <t>AB3</t>
  </si>
  <si>
    <t>Early Family Math is a non-profit organization seeking to help children between the ages of 0 and 8 develop basic math skills. Currently, they have a website where parents can go on and download whole chapters of activities which can be intimidating. They are creating a new form of content delivery for their products in order to increase user acquisition and retention. Our team developed an application that allows families to sign up and receive Early Family Math’s activities and storybooks using traditional email services.</t>
  </si>
  <si>
    <t>Andy Bui, Benjamin Crawford, Brandon Duong, Brodey Nance</t>
  </si>
  <si>
    <t>CSE10</t>
  </si>
  <si>
    <t>Runtime</t>
  </si>
  <si>
    <t>Battery Simulation Application for Autonomous Mobile Robots</t>
  </si>
  <si>
    <t>Omron produces autonomous mobile robots (AMRs) to solve a variety of material transport issues. Battery life is a crucial factor for their customers. Therefore, there is a need for a user-friendly GUI that can predict expected run times and charge times, given the expected environment. The team developed a battery simulation that shows the run time, current consumption over time, and capacity (mAh) for the current run. Additionally, automated scripts to summarize data from AMR logs and generate new optimal models to predict current usage.</t>
  </si>
  <si>
    <t>Austin Near, Jason Chan, Nicholas Haines, Yoan Palacios Guzman</t>
  </si>
  <si>
    <t>CSE11</t>
  </si>
  <si>
    <t>);Drop table *;</t>
  </si>
  <si>
    <t>Omron Robotics and Safety Technologies, Inc. (ORT) manufactures autonomous mobile robots. Omron had the need for a software tool that customers could interact with which displays predictions of run times and charge times for batteries of autonomous mobile robots. Our team’s approach was to develop prediction models that find the best fit of the data in order to present battery and run-time predictions within a display.</t>
  </si>
  <si>
    <t>Giovanni Perez, Jesse Luna, Nathan Edwards, Prabhnoor Brar</t>
  </si>
  <si>
    <t>CSE12</t>
  </si>
  <si>
    <t>Harvest Hero's</t>
  </si>
  <si>
    <t>Harvest Production Improvements</t>
  </si>
  <si>
    <t>Sensient Natural Ingredients is a vertically integrated producer of dehydrated vegetables. During the harvesting process excess waste material is picked up and included in the sorting of the produce. The Team developed a real time object detection software, capable of detecting dirt among onions and garlic. It identifies contours and color gradients and produces a suggestion to the machine operator of when to slow down or speed up. This will help remove excess dirt more efficiently during the sorting process thus decreasing loss in produce and unwanted material being shipped to the factory.</t>
  </si>
  <si>
    <t>Mark Ogbunamiri, James Short, Kyle Leung, Kyle Tucker, Samuel Kashiwase</t>
  </si>
  <si>
    <t>CSE13</t>
  </si>
  <si>
    <t>Neptune</t>
  </si>
  <si>
    <t>Water Treatment Monitoring</t>
  </si>
  <si>
    <t>Agrecom</t>
  </si>
  <si>
    <t>Agrecom is a company with pest control, sanitation and water treatment services. Neptune worked under Agrecom’s mentorship to create a system to work alongside their existing monitoring setup. The team developed a program to visualize data received from a variety of water sensors and output them into graphs such as pH, oxidation-reduction potential, water level, and flow rate.</t>
  </si>
  <si>
    <t>Alexander Woersching, Chelsea Zhao, Jacqueline Nguyen, Tommy Nguyen,  Vianca Reynoso</t>
  </si>
  <si>
    <t>CSE14</t>
  </si>
  <si>
    <t>Mint</t>
  </si>
  <si>
    <t>Agrecom provides agricultural services based in Merced specializing in pest control and water treatment. Two teams from the University of California, Merced are working alongside Agrecom to create a low cost way to read data from sensors, and display this data on the outside of the monitoring enclosure Agrecom has created for clients. The project team needed to develop the friendly UI interface to be displayed on a seven-inch Raspberry Pi display; the data being displayed originates from a predefined API. Team 14 developed a solution using grafana that allows for data visualization and configuration of the monitoring enclosure in a low cost manner. To conclude, Team 14 delivered an effective solution that met the requirements of the client.</t>
  </si>
  <si>
    <t>Ivan Padilla, Misael Bolainez, Nathan Huynh, Timothy Ha</t>
  </si>
  <si>
    <t>CSE15</t>
  </si>
  <si>
    <t>Memory Leak Squad</t>
  </si>
  <si>
    <t>AgTech Ecosystem Info-Graph</t>
  </si>
  <si>
    <t>AgTech Insight</t>
  </si>
  <si>
    <t>AgTech Insight seeks to help farmers and agricultural companies understand how different technologies could connect to one another based on their needs and interests. The team developed an info-graph web using Agtech Insight’s startup database that visualizes different companies and how they connect. Anyone viewing the graph can easily see how specific technology companies in AgTech can interact and connect.</t>
  </si>
  <si>
    <t>Alejandro Sanchez, Aramy Truong, Emelio Barba, Vincent Nguyen</t>
  </si>
  <si>
    <t>CSE16</t>
  </si>
  <si>
    <t>CrunchyNode</t>
  </si>
  <si>
    <t>Agtech Insight is a consulting firm that wants to connect the different agricultural companies in their database. Our team has developed a web-app which has the ability to create custom info-graphs. These custom info-graphs visualize the matching categories based on a minimum number of keywords matched. The goal is for anyone to get information on specific companies and different fields of agricultural companies.</t>
  </si>
  <si>
    <t>Brayam Corral Flores, Erick Barajas, Manuel Toro Garcia, Sreeda Vemuri</t>
  </si>
  <si>
    <t>CSE17</t>
  </si>
  <si>
    <t>Valley Coders</t>
  </si>
  <si>
    <t>Device Lab Computer Management</t>
  </si>
  <si>
    <t>Western Digital</t>
  </si>
  <si>
    <t>Computers</t>
  </si>
  <si>
    <t>Western Digital is a computer hard disk drive manufacturer and data storage company that designs, manufactures, and sells data technology products. Western Digital’s device laboratory contains a large amount of computers. Due to its grand scale, it is difficult to keep track of and oversee the usage of the many desktops that are utilized by their employees to monitor processes. Our team has developed software for a Web Application specializing in monitoring the computers in the device laboratory into an organized user interface that displays key aspects of the lab computers to be easily tracked by the lab manager.</t>
  </si>
  <si>
    <t>Matthew Nor, Partap Singh, Subhalakshmi Balaji, Sofia Figueroa</t>
  </si>
  <si>
    <t>CSE18</t>
  </si>
  <si>
    <t>ESC+N</t>
  </si>
  <si>
    <t>Western Digital is a computer storage manufacturer that creates, designs, and sells data technology products such as Hard Disk Drive (HDD) and Solid State Drive (SSD). They have a central lab in Milpitas, California where they do most of their silicone testing. A lab manager is responsible for managing lab computers to device engineers who do silicon testing. Currently, the lab manager has no way to efficiently check which computers are still in use. The team used an open-source program to gather information from each lab computer into a central computer. The team then organized the necessary information into a database and created a web app allowing the lab manager to view the information.</t>
  </si>
  <si>
    <t>Colin Schmierer, Eric Li, Nicholas Ly, Samuel Carlos</t>
  </si>
  <si>
    <t>CSE19</t>
  </si>
  <si>
    <t>LADS</t>
  </si>
  <si>
    <t>Server and Docker Log Monitoring</t>
  </si>
  <si>
    <t>Sweep Energy</t>
  </si>
  <si>
    <t>Energy</t>
  </si>
  <si>
    <t>Sweep designs and manufactures industrial wireless meters and big data workflow software for real-time equipment monitoring. A collection of Docker containers and server-side software deployed across multiple servers causes issues when accessing their log data. Our team built a Docker container that can be deployed globally across all servers to collect log data and send it to SweepAPI for monitoring. This container auto configures for common log locations and allow admins to define extra log files to monitor. Unifying log management allows admins to monitor dynamic logs while also limiting server login authorizations.</t>
  </si>
  <si>
    <t>Apsara Fite, David Chu, Louis Perez, Solomon Denning</t>
  </si>
  <si>
    <t>CSE20</t>
  </si>
  <si>
    <t>HM</t>
  </si>
  <si>
    <t>Server Metric Health Monitoring</t>
  </si>
  <si>
    <t>Sweep provides real-time data analytics services to companies to reduce the likely hood of downtime in different micro-apps. Currently, Sweep has the SweepAPI which is a simple data gathering platform that stores and analyzes time series data. There is no effective way to figure out if there is an outage in specific micro apps, therefore Team HM is helping to reduce the amount of time a certain service might go down for. Our team is tasked to automatically gather the metric data from a server such as the CPU usage, hard drive space, memory being used, bandwidth, and index nodes (Inodes) without knowing where the server might be installed. After the metrics are gathered they are sent to SweepAPI for monitoring for any down micro-apps.</t>
  </si>
  <si>
    <t>Cesar Garcia, Graciela Moreno, Gordon Tong, Higinio Ramirez, Miguel Paolo Al Tercero</t>
  </si>
  <si>
    <t>First Name</t>
  </si>
  <si>
    <t>Last Name</t>
  </si>
  <si>
    <t>Email</t>
  </si>
  <si>
    <t>Team #</t>
  </si>
  <si>
    <t>Client</t>
  </si>
  <si>
    <t>Name (for list)  =B1&amp;" "&amp;C1</t>
  </si>
  <si>
    <t>Aaron</t>
  </si>
  <si>
    <t>Kaushal</t>
  </si>
  <si>
    <t>akaushal2@ucmerced.edu</t>
  </si>
  <si>
    <t>Alex</t>
  </si>
  <si>
    <t>Taylor</t>
  </si>
  <si>
    <t>ataylor27@ucmerced.edu</t>
  </si>
  <si>
    <t>Loreta</t>
  </si>
  <si>
    <t>Camacho</t>
  </si>
  <si>
    <t>lcamacho4@ucmerced.edu</t>
  </si>
  <si>
    <t>Ranvir</t>
  </si>
  <si>
    <t>Singh</t>
  </si>
  <si>
    <t>rsingh78@ucmerced.edu</t>
  </si>
  <si>
    <t>David</t>
  </si>
  <si>
    <t>Salse</t>
  </si>
  <si>
    <t>dsalse@ucmerced.edu</t>
  </si>
  <si>
    <t>Fabiola</t>
  </si>
  <si>
    <t>Pineda</t>
  </si>
  <si>
    <t>fpineda2@ucmerced.edu</t>
  </si>
  <si>
    <t>Sidharth</t>
  </si>
  <si>
    <t>Babu</t>
  </si>
  <si>
    <t>sbabu@ucmerced.edu</t>
  </si>
  <si>
    <t>Sy</t>
  </si>
  <si>
    <t>Loc</t>
  </si>
  <si>
    <t>sloc@ucmerced.edu</t>
  </si>
  <si>
    <t>Bharadwaj</t>
  </si>
  <si>
    <t>Satyanarayana</t>
  </si>
  <si>
    <t>bsatyanarayana@ucmerced.edu</t>
  </si>
  <si>
    <t>Kevin</t>
  </si>
  <si>
    <t>Hernandez</t>
  </si>
  <si>
    <t>khernandez238@ucmerced.edu</t>
  </si>
  <si>
    <t>Rohit</t>
  </si>
  <si>
    <t>Vemuri</t>
  </si>
  <si>
    <t>rvemuri2@ucmerced.edu</t>
  </si>
  <si>
    <t>Tanner</t>
  </si>
  <si>
    <t>Nodolf</t>
  </si>
  <si>
    <t>tnodolf@ucmerced.edu</t>
  </si>
  <si>
    <t>Aditi</t>
  </si>
  <si>
    <t>Kisara</t>
  </si>
  <si>
    <t>akisara@ucmerced.edu</t>
  </si>
  <si>
    <t>Crystal</t>
  </si>
  <si>
    <t>Reynoso Figueroa</t>
  </si>
  <si>
    <t>creynosofigueroa@ucmerced.edu</t>
  </si>
  <si>
    <t>Shivanshu</t>
  </si>
  <si>
    <t>Gupta</t>
  </si>
  <si>
    <t>sgupta35@ucmerced.edu</t>
  </si>
  <si>
    <t>Zachary</t>
  </si>
  <si>
    <t>Harry</t>
  </si>
  <si>
    <t>zharry@ucmerced.edu</t>
  </si>
  <si>
    <t>Adam</t>
  </si>
  <si>
    <t>Weingram</t>
  </si>
  <si>
    <t>aweingram@ucmerced.edu</t>
  </si>
  <si>
    <t>Isaac</t>
  </si>
  <si>
    <t>Shin</t>
  </si>
  <si>
    <t>ishin2@ucmerced.edu</t>
  </si>
  <si>
    <t>Junia</t>
  </si>
  <si>
    <t>Jacinto</t>
  </si>
  <si>
    <t>jjacinto4@ucmerced.edu</t>
  </si>
  <si>
    <t>Lafrance</t>
  </si>
  <si>
    <t>Daniels</t>
  </si>
  <si>
    <t>ldaniels8@ucmerced.edu</t>
  </si>
  <si>
    <t>Nu-Chong</t>
  </si>
  <si>
    <t>Lee</t>
  </si>
  <si>
    <t>nlee69@ucmerced.edu</t>
  </si>
  <si>
    <t>Leung</t>
  </si>
  <si>
    <t>aleung28@ucmerced.edu</t>
  </si>
  <si>
    <t xml:space="preserve">Operations Control Center Shift Log Workbench </t>
  </si>
  <si>
    <t>Kelvin</t>
  </si>
  <si>
    <t>Nguyen</t>
  </si>
  <si>
    <t>knguyen355@ucmerced.edu</t>
  </si>
  <si>
    <t>Mritthika</t>
  </si>
  <si>
    <t>Harish</t>
  </si>
  <si>
    <t>mharish@ucmerced.edu</t>
  </si>
  <si>
    <t>Shivali</t>
  </si>
  <si>
    <t>Aggarwal</t>
  </si>
  <si>
    <t>saggarwal2@ucmerced.edu</t>
  </si>
  <si>
    <t>Francisco</t>
  </si>
  <si>
    <t>Lira</t>
  </si>
  <si>
    <t>flira@ucmerced.edu</t>
  </si>
  <si>
    <t>Gregorio</t>
  </si>
  <si>
    <t>Contreras Cervantes</t>
  </si>
  <si>
    <t>gcontrerascervant@ucmerced.edu</t>
  </si>
  <si>
    <t>Julio</t>
  </si>
  <si>
    <t>Lopez</t>
  </si>
  <si>
    <t>jlopez474@ucmerced.edu</t>
  </si>
  <si>
    <t>Mercedes</t>
  </si>
  <si>
    <t>Jimenez Garcia</t>
  </si>
  <si>
    <t>mjimenez49@ucmerced.edu</t>
  </si>
  <si>
    <t>Connor</t>
  </si>
  <si>
    <t>Bourke</t>
  </si>
  <si>
    <t>cbourke@ucmerced.edu</t>
  </si>
  <si>
    <t>Elaine</t>
  </si>
  <si>
    <t>Huang</t>
  </si>
  <si>
    <t>ehuang34@ucmerced.edu</t>
  </si>
  <si>
    <t>Matthew</t>
  </si>
  <si>
    <t>Chang</t>
  </si>
  <si>
    <t>mchang50@ucmerced.edu</t>
  </si>
  <si>
    <t>Ying</t>
  </si>
  <si>
    <t>Zhang</t>
  </si>
  <si>
    <t>yzhang225@ucmerced.edu</t>
  </si>
  <si>
    <t>Andy</t>
  </si>
  <si>
    <t>Bui</t>
  </si>
  <si>
    <t>abui27@ucmerced.edu</t>
  </si>
  <si>
    <t>Benjamin</t>
  </si>
  <si>
    <t>Crawford</t>
  </si>
  <si>
    <t>bcrawford6@ucmerced.edu</t>
  </si>
  <si>
    <t>Brandon</t>
  </si>
  <si>
    <t>Duong</t>
  </si>
  <si>
    <t>bduong10@ucmerced.edu</t>
  </si>
  <si>
    <t>Brodey</t>
  </si>
  <si>
    <t>Nance</t>
  </si>
  <si>
    <t>bnance@ucmerced.edu</t>
  </si>
  <si>
    <t>Austin</t>
  </si>
  <si>
    <t>Near</t>
  </si>
  <si>
    <t>anear@ucmerced.edu</t>
  </si>
  <si>
    <t>Jason</t>
  </si>
  <si>
    <t>Chan</t>
  </si>
  <si>
    <t>jchan237@ucmerced.edu</t>
  </si>
  <si>
    <t>Nicholas</t>
  </si>
  <si>
    <t>Haines</t>
  </si>
  <si>
    <t>nhaines@ucmerced.edu</t>
  </si>
  <si>
    <t>Yoan</t>
  </si>
  <si>
    <t>Palacios Guzman</t>
  </si>
  <si>
    <t>ypalaciosguzman@ucmerced.edu</t>
  </si>
  <si>
    <t>Giovanni</t>
  </si>
  <si>
    <t>Perez</t>
  </si>
  <si>
    <t>gperez56@ucmerced.edu</t>
  </si>
  <si>
    <t>Jesse</t>
  </si>
  <si>
    <t>Luna</t>
  </si>
  <si>
    <t>jluna34@ucmerced.edu</t>
  </si>
  <si>
    <t>Nathan</t>
  </si>
  <si>
    <t>Edwards</t>
  </si>
  <si>
    <t>nedwards3@ucmerced.edu</t>
  </si>
  <si>
    <t>Prabhnoor</t>
  </si>
  <si>
    <t>Brar</t>
  </si>
  <si>
    <t>pbrar3@ucmerced.edu</t>
  </si>
  <si>
    <t>Mark</t>
  </si>
  <si>
    <t>Ogbunamiri</t>
  </si>
  <si>
    <t>iogbunamiri@ucmerced.edu</t>
  </si>
  <si>
    <t>James</t>
  </si>
  <si>
    <t>Short</t>
  </si>
  <si>
    <t>jshort6@ucmerced.edu</t>
  </si>
  <si>
    <t>Kyle</t>
  </si>
  <si>
    <t>kleung32@ucmerced.edu</t>
  </si>
  <si>
    <t>Tucker</t>
  </si>
  <si>
    <t>ktucker2@ucmerced.edu</t>
  </si>
  <si>
    <t>Samuel</t>
  </si>
  <si>
    <t>Kashiwase</t>
  </si>
  <si>
    <t>skashiwase2@ucmerced.edu</t>
  </si>
  <si>
    <t>Alexander</t>
  </si>
  <si>
    <t>Woersching</t>
  </si>
  <si>
    <t>awoersching@ucmerced.edu</t>
  </si>
  <si>
    <t>Chelsea</t>
  </si>
  <si>
    <t>Zhao</t>
  </si>
  <si>
    <t>czhao26@ucmerced.edu</t>
  </si>
  <si>
    <t>Jacqueline</t>
  </si>
  <si>
    <t>jnguyen392@ucmerced.edu</t>
  </si>
  <si>
    <t>Tommy</t>
  </si>
  <si>
    <t xml:space="preserve">Nguyen </t>
  </si>
  <si>
    <t>tnguyen475@ucmerced.edu</t>
  </si>
  <si>
    <t>Vianca</t>
  </si>
  <si>
    <t>Reynoso</t>
  </si>
  <si>
    <t>vreynoso2@ucmerced.edu</t>
  </si>
  <si>
    <t>Ivan</t>
  </si>
  <si>
    <t>Padilla</t>
  </si>
  <si>
    <t>ipadilla6@ucmerced.edu</t>
  </si>
  <si>
    <t>Misael</t>
  </si>
  <si>
    <t>Bolainez</t>
  </si>
  <si>
    <t>mbolainez2@ucmerced.edu</t>
  </si>
  <si>
    <t>Huynh</t>
  </si>
  <si>
    <t>nhuynh7@ucmerced.edu</t>
  </si>
  <si>
    <t>Timothy</t>
  </si>
  <si>
    <t>Ha</t>
  </si>
  <si>
    <t>tha10@ucmerced.edu</t>
  </si>
  <si>
    <t>Alejandro</t>
  </si>
  <si>
    <t>Sanchez</t>
  </si>
  <si>
    <t>asanchez300@ucmerced.edu</t>
  </si>
  <si>
    <t>Aramy</t>
  </si>
  <si>
    <t>Truong</t>
  </si>
  <si>
    <t>atruong38@ucmerced.edu</t>
  </si>
  <si>
    <t>Emelio</t>
  </si>
  <si>
    <t>Barba</t>
  </si>
  <si>
    <t>ebarba3@ucmerced.edu</t>
  </si>
  <si>
    <t>Vincent</t>
  </si>
  <si>
    <t>vnguyen299@ucmerced.edu</t>
  </si>
  <si>
    <t>Brayam</t>
  </si>
  <si>
    <t>Corral Flores</t>
  </si>
  <si>
    <t>bcorralflores@ucmerced.edu</t>
  </si>
  <si>
    <t>Erick</t>
  </si>
  <si>
    <t>Barajas</t>
  </si>
  <si>
    <t>ebarajas25@ucmerced.edu</t>
  </si>
  <si>
    <t>Manuel</t>
  </si>
  <si>
    <t>Toro Garcia</t>
  </si>
  <si>
    <t>mtorogarcia@ucmerced.edu</t>
  </si>
  <si>
    <t>Sreeda</t>
  </si>
  <si>
    <t>svemuri@ucmerced.edu</t>
  </si>
  <si>
    <t>Nor</t>
  </si>
  <si>
    <t>mnor5@ucmerced.edu</t>
  </si>
  <si>
    <t>Device Lab user registration app to use equipment</t>
  </si>
  <si>
    <t>Partap</t>
  </si>
  <si>
    <t>psingh56@ucmerced.edu</t>
  </si>
  <si>
    <t>Subhalakshmi</t>
  </si>
  <si>
    <t>Balaji</t>
  </si>
  <si>
    <t>sbalaji2@ucmerced.edu</t>
  </si>
  <si>
    <t>Sofia</t>
  </si>
  <si>
    <t>Figueroa</t>
  </si>
  <si>
    <t>sfigueroa12@ucmerced.edu</t>
  </si>
  <si>
    <t>Colin</t>
  </si>
  <si>
    <t>Schmierer</t>
  </si>
  <si>
    <t>cschmierer@ucmerced.edu</t>
  </si>
  <si>
    <t>Eric</t>
  </si>
  <si>
    <t>Li</t>
  </si>
  <si>
    <t>eli33@ucmerced.edu</t>
  </si>
  <si>
    <t>Ly</t>
  </si>
  <si>
    <t>nly9@ucmerced.edu</t>
  </si>
  <si>
    <t>Carlos</t>
  </si>
  <si>
    <t>scarlos@ucmerced.edu</t>
  </si>
  <si>
    <t>Apsara</t>
  </si>
  <si>
    <t>Fite</t>
  </si>
  <si>
    <t>afite@ucmerced.edu</t>
  </si>
  <si>
    <t>Chu</t>
  </si>
  <si>
    <t>dchu26@ucmerced.edu</t>
  </si>
  <si>
    <t>Louis</t>
  </si>
  <si>
    <t>lperez61@ucmerced.edu</t>
  </si>
  <si>
    <t>Solomon</t>
  </si>
  <si>
    <t>Denning</t>
  </si>
  <si>
    <t>sdenning@ucmerced.edu</t>
  </si>
  <si>
    <t>Cesar</t>
  </si>
  <si>
    <t>Garcia</t>
  </si>
  <si>
    <t>cgarcia311@ucmerced.edu</t>
  </si>
  <si>
    <t>Graciela</t>
  </si>
  <si>
    <t>Moreno</t>
  </si>
  <si>
    <t>gmoreno25@ucmerced.edu</t>
  </si>
  <si>
    <t>Gordon</t>
  </si>
  <si>
    <t>Tong</t>
  </si>
  <si>
    <t>gtong4@ucmerced.edu</t>
  </si>
  <si>
    <t>Higinio</t>
  </si>
  <si>
    <t>Ramirez</t>
  </si>
  <si>
    <t>hramirez12@ucmerced.edu</t>
  </si>
  <si>
    <t>Miguel Paolo Al</t>
  </si>
  <si>
    <t>Tercero</t>
  </si>
  <si>
    <t>mtercero2@ucmerced.edu</t>
  </si>
  <si>
    <t>anguyen429@ucmerced.edu</t>
  </si>
  <si>
    <t>Emmanuel</t>
  </si>
  <si>
    <t>Egun</t>
  </si>
  <si>
    <t>eegun2@ucmerced.edu</t>
  </si>
  <si>
    <t>Jacob</t>
  </si>
  <si>
    <t>Espinosa</t>
  </si>
  <si>
    <t>jespinosa7@ucmerced.edu</t>
  </si>
  <si>
    <t>Mariella</t>
  </si>
  <si>
    <t>Quevada</t>
  </si>
  <si>
    <t>mquevada@ucmerced.edu</t>
  </si>
  <si>
    <t>Anthony</t>
  </si>
  <si>
    <t>Alfaro</t>
  </si>
  <si>
    <t>aalfaro24@ucmerced.edu</t>
  </si>
  <si>
    <t>Dahlin</t>
  </si>
  <si>
    <t>adahlin@ucmerced.edu</t>
  </si>
  <si>
    <t>Eberardo</t>
  </si>
  <si>
    <t>Camorlinga-Ruiz</t>
  </si>
  <si>
    <t>eruiz51@ucmerced.edu</t>
  </si>
  <si>
    <t>Son</t>
  </si>
  <si>
    <t>Tran</t>
  </si>
  <si>
    <t>stran66@ucmerced.edu</t>
  </si>
  <si>
    <t>Jose</t>
  </si>
  <si>
    <t>Gomez</t>
  </si>
  <si>
    <t>jgomez246@ucmerced.edu</t>
  </si>
  <si>
    <t>Josef</t>
  </si>
  <si>
    <t>Hand</t>
  </si>
  <si>
    <t>jhand2@ucmerced.edu</t>
  </si>
  <si>
    <t>Aguirre</t>
  </si>
  <si>
    <t>kaguirre4@ucmerced.edu</t>
  </si>
  <si>
    <t>Ricardo</t>
  </si>
  <si>
    <t>Garcia Limon</t>
  </si>
  <si>
    <t>rgarcialimon@ucmerced.edu</t>
  </si>
  <si>
    <t>Daniel</t>
  </si>
  <si>
    <t>Cooney</t>
  </si>
  <si>
    <t>dcooney@ucmerced.edu</t>
  </si>
  <si>
    <t>Air Rescue Basket Stabilizer Phase 14</t>
  </si>
  <si>
    <t>Thomas</t>
  </si>
  <si>
    <t>dthomas28@ucmerced.edu</t>
  </si>
  <si>
    <t>Air Rescue Basket Stabilizer Phase 11</t>
  </si>
  <si>
    <t>Jasmine</t>
  </si>
  <si>
    <t>Heer</t>
  </si>
  <si>
    <t>jheer2@ucmerced.edu</t>
  </si>
  <si>
    <t>Air Rescue Basket Stabilizer Phase 12</t>
  </si>
  <si>
    <t>Luz</t>
  </si>
  <si>
    <t>Mascorro Ramirez</t>
  </si>
  <si>
    <t>lmascorroramirez@ucmerced.edu</t>
  </si>
  <si>
    <t>Air Rescue Basket Stabilizer Phase 15</t>
  </si>
  <si>
    <t>Anderson</t>
  </si>
  <si>
    <t>tanderson33@ucmerced.edu</t>
  </si>
  <si>
    <t>Air Rescue Basket Stabilizer Phase 13</t>
  </si>
  <si>
    <t>Cindy</t>
  </si>
  <si>
    <t>Cervantes</t>
  </si>
  <si>
    <t>ccervantes25@ucmerced.edu</t>
  </si>
  <si>
    <t>Juan</t>
  </si>
  <si>
    <t>jgarcia447@ucmerced.edu</t>
  </si>
  <si>
    <t>Mary</t>
  </si>
  <si>
    <t>Baltazar</t>
  </si>
  <si>
    <t>mbaltazar6@ucmerced.edu</t>
  </si>
  <si>
    <t>Quinncie</t>
  </si>
  <si>
    <t>Reider</t>
  </si>
  <si>
    <t>qreider@ucmerced.edu</t>
  </si>
  <si>
    <t>Alfonso</t>
  </si>
  <si>
    <t>Villafuerte</t>
  </si>
  <si>
    <t>avillafuerte2@ucmerced.edu</t>
  </si>
  <si>
    <t>Renato</t>
  </si>
  <si>
    <t>Mendoza Chavez</t>
  </si>
  <si>
    <t>rmendozachavez@ucmerced.edu</t>
  </si>
  <si>
    <t>Ranulfo</t>
  </si>
  <si>
    <t>Tinta-Hernandez Jr</t>
  </si>
  <si>
    <t>rtinta-hernandezjr@ucmerced.edu</t>
  </si>
  <si>
    <t>Shangkun</t>
  </si>
  <si>
    <t>Yang</t>
  </si>
  <si>
    <t>syang108@ucmerced.edu</t>
  </si>
  <si>
    <t>Arturo</t>
  </si>
  <si>
    <t>Juarez</t>
  </si>
  <si>
    <t>ajuarez36@ucmerced.edu</t>
  </si>
  <si>
    <t>Diego</t>
  </si>
  <si>
    <t>Banuelos</t>
  </si>
  <si>
    <t>dbanuelos4@ucmerced.edu</t>
  </si>
  <si>
    <t>Amezcua Ramirez</t>
  </si>
  <si>
    <t>jamezcuaramirez@ucmerced.edu</t>
  </si>
  <si>
    <t>Guzman</t>
  </si>
  <si>
    <t>jguzman59@ucmerced.edu</t>
  </si>
  <si>
    <t>Lin</t>
  </si>
  <si>
    <t>alin63@ucmerced.edu</t>
  </si>
  <si>
    <t>Alexis</t>
  </si>
  <si>
    <t>Prieto</t>
  </si>
  <si>
    <t>aprieto6@ucmerced.edu</t>
  </si>
  <si>
    <t>Landeros</t>
  </si>
  <si>
    <t>jlanderos3@ucmerced.edu</t>
  </si>
  <si>
    <t>Ravinderjit</t>
  </si>
  <si>
    <t>Sidhu</t>
  </si>
  <si>
    <t>rsidhu9@ucmerced.edu</t>
  </si>
  <si>
    <t>Jesus</t>
  </si>
  <si>
    <t>Beatriz</t>
  </si>
  <si>
    <t>jbeatriz@ucmerced.edu</t>
  </si>
  <si>
    <t>Galvan</t>
  </si>
  <si>
    <t>jgalvan28@ucmerced.edu</t>
  </si>
  <si>
    <t>Marquise</t>
  </si>
  <si>
    <t>Jefferson</t>
  </si>
  <si>
    <t>mjefferson@ucmerced.edu</t>
  </si>
  <si>
    <t>Shushen</t>
  </si>
  <si>
    <t>Chen</t>
  </si>
  <si>
    <t>schen229@ucmerced.edu</t>
  </si>
  <si>
    <t>Morales</t>
  </si>
  <si>
    <t>amorales83@ucmerced.edu</t>
  </si>
  <si>
    <t>Eddie</t>
  </si>
  <si>
    <t>Santiago</t>
  </si>
  <si>
    <t>esantiago24@ucmerced.edu</t>
  </si>
  <si>
    <t>Flor</t>
  </si>
  <si>
    <t>kflor@ucmerced.edu</t>
  </si>
  <si>
    <t>Tiara</t>
  </si>
  <si>
    <t>Armanino Dayrit</t>
  </si>
  <si>
    <t>tarmaninodayrit@ucmerced.edu</t>
  </si>
  <si>
    <t>Hardy</t>
  </si>
  <si>
    <t>jhardy3@ucmerced.edu</t>
  </si>
  <si>
    <t>Kovin</t>
  </si>
  <si>
    <t>Aghassi Lelham</t>
  </si>
  <si>
    <t>kaghassilelham@ucmerced.edu</t>
  </si>
  <si>
    <t>Nhan</t>
  </si>
  <si>
    <t>Cao</t>
  </si>
  <si>
    <t>ncao2@ucmerced.edu</t>
  </si>
  <si>
    <t>Victor</t>
  </si>
  <si>
    <t>vnguyen284@ucmerced.edu</t>
  </si>
  <si>
    <t>Brian</t>
  </si>
  <si>
    <t>Ceja</t>
  </si>
  <si>
    <t>bceja9@ucmerced.edu</t>
  </si>
  <si>
    <t>Joseph</t>
  </si>
  <si>
    <t>Webb</t>
  </si>
  <si>
    <t>jwebb3@ucmerced.edu</t>
  </si>
  <si>
    <t>Ragan</t>
  </si>
  <si>
    <t>tragan@ucmerced.edu</t>
  </si>
  <si>
    <t>Wilson</t>
  </si>
  <si>
    <t>Chuong</t>
  </si>
  <si>
    <t>wchuong@ucmerced.edu</t>
  </si>
  <si>
    <t>Daniela</t>
  </si>
  <si>
    <t>dramirezhernandez@ucmerced.edu</t>
  </si>
  <si>
    <t>ihernandez52@ucmerced.edu</t>
  </si>
  <si>
    <t>Joshua</t>
  </si>
  <si>
    <t>Young</t>
  </si>
  <si>
    <t>jyoung38@ucmerced.edu</t>
  </si>
  <si>
    <t>Victoria</t>
  </si>
  <si>
    <t>Mendoza</t>
  </si>
  <si>
    <t>vmendoza8@ucmerced.edu</t>
  </si>
  <si>
    <t>Curtis</t>
  </si>
  <si>
    <t>Kremerskotter</t>
  </si>
  <si>
    <t>ckremerskotter@ucmerced.edu</t>
  </si>
  <si>
    <t>Navarrete</t>
  </si>
  <si>
    <t>dnavarrete4@ucmerced.edu</t>
  </si>
  <si>
    <t>Shruti</t>
  </si>
  <si>
    <t>Chakraborty</t>
  </si>
  <si>
    <t>schakraborty@ucmerced.edu</t>
  </si>
  <si>
    <t>Sakawat</t>
  </si>
  <si>
    <t>Thanvir</t>
  </si>
  <si>
    <t>sthanvir@ucmerced.edu</t>
  </si>
  <si>
    <t>Gualberto</t>
  </si>
  <si>
    <t>Hernandez Echeverria</t>
  </si>
  <si>
    <t>ghernandezecheverr@ucmerced.edu</t>
  </si>
  <si>
    <t>Jahlani</t>
  </si>
  <si>
    <t>Mccrumby</t>
  </si>
  <si>
    <t>jmccrumby@ucmerced.edu</t>
  </si>
  <si>
    <t>Lizbeth</t>
  </si>
  <si>
    <t>lsanchez53@ucmerced.edu</t>
  </si>
  <si>
    <t>Clifford</t>
  </si>
  <si>
    <t>nclifford@ucmerced.edu</t>
  </si>
  <si>
    <t>Aurora</t>
  </si>
  <si>
    <t>Rodriguez Teodoro</t>
  </si>
  <si>
    <t>arodriguezteodoro@ucmerced.edu</t>
  </si>
  <si>
    <t>Diana</t>
  </si>
  <si>
    <t>Cruz Garcia</t>
  </si>
  <si>
    <t>dcruzgarcia@ucmerced.edu</t>
  </si>
  <si>
    <t>Ean</t>
  </si>
  <si>
    <t>Camacho-Escobedo</t>
  </si>
  <si>
    <t>ecamacho-escobedo@ucmerced.edu</t>
  </si>
  <si>
    <t>Jennifer</t>
  </si>
  <si>
    <t>Mendez</t>
  </si>
  <si>
    <t>jmendez65@ucmerced.edu</t>
  </si>
  <si>
    <t>Centurion</t>
  </si>
  <si>
    <t>Barron</t>
  </si>
  <si>
    <t>cbarron5@ucmerced.edu</t>
  </si>
  <si>
    <t>Abok</t>
  </si>
  <si>
    <t>eabok@ucmerced.edu</t>
  </si>
  <si>
    <t>Nodebechukwu</t>
  </si>
  <si>
    <t>Paully-Umeh</t>
  </si>
  <si>
    <t>npaully-umeh@ucmerced.edu</t>
  </si>
  <si>
    <t>Zen</t>
  </si>
  <si>
    <t>Unity</t>
  </si>
  <si>
    <t>zunity@ucmerced.edu</t>
  </si>
  <si>
    <t>Garrett</t>
  </si>
  <si>
    <t>Johnson</t>
  </si>
  <si>
    <t>gjohnson7@ucmerced.edu</t>
  </si>
  <si>
    <t>Hla</t>
  </si>
  <si>
    <t>Lwin</t>
  </si>
  <si>
    <t>hlwin2@ucmerced.edu</t>
  </si>
  <si>
    <t>Ibrahim</t>
  </si>
  <si>
    <t>Sabih</t>
  </si>
  <si>
    <t>isabih@ucmerced.edu</t>
  </si>
  <si>
    <t>Michael</t>
  </si>
  <si>
    <t>Ponce</t>
  </si>
  <si>
    <t>mponce9@ucmerced.edu</t>
  </si>
  <si>
    <t>Burns</t>
  </si>
  <si>
    <t>cburns6@ucmerced.edu</t>
  </si>
  <si>
    <t>Jared</t>
  </si>
  <si>
    <t>Diliberto</t>
  </si>
  <si>
    <t>jdiliberto@ucmerced.edu</t>
  </si>
  <si>
    <t>mperez271@ucmerced.edu</t>
  </si>
  <si>
    <t>Rodrigo</t>
  </si>
  <si>
    <t>Elizarraraz</t>
  </si>
  <si>
    <t>relizarraraz@ucmerced.edu</t>
  </si>
  <si>
    <t>Gui Rong</t>
  </si>
  <si>
    <t>gchang23@ucmerced.edu</t>
  </si>
  <si>
    <t>jmorales117@ucmerced.edu</t>
  </si>
  <si>
    <t>Dutka</t>
  </si>
  <si>
    <t>mdutka@ucmerced.edu</t>
  </si>
  <si>
    <t>Marvin</t>
  </si>
  <si>
    <t>Parungao</t>
  </si>
  <si>
    <t>mparungao1@ucmerced.edu</t>
  </si>
  <si>
    <t>Andres</t>
  </si>
  <si>
    <t>Torres</t>
  </si>
  <si>
    <t>atorres256@ucmerced.edu</t>
  </si>
  <si>
    <t>Neil Jones Foods (San Benito Foods)</t>
  </si>
  <si>
    <t>Kuang</t>
  </si>
  <si>
    <t>kkuang3@ucmerced.edu</t>
  </si>
  <si>
    <t>Marcos</t>
  </si>
  <si>
    <t>mmorales82@ucmerced.edu</t>
  </si>
  <si>
    <t>William</t>
  </si>
  <si>
    <t>Le</t>
  </si>
  <si>
    <t>wle2@ucmerced.edu</t>
  </si>
  <si>
    <t>Abraham</t>
  </si>
  <si>
    <t>Avendano</t>
  </si>
  <si>
    <t>aavendano4@ucmerced.edu</t>
  </si>
  <si>
    <t>Jonathan</t>
  </si>
  <si>
    <t>Aguilera</t>
  </si>
  <si>
    <t>jaguilera27@ucmerced.edu</t>
  </si>
  <si>
    <t>Justin</t>
  </si>
  <si>
    <t>Pham</t>
  </si>
  <si>
    <t>jpham63@ucmerced.edu</t>
  </si>
  <si>
    <t>Linda</t>
  </si>
  <si>
    <t>Castellanos-Torres</t>
  </si>
  <si>
    <t>lcastellanos-torre@ucmerced.edu</t>
  </si>
  <si>
    <t>jmendoza223@ucmerced.edu</t>
  </si>
  <si>
    <t>Vienna</t>
  </si>
  <si>
    <t>Banez</t>
  </si>
  <si>
    <t>vbanez2@ucmerced.edu</t>
  </si>
  <si>
    <t>Wendy</t>
  </si>
  <si>
    <t>Ninomiya</t>
  </si>
  <si>
    <t>wninomiya@ucmerced.edu</t>
  </si>
  <si>
    <t>Yi Hao</t>
  </si>
  <si>
    <t>Xie</t>
  </si>
  <si>
    <t>yxie11@ucmerced.edu</t>
  </si>
  <si>
    <t>Leonel</t>
  </si>
  <si>
    <t>Arvizu</t>
  </si>
  <si>
    <t>larvizu@ucmerced.edu</t>
  </si>
  <si>
    <t>Charlotte</t>
  </si>
  <si>
    <t>Calvario</t>
  </si>
  <si>
    <t>ccalvario@ucmerced.edu</t>
  </si>
  <si>
    <t>Ismael</t>
  </si>
  <si>
    <t>Ontiveros</t>
  </si>
  <si>
    <t>iontiveros@ucmerced.edu</t>
  </si>
  <si>
    <t>Stephanie</t>
  </si>
  <si>
    <t>Segura</t>
  </si>
  <si>
    <t>ssegura4@ucmerced.edu</t>
  </si>
  <si>
    <t>Brooklyn</t>
  </si>
  <si>
    <t>bjames8@ucmerced.edu</t>
  </si>
  <si>
    <t>Orozco</t>
  </si>
  <si>
    <t>sorozco23@ucmerced.edu</t>
  </si>
  <si>
    <t>Megan</t>
  </si>
  <si>
    <t>Pinkus</t>
  </si>
  <si>
    <t>mpinkus@ucmerced.edu</t>
  </si>
  <si>
    <t>Elaina</t>
  </si>
  <si>
    <t>Cavada</t>
  </si>
  <si>
    <t>ecavada@ucmerced.edu</t>
  </si>
  <si>
    <t>Nefertari</t>
  </si>
  <si>
    <t>Marin</t>
  </si>
  <si>
    <t>nmarin2@ucmerced.edu</t>
  </si>
  <si>
    <t>Salas Hernandez</t>
  </si>
  <si>
    <t>jsalashernandez@ucmerced.edu</t>
  </si>
  <si>
    <t>Tasos</t>
  </si>
  <si>
    <t>Tentoglou</t>
  </si>
  <si>
    <t>atentoglou@ucmerced.edu</t>
  </si>
  <si>
    <t>Alexander Nguyen    Emmanuel Egun    Jacob Espinosa    Mariella Quevada</t>
  </si>
  <si>
    <t>Anthony Alfaro    Austin Dahlin    Eberardo Camorlinga-Ruiz    Son Tran</t>
  </si>
  <si>
    <t>Jose Gomez    Josef Hand    Kevin Aguirre    Ricardo Garcia Limon</t>
  </si>
  <si>
    <t>Daniel Cooney    Daniel Thomas    Jasmine Heer    Luz Mascorro Ramirez    Thomas Anderson</t>
  </si>
  <si>
    <t>Cindy Cervantes    Juan Garcia    Mary Baltazar    Quinncie Reider</t>
  </si>
  <si>
    <t>Alfonso Villafuerte    Renato Mendoza Chavez    Ranulfo Tinta-Hernandez Jr    Shangkun Yang</t>
  </si>
  <si>
    <t>Arturo Juarez    Diego Banuelos    Juan Amezcua Ramirez    Juan Guzman</t>
  </si>
  <si>
    <t>Andy Lin    Alexis Prieto    Jose Landeros    Ravinderjit Sidhu</t>
  </si>
  <si>
    <t>Jesus Beatriz    Jose Galvan    Marquise Jefferson    Shushen Chen</t>
  </si>
  <si>
    <t>Anthony Morales    Eddie Santiago    Kelvin Flor    Tiara Armanino Dayrit</t>
  </si>
  <si>
    <t>Jacob Hardy    Kovin Aghassi Lelham    Nhan Cao    Victor Nguyen</t>
  </si>
  <si>
    <t>Brian Ceja    Joseph Webb    Tanner Ragan    Wilson Chuong</t>
  </si>
  <si>
    <t>Daniela Garcia    Ivan Hernandez    Joshua Young    Victoria Mendoza</t>
  </si>
  <si>
    <t>Curtis Kremerskotter    Daniel Navarrete    Shruti Chakraborty    Sakawat Thanvir</t>
  </si>
  <si>
    <t>Gualberto Hernandez Echeverria    Jahlani Mccrumby    Lizbeth Sanchez    Nicholas Clifford</t>
  </si>
  <si>
    <t>Aurora Rodriguez Teodoro    Diana Cruz Garcia    Ean Camacho-Escobedo    Jennifer Mendez</t>
  </si>
  <si>
    <t>Centurion Barron    Emmanuel Abok    Nodebechukwu Paully-Umeh    Zen Unity</t>
  </si>
  <si>
    <t>Garrett Johnson    Hla Lwin    Ibrahim Sabih    Michael Ponce</t>
  </si>
  <si>
    <t>Connor Burns    Jared Diliberto    Matthew Perez    Rodrigo Elizarraraz</t>
  </si>
  <si>
    <t>Gui Rong Chang    Jose Morales    Mark Dutka    Marvin Parungao</t>
  </si>
  <si>
    <t>Andres Torres    Kevin Kuang    Marcos Morales    William Le</t>
  </si>
  <si>
    <t>Abraham Avendano    Jonathan Aguilera    Justin Pham    Linda Castellanos-Torres</t>
  </si>
  <si>
    <t>Jonathan Mendoza    Vienna Banez    Wendy Ninomiya    Yi Hao Xie</t>
  </si>
  <si>
    <t>Aaron Kaushal    Alex Taylor    Loreta Camacho    Ranvir Singh</t>
  </si>
  <si>
    <t>David Salse    Fabiola Pineda    Sidharth Babu    Sy Loc</t>
  </si>
  <si>
    <t>Bharadwaj Satyanarayana    Kevin Hernandez    Rohit Vemuri    Tanner Nodolf</t>
  </si>
  <si>
    <t>Aditi Kisara    Crystal Reynoso Figueroa    Shivanshu Gupta    Zachary Harry</t>
  </si>
  <si>
    <t>Adam Weingram    Isaac Shin    Junia Jacinto    Lafrance Daniels    Nu-Chong Lee</t>
  </si>
  <si>
    <t>Aaron Leung    Kelvin Nguyen    Mritthika Harish    Shivali Aggarwal</t>
  </si>
  <si>
    <t>Francisco Lira    Gregorio Contreras Cervantes    Julio Lopez    Mercedes Jimenez Garcia</t>
  </si>
  <si>
    <t>Connor Bourke    Elaine Huang    Matthew Chang    Ying Zhang</t>
  </si>
  <si>
    <t>Andy Bui    Benjamin Crawford    Brandon Duong    Brodey Nance</t>
  </si>
  <si>
    <t>Austin Near    Jason Chan    Nicholas Haines    Yoan Palacios Guzman</t>
  </si>
  <si>
    <t>Giovanni Perez    Jesse Luna    Nathan Edwards    Prabhnoor Brar</t>
  </si>
  <si>
    <t>Mark Ogbunamiri    James Short    Kyle Leung    Kyle Tucker    Samuel Kashiwase</t>
  </si>
  <si>
    <t>Alexander Woersching    Chelsea Zhao    Jacqueline Nguyen    Tommy Nguyen     Vianca Reynoso</t>
  </si>
  <si>
    <t>Ivan Padilla    Misael Bolainez    Nathan Huynh    Timothy Ha</t>
  </si>
  <si>
    <t>Alejandro Sanchez    Aramy Truong    Emelio Barba    Vincent Nguyen</t>
  </si>
  <si>
    <t>Brayam Corral Flores    Erick Barajas    Manuel Toro Garcia    Sreeda Vemuri</t>
  </si>
  <si>
    <t>Matthew Nor    Partap Singh    Subhalakshmi Balaji    Sofia Figueroa</t>
  </si>
  <si>
    <t>Colin Schmierer    Eric Li    Nicholas Ly    Samuel Carlos</t>
  </si>
  <si>
    <t>Apsara Fite    David Chu    Louis Perez    Solomon Denning</t>
  </si>
  <si>
    <t>Cesar Garcia    Graciela Moreno    Gordon Tong    Higinio Ramirez    Miguel Paolo Al Tercero</t>
  </si>
  <si>
    <t>Sydney Cripe, Jairo Carreon, Rogelio Aguilar, Jesus Martinez-De Santos, Ryan Valadez</t>
  </si>
  <si>
    <t>Sydney Cripe    Jairo Carreon    Rogelio Aguilar    Jesus Martinez-De Santos    Ryan Valadez</t>
  </si>
  <si>
    <t>Alfonso Nevarez, Yingshi Liu, Pedro Torres, Ankit Sompura, Benito Hernandez</t>
  </si>
  <si>
    <t>Alfonso Nevarez    Yingshi Liu    Pedro Torres    Ankit Sompura    Benito Hernandez</t>
  </si>
  <si>
    <t xml:space="preserve">Project Title </t>
  </si>
  <si>
    <t>Windrow</t>
  </si>
  <si>
    <t>Automated Compost Turner</t>
  </si>
  <si>
    <t>Tomato Recovery Team</t>
  </si>
  <si>
    <t>Capturing Tomatoes from Rock Removal System</t>
  </si>
  <si>
    <t>Tomato Feeder MOT Removal</t>
  </si>
  <si>
    <t>Removing Sand and Silt from Tomato Flume</t>
  </si>
  <si>
    <t>MOT Busters</t>
  </si>
  <si>
    <t>Removing Light Materials-Other-Than-Tomatoes (MOT) from the Tomato Flume Transport System</t>
  </si>
  <si>
    <t>Tomato-Tomato</t>
  </si>
  <si>
    <t>Reducing Finisher Screen Damage by Better Preparation of Tomato Pulp</t>
  </si>
  <si>
    <t>Tomato Town Droppers</t>
  </si>
  <si>
    <t>Tomato Harvester Self-Cleaning Kit</t>
  </si>
  <si>
    <t>Pomodoro Salato</t>
  </si>
  <si>
    <t>Controlling Sodium Levels in Topping Juice</t>
  </si>
  <si>
    <t>Team Roast</t>
  </si>
  <si>
    <t>Small Scale Vegetable Roasting</t>
  </si>
  <si>
    <t>Getting a Grip</t>
  </si>
  <si>
    <t>Agriculture Grasping</t>
  </si>
  <si>
    <t>Simple Made Difficult</t>
  </si>
  <si>
    <t>Vehicle Door Open/Closing Test Device</t>
  </si>
  <si>
    <t>Squirrel'd Away</t>
  </si>
  <si>
    <t>Down the Squirrel Hole</t>
  </si>
  <si>
    <t>Patient Assistant Logger</t>
  </si>
  <si>
    <t>Patient logger reporting</t>
  </si>
  <si>
    <t>Cow Bound</t>
  </si>
  <si>
    <t>Virtual Livestock Fence</t>
  </si>
  <si>
    <t>EcoHub Design</t>
  </si>
  <si>
    <t>Sustainable Transit Facility Design</t>
  </si>
  <si>
    <t>Burning Bad</t>
  </si>
  <si>
    <t>Biochar Oxidation</t>
  </si>
  <si>
    <t>U-Power</t>
  </si>
  <si>
    <t>Renewable Smart Power Brick Phase 2</t>
  </si>
  <si>
    <t>A-Team</t>
  </si>
  <si>
    <t>Algae Busters</t>
  </si>
  <si>
    <t>Dust Exhausters</t>
  </si>
  <si>
    <t>Dust Control Utilizing Fluid Dynamics</t>
  </si>
  <si>
    <t>Lightweight</t>
  </si>
  <si>
    <t>Ballast Lift Assist</t>
  </si>
  <si>
    <t>Who Caught Roger Rabbit</t>
  </si>
  <si>
    <t>PLR</t>
  </si>
  <si>
    <t>Virtual Barriers</t>
  </si>
  <si>
    <t>Next Step Bobcats</t>
  </si>
  <si>
    <t>Biochar</t>
  </si>
  <si>
    <t>Rough Riders</t>
  </si>
  <si>
    <t>Adjustable Mountain Bike Seat</t>
  </si>
  <si>
    <t>Keg lifters</t>
  </si>
  <si>
    <t>Cornelius Keg Storage Ergonomic Improvement</t>
  </si>
  <si>
    <t>The Flow Co.</t>
  </si>
  <si>
    <t>Mesh Network Leak Detection in Drip Lines/Emission Devices</t>
  </si>
  <si>
    <t>Pellet Containment</t>
  </si>
  <si>
    <t>Pallet containment and handling</t>
  </si>
  <si>
    <t>Accel Solutions</t>
  </si>
  <si>
    <t>Test Bench for Sensors &amp; Harnesses</t>
  </si>
  <si>
    <t>Hay There</t>
  </si>
  <si>
    <t>Feeding the Animals</t>
  </si>
  <si>
    <t>#1 Team</t>
  </si>
  <si>
    <t>Cardboard Box to Cloud</t>
  </si>
  <si>
    <t>B2C</t>
  </si>
  <si>
    <t>BOXerBois</t>
  </si>
  <si>
    <t>Aggy</t>
  </si>
  <si>
    <t>Pest Control Reporting</t>
  </si>
  <si>
    <t>Verminators</t>
  </si>
  <si>
    <t>r/HydroHomies</t>
  </si>
  <si>
    <t>Water Boys</t>
  </si>
  <si>
    <t>RobotWatch</t>
  </si>
  <si>
    <t>Service Reminder Application for Industrial and Mobile Robots</t>
  </si>
  <si>
    <t>Pit Stop</t>
  </si>
  <si>
    <t>At Your Service</t>
  </si>
  <si>
    <t>Agri Tab</t>
  </si>
  <si>
    <t>Customizable Views of Ag-gregated Data</t>
  </si>
  <si>
    <t>BLART (BListeringly fAst Rendered Tables)</t>
  </si>
  <si>
    <t>DataFarm</t>
  </si>
  <si>
    <t>Volunteer Hero</t>
  </si>
  <si>
    <t>UWMC's Volunteer Here</t>
  </si>
  <si>
    <t>Discover Help</t>
  </si>
  <si>
    <t>I2V</t>
  </si>
  <si>
    <t>Bart Central Valley Express</t>
  </si>
  <si>
    <t>Virtual Substation</t>
  </si>
  <si>
    <t>Over 9000 Amps</t>
  </si>
  <si>
    <t>Battery Guys</t>
  </si>
  <si>
    <t>Automated Battery Monitoring for Life Safety Assets</t>
  </si>
  <si>
    <t>Batteryzilla</t>
  </si>
  <si>
    <t>Spark De Triomphe</t>
  </si>
  <si>
    <t>Team GGs</t>
  </si>
  <si>
    <t>Patient logger environment</t>
  </si>
  <si>
    <t>PatientLog</t>
  </si>
  <si>
    <t>Glide Away</t>
  </si>
  <si>
    <t>Docker Based On-Premises Modbus/Bacnet Server</t>
  </si>
  <si>
    <t>Docker Crew</t>
  </si>
  <si>
    <t>Sweep Store</t>
  </si>
  <si>
    <t>Secure Realtime DB Import Desktop App</t>
  </si>
  <si>
    <t>Proton Import</t>
  </si>
  <si>
    <t>Italian Grey Wolves</t>
  </si>
  <si>
    <t>Database front-end app</t>
  </si>
  <si>
    <t>DataStack</t>
  </si>
  <si>
    <t>Wings</t>
  </si>
  <si>
    <t>Permafrost</t>
  </si>
  <si>
    <t>Connecting Communities</t>
  </si>
  <si>
    <t>Neil Jones Foods</t>
  </si>
  <si>
    <t>2021-08-Fall</t>
  </si>
  <si>
    <t>San Joquain Air Pollution Control District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</si>
</sst>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6">
    <font>
      <sz val="10.0"/>
      <color rgb="FF000000"/>
      <name val="Arial"/>
      <scheme val="minor"/>
    </font>
    <font>
      <b/>
      <sz val="9.0"/>
      <color theme="1"/>
      <name val="Arial"/>
    </font>
    <font>
      <sz val="9.0"/>
      <color theme="1"/>
      <name val="Arial"/>
    </font>
    <font>
      <color theme="1"/>
      <name val="Arial"/>
      <scheme val="minor"/>
    </font>
    <font>
      <sz val="9.0"/>
      <color rgb="FF000000"/>
      <name val="Arial"/>
    </font>
    <font>
      <sz val="7.0"/>
      <color theme="1"/>
      <name val="Arial"/>
      <scheme val="minor"/>
    </font>
  </fonts>
  <fills count="6">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
      <patternFill patternType="solid">
        <fgColor rgb="FFD9D9D9"/>
        <bgColor rgb="FFD9D9D9"/>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164" xfId="0" applyAlignment="1" applyFont="1" applyNumberFormat="1">
      <alignment horizontal="left" shrinkToFit="0" vertical="center" wrapText="0"/>
    </xf>
    <xf borderId="0" fillId="2" fontId="1" numFmtId="0" xfId="0" applyAlignment="1" applyFont="1">
      <alignment horizontal="left" shrinkToFit="0" vertical="center" wrapText="0"/>
    </xf>
    <xf borderId="0" fillId="3" fontId="1"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horizontal="left" readingOrder="0" shrinkToFit="0" vertical="center" wrapText="0"/>
    </xf>
    <xf borderId="0" fillId="4" fontId="2" numFmtId="0" xfId="0" applyAlignment="1" applyFill="1" applyFont="1">
      <alignment horizontal="left" readingOrder="0" shrinkToFit="0" vertical="center" wrapText="0"/>
    </xf>
    <xf borderId="0" fillId="4" fontId="2" numFmtId="0" xfId="0" applyAlignment="1" applyFont="1">
      <alignment horizontal="left" shrinkToFit="0" vertical="center" wrapText="0"/>
    </xf>
    <xf borderId="0" fillId="0" fontId="2" numFmtId="0" xfId="0" applyAlignment="1" applyFont="1">
      <alignment horizontal="left" shrinkToFit="0" vertical="center" wrapText="0"/>
    </xf>
    <xf borderId="0" fillId="0" fontId="3" numFmtId="0" xfId="0" applyAlignment="1" applyFont="1">
      <alignment horizontal="left" shrinkToFit="0" vertical="center" wrapText="0"/>
    </xf>
    <xf borderId="0" fillId="0" fontId="2" numFmtId="0" xfId="0" applyAlignment="1" applyFont="1">
      <alignment horizontal="left" shrinkToFit="0" vertical="center" wrapText="0"/>
    </xf>
    <xf borderId="0" fillId="5" fontId="1" numFmtId="0" xfId="0" applyAlignment="1" applyFill="1" applyFont="1">
      <alignment horizontal="left" shrinkToFit="0" vertical="center" wrapText="0"/>
    </xf>
    <xf borderId="0" fillId="5"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4" numFmtId="0" xfId="0" applyAlignment="1" applyFont="1">
      <alignment horizontal="left" shrinkToFit="0" vertical="center" wrapText="0"/>
    </xf>
    <xf borderId="0" fillId="4" fontId="2" numFmtId="0" xfId="0" applyAlignment="1" applyFont="1">
      <alignment horizontal="left"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xf>
    <xf borderId="0" fillId="0" fontId="2" numFmtId="0" xfId="0" applyAlignment="1" applyFont="1">
      <alignment readingOrder="0" vertical="center"/>
    </xf>
    <xf borderId="0" fillId="0" fontId="2" numFmtId="0" xfId="0" applyAlignment="1" applyFont="1">
      <alignment vertical="center"/>
    </xf>
    <xf borderId="0" fillId="0" fontId="2" numFmtId="0" xfId="0" applyAlignment="1" applyFont="1">
      <alignment readingOrder="0" vertical="center"/>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readingOrder="0" vertical="center"/>
    </xf>
    <xf borderId="0" fillId="0" fontId="3" numFmtId="0" xfId="0" applyAlignment="1" applyFont="1">
      <alignment vertical="center"/>
    </xf>
    <xf borderId="0" fillId="0" fontId="3" numFmtId="0" xfId="0" applyAlignment="1" applyFont="1">
      <alignment horizontal="left" readingOrder="0" shrinkToFit="0" vertical="center" wrapText="0"/>
    </xf>
    <xf borderId="0" fillId="0" fontId="3" numFmtId="0" xfId="0" applyAlignment="1" applyFont="1">
      <alignment horizontal="left"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0"/>
    </xf>
    <xf borderId="0" fillId="0" fontId="3"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6.13"/>
    <col customWidth="1" min="4" max="4" width="6.0"/>
    <col customWidth="1" min="5" max="5" width="7.38"/>
    <col customWidth="1" min="6" max="6" width="17.88"/>
    <col customWidth="1" min="7" max="7" width="30.88"/>
    <col customWidth="1" min="8" max="8" width="23.25"/>
    <col customWidth="1" min="9" max="9" width="19.0"/>
    <col customWidth="1" min="10" max="10" width="32.5"/>
    <col customWidth="1" min="11" max="11" width="66.75"/>
    <col customWidth="1" min="12" max="12" width="49.5"/>
  </cols>
  <sheetData>
    <row r="1" ht="18.75" customHeight="1">
      <c r="A1" s="1" t="s">
        <v>0</v>
      </c>
      <c r="B1" s="2" t="s">
        <v>1</v>
      </c>
      <c r="C1" s="1" t="s">
        <v>2</v>
      </c>
      <c r="D1" s="1" t="s">
        <v>3</v>
      </c>
      <c r="E1" s="3" t="s">
        <v>4</v>
      </c>
      <c r="F1" s="3" t="s">
        <v>5</v>
      </c>
      <c r="G1" s="1" t="s">
        <v>6</v>
      </c>
      <c r="H1" s="1" t="s">
        <v>7</v>
      </c>
      <c r="I1" s="1" t="s">
        <v>8</v>
      </c>
      <c r="J1" s="4" t="s">
        <v>9</v>
      </c>
      <c r="K1" s="4" t="s">
        <v>10</v>
      </c>
      <c r="L1" s="5" t="s">
        <v>11</v>
      </c>
      <c r="M1" s="6"/>
      <c r="N1" s="6"/>
      <c r="O1" s="6"/>
      <c r="P1" s="6"/>
      <c r="Q1" s="6"/>
      <c r="R1" s="6"/>
      <c r="S1" s="6"/>
      <c r="T1" s="6"/>
      <c r="U1" s="6"/>
      <c r="V1" s="6"/>
      <c r="W1" s="6"/>
      <c r="X1" s="6"/>
      <c r="Y1" s="6"/>
    </row>
    <row r="2" ht="18.75" customHeight="1">
      <c r="A2" s="7">
        <v>4.0</v>
      </c>
      <c r="B2" s="7">
        <v>1.0</v>
      </c>
      <c r="C2" s="8" t="s">
        <v>12</v>
      </c>
      <c r="D2" s="8" t="s">
        <v>13</v>
      </c>
      <c r="E2" s="7" t="s">
        <v>14</v>
      </c>
      <c r="F2" s="7" t="s">
        <v>15</v>
      </c>
      <c r="G2" s="9" t="s">
        <v>16</v>
      </c>
      <c r="H2" s="10" t="s">
        <v>17</v>
      </c>
      <c r="I2" s="7" t="s">
        <v>18</v>
      </c>
      <c r="J2" s="7" t="s">
        <v>19</v>
      </c>
      <c r="K2" s="7" t="s">
        <v>20</v>
      </c>
      <c r="L2" s="7" t="str">
        <f t="shared" ref="L2:L47" si="1">"Team: " &amp; F2 &amp; "  -  Project: " &amp; G2</f>
        <v>Team: Team Holography  -  Project: Low-Cost High-Resolution Digital In-Line Holographic Microscope (DIHM)</v>
      </c>
      <c r="M2" s="6"/>
      <c r="N2" s="11"/>
      <c r="O2" s="7"/>
      <c r="P2" s="7"/>
      <c r="Q2" s="6"/>
      <c r="R2" s="6"/>
      <c r="S2" s="6"/>
      <c r="T2" s="6"/>
      <c r="U2" s="6"/>
      <c r="V2" s="6"/>
      <c r="W2" s="6"/>
      <c r="X2" s="6"/>
      <c r="Y2" s="6"/>
    </row>
    <row r="3" ht="18.75" customHeight="1">
      <c r="A3" s="7">
        <v>4.0</v>
      </c>
      <c r="B3" s="7">
        <v>2.0</v>
      </c>
      <c r="C3" s="8" t="s">
        <v>12</v>
      </c>
      <c r="D3" s="8" t="s">
        <v>13</v>
      </c>
      <c r="E3" s="8" t="s">
        <v>21</v>
      </c>
      <c r="F3" s="7" t="s">
        <v>22</v>
      </c>
      <c r="G3" s="9" t="s">
        <v>23</v>
      </c>
      <c r="H3" s="10" t="s">
        <v>24</v>
      </c>
      <c r="I3" s="7" t="s">
        <v>25</v>
      </c>
      <c r="J3" s="7" t="s">
        <v>26</v>
      </c>
      <c r="K3" s="7" t="s">
        <v>27</v>
      </c>
      <c r="L3" s="7" t="str">
        <f t="shared" si="1"/>
        <v>Team: The GO2 Cage  -  Project: Small Animal Oxygen Cage</v>
      </c>
      <c r="M3" s="6"/>
      <c r="N3" s="11"/>
      <c r="O3" s="6"/>
      <c r="P3" s="7"/>
      <c r="Q3" s="6"/>
      <c r="R3" s="6"/>
      <c r="S3" s="6"/>
      <c r="T3" s="6"/>
      <c r="U3" s="6"/>
      <c r="V3" s="6"/>
      <c r="W3" s="6"/>
      <c r="X3" s="6"/>
      <c r="Y3" s="6"/>
    </row>
    <row r="4" ht="18.75" customHeight="1">
      <c r="A4" s="7">
        <v>3.0</v>
      </c>
      <c r="B4" s="7">
        <v>3.0</v>
      </c>
      <c r="C4" s="8" t="s">
        <v>12</v>
      </c>
      <c r="D4" s="8" t="s">
        <v>13</v>
      </c>
      <c r="E4" s="8" t="s">
        <v>28</v>
      </c>
      <c r="F4" s="7" t="s">
        <v>29</v>
      </c>
      <c r="G4" s="10" t="s">
        <v>30</v>
      </c>
      <c r="H4" s="10" t="s">
        <v>31</v>
      </c>
      <c r="I4" s="7" t="s">
        <v>32</v>
      </c>
      <c r="J4" s="7" t="s">
        <v>33</v>
      </c>
      <c r="K4" s="7" t="s">
        <v>34</v>
      </c>
      <c r="L4" s="7" t="str">
        <f t="shared" si="1"/>
        <v>Team: Oak Removal Team  -  Project: Oak Removal from Winery Tanks</v>
      </c>
      <c r="M4" s="6"/>
      <c r="N4" s="11"/>
      <c r="O4" s="7"/>
      <c r="P4" s="7"/>
      <c r="Q4" s="6"/>
      <c r="R4" s="6"/>
      <c r="S4" s="6"/>
      <c r="T4" s="6"/>
      <c r="U4" s="6"/>
      <c r="V4" s="6"/>
      <c r="W4" s="6"/>
      <c r="X4" s="6"/>
      <c r="Y4" s="6"/>
    </row>
    <row r="5" ht="18.75" customHeight="1">
      <c r="A5" s="7">
        <v>6.0</v>
      </c>
      <c r="B5" s="7">
        <v>1.0</v>
      </c>
      <c r="C5" s="8" t="s">
        <v>12</v>
      </c>
      <c r="D5" s="8" t="s">
        <v>13</v>
      </c>
      <c r="E5" s="7" t="s">
        <v>35</v>
      </c>
      <c r="F5" s="7" t="s">
        <v>36</v>
      </c>
      <c r="G5" s="10" t="s">
        <v>37</v>
      </c>
      <c r="H5" s="10" t="s">
        <v>38</v>
      </c>
      <c r="I5" s="7" t="s">
        <v>39</v>
      </c>
      <c r="J5" s="7" t="s">
        <v>40</v>
      </c>
      <c r="K5" s="7" t="s">
        <v>41</v>
      </c>
      <c r="L5" s="7" t="str">
        <f t="shared" si="1"/>
        <v>Team: A.B.S.S.  -  Project: Air Rescue Basket Stabilizer Phase 2</v>
      </c>
      <c r="M5" s="6"/>
      <c r="N5" s="11"/>
      <c r="O5" s="7"/>
      <c r="P5" s="7"/>
      <c r="Q5" s="6"/>
      <c r="R5" s="6"/>
      <c r="S5" s="6"/>
      <c r="T5" s="6"/>
      <c r="U5" s="6"/>
      <c r="V5" s="6"/>
      <c r="W5" s="6"/>
      <c r="X5" s="6"/>
      <c r="Y5" s="6"/>
    </row>
    <row r="6" ht="18.75" customHeight="1">
      <c r="A6" s="7">
        <v>3.0</v>
      </c>
      <c r="B6" s="7">
        <v>4.0</v>
      </c>
      <c r="C6" s="8" t="s">
        <v>12</v>
      </c>
      <c r="D6" s="8" t="s">
        <v>13</v>
      </c>
      <c r="E6" s="7" t="s">
        <v>42</v>
      </c>
      <c r="F6" s="7" t="s">
        <v>43</v>
      </c>
      <c r="G6" s="9" t="s">
        <v>44</v>
      </c>
      <c r="H6" s="10" t="s">
        <v>45</v>
      </c>
      <c r="I6" s="7" t="s">
        <v>32</v>
      </c>
      <c r="J6" s="7" t="s">
        <v>46</v>
      </c>
      <c r="K6" s="7" t="s">
        <v>47</v>
      </c>
      <c r="L6" s="7" t="str">
        <f t="shared" si="1"/>
        <v>Team: Tubular Almonds  -  Project: Tubular Drag Conveyor Cleaning System</v>
      </c>
      <c r="M6" s="6"/>
      <c r="N6" s="11"/>
      <c r="O6" s="7"/>
      <c r="P6" s="7"/>
      <c r="Q6" s="6"/>
      <c r="R6" s="6"/>
      <c r="S6" s="6"/>
      <c r="T6" s="6"/>
      <c r="U6" s="6"/>
      <c r="V6" s="6"/>
      <c r="W6" s="6"/>
      <c r="X6" s="6"/>
      <c r="Y6" s="6"/>
    </row>
    <row r="7" ht="18.75" customHeight="1">
      <c r="A7" s="7">
        <v>3.0</v>
      </c>
      <c r="B7" s="7">
        <v>1.0</v>
      </c>
      <c r="C7" s="8" t="s">
        <v>12</v>
      </c>
      <c r="D7" s="8" t="s">
        <v>13</v>
      </c>
      <c r="E7" s="7" t="s">
        <v>48</v>
      </c>
      <c r="F7" s="7" t="s">
        <v>49</v>
      </c>
      <c r="G7" s="9" t="s">
        <v>50</v>
      </c>
      <c r="H7" s="10" t="s">
        <v>51</v>
      </c>
      <c r="I7" s="7" t="s">
        <v>52</v>
      </c>
      <c r="J7" s="7" t="s">
        <v>53</v>
      </c>
      <c r="K7" s="7" t="s">
        <v>54</v>
      </c>
      <c r="L7" s="7" t="str">
        <f t="shared" si="1"/>
        <v>Team: Team 6  -  Project: Design Gripper for 3 Axis Robot in Agriculture</v>
      </c>
      <c r="M7" s="6"/>
      <c r="N7" s="11"/>
      <c r="O7" s="6"/>
      <c r="P7" s="7"/>
      <c r="Q7" s="6"/>
      <c r="R7" s="6"/>
      <c r="S7" s="6"/>
      <c r="T7" s="6"/>
      <c r="U7" s="6"/>
      <c r="V7" s="6"/>
      <c r="W7" s="6"/>
      <c r="X7" s="6"/>
      <c r="Y7" s="6"/>
    </row>
    <row r="8" ht="18.75" customHeight="1">
      <c r="A8" s="7">
        <v>3.0</v>
      </c>
      <c r="B8" s="7">
        <v>2.0</v>
      </c>
      <c r="C8" s="8" t="s">
        <v>12</v>
      </c>
      <c r="D8" s="8" t="s">
        <v>13</v>
      </c>
      <c r="E8" s="7" t="s">
        <v>55</v>
      </c>
      <c r="F8" s="7" t="s">
        <v>56</v>
      </c>
      <c r="G8" s="9" t="s">
        <v>57</v>
      </c>
      <c r="H8" s="10" t="s">
        <v>58</v>
      </c>
      <c r="I8" s="7" t="s">
        <v>32</v>
      </c>
      <c r="J8" s="7" t="s">
        <v>59</v>
      </c>
      <c r="K8" s="7" t="s">
        <v>60</v>
      </c>
      <c r="L8" s="7" t="str">
        <f t="shared" si="1"/>
        <v>Team: The Ream Team  -  Project: Chili Reaming</v>
      </c>
      <c r="M8" s="6"/>
      <c r="N8" s="11"/>
      <c r="O8" s="6"/>
      <c r="P8" s="7"/>
      <c r="Q8" s="6"/>
      <c r="R8" s="6"/>
      <c r="S8" s="6"/>
      <c r="T8" s="6"/>
      <c r="U8" s="6"/>
      <c r="V8" s="6"/>
      <c r="W8" s="6"/>
      <c r="X8" s="6"/>
      <c r="Y8" s="6"/>
    </row>
    <row r="9" ht="18.75" customHeight="1">
      <c r="A9" s="7">
        <v>1.0</v>
      </c>
      <c r="B9" s="7">
        <v>1.0</v>
      </c>
      <c r="C9" s="8" t="s">
        <v>12</v>
      </c>
      <c r="D9" s="8" t="s">
        <v>13</v>
      </c>
      <c r="E9" s="7" t="s">
        <v>61</v>
      </c>
      <c r="F9" s="7" t="s">
        <v>62</v>
      </c>
      <c r="G9" s="10" t="s">
        <v>63</v>
      </c>
      <c r="H9" s="10" t="s">
        <v>64</v>
      </c>
      <c r="I9" s="7" t="s">
        <v>52</v>
      </c>
      <c r="J9" s="7" t="s">
        <v>65</v>
      </c>
      <c r="K9" s="7" t="s">
        <v>66</v>
      </c>
      <c r="L9" s="7" t="str">
        <f t="shared" si="1"/>
        <v>Team: Auto Bots  -  Project: Auto Furrow Alert</v>
      </c>
      <c r="M9" s="6"/>
      <c r="N9" s="11"/>
      <c r="O9" s="7"/>
      <c r="P9" s="7"/>
      <c r="Q9" s="6"/>
      <c r="R9" s="6"/>
      <c r="S9" s="6"/>
      <c r="T9" s="6"/>
      <c r="U9" s="6"/>
      <c r="V9" s="6"/>
      <c r="W9" s="6"/>
      <c r="X9" s="6"/>
      <c r="Y9" s="6"/>
    </row>
    <row r="10" ht="18.75" customHeight="1">
      <c r="A10" s="7">
        <v>1.0</v>
      </c>
      <c r="B10" s="7">
        <v>2.0</v>
      </c>
      <c r="C10" s="8" t="s">
        <v>12</v>
      </c>
      <c r="D10" s="8" t="s">
        <v>13</v>
      </c>
      <c r="E10" s="7" t="s">
        <v>67</v>
      </c>
      <c r="F10" s="7" t="s">
        <v>68</v>
      </c>
      <c r="G10" s="10" t="s">
        <v>69</v>
      </c>
      <c r="H10" s="10" t="s">
        <v>64</v>
      </c>
      <c r="I10" s="7" t="s">
        <v>52</v>
      </c>
      <c r="J10" s="7" t="s">
        <v>70</v>
      </c>
      <c r="K10" s="7" t="s">
        <v>71</v>
      </c>
      <c r="L10" s="7" t="str">
        <f t="shared" si="1"/>
        <v>Team: The Seeders  -  Project: Big Seed Placer</v>
      </c>
      <c r="M10" s="6"/>
      <c r="N10" s="11"/>
      <c r="O10" s="7"/>
      <c r="P10" s="7"/>
      <c r="Q10" s="6"/>
      <c r="R10" s="6"/>
      <c r="S10" s="6"/>
      <c r="T10" s="6"/>
      <c r="U10" s="6"/>
      <c r="V10" s="6"/>
      <c r="W10" s="6"/>
      <c r="X10" s="6"/>
      <c r="Y10" s="6"/>
    </row>
    <row r="11" ht="18.75" customHeight="1">
      <c r="A11" s="7">
        <v>2.0</v>
      </c>
      <c r="B11" s="7">
        <v>1.0</v>
      </c>
      <c r="C11" s="8" t="s">
        <v>12</v>
      </c>
      <c r="D11" s="8" t="s">
        <v>13</v>
      </c>
      <c r="E11" s="7" t="s">
        <v>72</v>
      </c>
      <c r="F11" s="7" t="s">
        <v>73</v>
      </c>
      <c r="G11" s="9" t="s">
        <v>74</v>
      </c>
      <c r="H11" s="10" t="s">
        <v>75</v>
      </c>
      <c r="I11" s="7" t="s">
        <v>52</v>
      </c>
      <c r="J11" s="7" t="s">
        <v>76</v>
      </c>
      <c r="K11" s="7" t="s">
        <v>77</v>
      </c>
      <c r="L11" s="7" t="str">
        <f t="shared" si="1"/>
        <v>Team: Wasted Potential  -  Project: Remote Fertilizer Tank Data Communicator</v>
      </c>
      <c r="M11" s="6"/>
      <c r="N11" s="11"/>
      <c r="O11" s="7"/>
      <c r="P11" s="7"/>
      <c r="Q11" s="6"/>
      <c r="R11" s="6"/>
      <c r="S11" s="6"/>
      <c r="T11" s="6"/>
      <c r="U11" s="6"/>
      <c r="V11" s="6"/>
      <c r="W11" s="6"/>
      <c r="X11" s="6"/>
      <c r="Y11" s="6"/>
    </row>
    <row r="12" ht="18.75" customHeight="1">
      <c r="A12" s="7">
        <v>6.0</v>
      </c>
      <c r="B12" s="7">
        <v>2.0</v>
      </c>
      <c r="C12" s="8" t="s">
        <v>12</v>
      </c>
      <c r="D12" s="8" t="s">
        <v>13</v>
      </c>
      <c r="E12" s="7" t="s">
        <v>78</v>
      </c>
      <c r="F12" s="7" t="s">
        <v>79</v>
      </c>
      <c r="G12" s="9" t="s">
        <v>80</v>
      </c>
      <c r="H12" s="10" t="s">
        <v>81</v>
      </c>
      <c r="I12" s="7" t="s">
        <v>39</v>
      </c>
      <c r="J12" s="7" t="s">
        <v>82</v>
      </c>
      <c r="K12" s="7" t="s">
        <v>83</v>
      </c>
      <c r="L12" s="7" t="str">
        <f t="shared" si="1"/>
        <v>Team: BART Safety Indicator  -  Project: Contact Rail Energization Indicator</v>
      </c>
      <c r="M12" s="6"/>
      <c r="N12" s="11"/>
      <c r="O12" s="7"/>
      <c r="P12" s="7"/>
      <c r="Q12" s="6"/>
      <c r="R12" s="6"/>
      <c r="S12" s="6"/>
      <c r="T12" s="6"/>
      <c r="U12" s="6"/>
      <c r="V12" s="6"/>
      <c r="W12" s="6"/>
      <c r="X12" s="6"/>
      <c r="Y12" s="6"/>
    </row>
    <row r="13" ht="18.75" customHeight="1">
      <c r="A13" s="7">
        <v>2.0</v>
      </c>
      <c r="B13" s="7">
        <v>3.0</v>
      </c>
      <c r="C13" s="8" t="s">
        <v>12</v>
      </c>
      <c r="D13" s="8" t="s">
        <v>13</v>
      </c>
      <c r="E13" s="7" t="s">
        <v>84</v>
      </c>
      <c r="F13" s="7" t="s">
        <v>85</v>
      </c>
      <c r="G13" s="10" t="s">
        <v>86</v>
      </c>
      <c r="H13" s="10" t="s">
        <v>87</v>
      </c>
      <c r="I13" s="7" t="s">
        <v>88</v>
      </c>
      <c r="J13" s="7" t="s">
        <v>89</v>
      </c>
      <c r="K13" s="7" t="s">
        <v>90</v>
      </c>
      <c r="L13" s="7" t="str">
        <f t="shared" si="1"/>
        <v>Team: The Data Loggers  -  Project: Smart Turnout Data Logging</v>
      </c>
      <c r="M13" s="6"/>
      <c r="N13" s="11"/>
      <c r="O13" s="7"/>
      <c r="P13" s="7"/>
      <c r="Q13" s="6"/>
      <c r="R13" s="6"/>
      <c r="S13" s="6"/>
      <c r="T13" s="6"/>
      <c r="U13" s="6"/>
      <c r="V13" s="6"/>
      <c r="W13" s="6"/>
      <c r="X13" s="6"/>
      <c r="Y13" s="6"/>
    </row>
    <row r="14" ht="18.75" customHeight="1">
      <c r="A14" s="7">
        <v>1.0</v>
      </c>
      <c r="B14" s="7">
        <v>4.0</v>
      </c>
      <c r="C14" s="8" t="s">
        <v>12</v>
      </c>
      <c r="D14" s="8" t="s">
        <v>13</v>
      </c>
      <c r="E14" s="7" t="s">
        <v>91</v>
      </c>
      <c r="F14" s="7" t="s">
        <v>92</v>
      </c>
      <c r="G14" s="10" t="s">
        <v>93</v>
      </c>
      <c r="H14" s="10" t="s">
        <v>94</v>
      </c>
      <c r="I14" s="7" t="s">
        <v>52</v>
      </c>
      <c r="J14" s="7" t="s">
        <v>95</v>
      </c>
      <c r="K14" s="7" t="s">
        <v>96</v>
      </c>
      <c r="L14" s="7" t="str">
        <f t="shared" si="1"/>
        <v>Team: Plant Food Distributors  -  Project: Precision Granular Fertilizer Application on Young Almond Trees</v>
      </c>
      <c r="M14" s="6"/>
      <c r="N14" s="11"/>
      <c r="O14" s="7"/>
      <c r="P14" s="7"/>
      <c r="Q14" s="6"/>
      <c r="R14" s="6"/>
      <c r="S14" s="6"/>
      <c r="T14" s="6"/>
      <c r="U14" s="6"/>
      <c r="V14" s="6"/>
      <c r="W14" s="6"/>
      <c r="X14" s="6"/>
      <c r="Y14" s="6"/>
    </row>
    <row r="15" ht="18.75" customHeight="1">
      <c r="A15" s="7">
        <v>2.0</v>
      </c>
      <c r="B15" s="7">
        <v>2.0</v>
      </c>
      <c r="C15" s="8" t="s">
        <v>12</v>
      </c>
      <c r="D15" s="8" t="s">
        <v>13</v>
      </c>
      <c r="E15" s="7" t="s">
        <v>97</v>
      </c>
      <c r="F15" s="7" t="s">
        <v>98</v>
      </c>
      <c r="G15" s="9" t="s">
        <v>99</v>
      </c>
      <c r="H15" s="10" t="s">
        <v>100</v>
      </c>
      <c r="I15" s="7" t="s">
        <v>52</v>
      </c>
      <c r="J15" s="7" t="s">
        <v>101</v>
      </c>
      <c r="K15" s="7" t="s">
        <v>102</v>
      </c>
      <c r="L15" s="7" t="str">
        <f t="shared" si="1"/>
        <v>Team: Augers  -  Project: Shuttle Truck Augur Controllability</v>
      </c>
      <c r="M15" s="6"/>
      <c r="N15" s="11"/>
      <c r="O15" s="7"/>
      <c r="P15" s="7"/>
      <c r="Q15" s="6"/>
      <c r="R15" s="6"/>
      <c r="S15" s="6"/>
      <c r="T15" s="6"/>
      <c r="U15" s="6"/>
      <c r="V15" s="6"/>
      <c r="W15" s="6"/>
      <c r="X15" s="6"/>
      <c r="Y15" s="6"/>
    </row>
    <row r="16" ht="18.75" customHeight="1">
      <c r="A16" s="7">
        <v>4.0</v>
      </c>
      <c r="B16" s="7">
        <v>3.0</v>
      </c>
      <c r="C16" s="8" t="s">
        <v>12</v>
      </c>
      <c r="D16" s="8" t="s">
        <v>13</v>
      </c>
      <c r="E16" s="7" t="s">
        <v>103</v>
      </c>
      <c r="F16" s="7" t="s">
        <v>104</v>
      </c>
      <c r="G16" s="10" t="s">
        <v>105</v>
      </c>
      <c r="H16" s="12" t="s">
        <v>106</v>
      </c>
      <c r="I16" s="7" t="s">
        <v>39</v>
      </c>
      <c r="J16" s="7" t="s">
        <v>107</v>
      </c>
      <c r="K16" s="7" t="s">
        <v>108</v>
      </c>
      <c r="L16" s="7" t="str">
        <f t="shared" si="1"/>
        <v>Team: SCARA Calibration Team  -  Project: Fixed Robot Calibration Method</v>
      </c>
      <c r="M16" s="6"/>
      <c r="N16" s="11"/>
      <c r="O16" s="7"/>
      <c r="P16" s="7"/>
      <c r="Q16" s="6"/>
      <c r="R16" s="6"/>
      <c r="S16" s="6"/>
      <c r="T16" s="6"/>
      <c r="U16" s="6"/>
      <c r="V16" s="6"/>
      <c r="W16" s="6"/>
      <c r="X16" s="6"/>
      <c r="Y16" s="6"/>
    </row>
    <row r="17" ht="18.75" customHeight="1">
      <c r="A17" s="7">
        <v>4.0</v>
      </c>
      <c r="B17" s="7">
        <v>4.0</v>
      </c>
      <c r="C17" s="8" t="s">
        <v>12</v>
      </c>
      <c r="D17" s="8" t="s">
        <v>13</v>
      </c>
      <c r="E17" s="7" t="s">
        <v>109</v>
      </c>
      <c r="F17" s="7" t="s">
        <v>110</v>
      </c>
      <c r="G17" s="9" t="s">
        <v>111</v>
      </c>
      <c r="H17" s="10" t="s">
        <v>112</v>
      </c>
      <c r="I17" s="7" t="s">
        <v>25</v>
      </c>
      <c r="J17" s="7" t="s">
        <v>113</v>
      </c>
      <c r="K17" s="7" t="s">
        <v>114</v>
      </c>
      <c r="L17" s="7" t="str">
        <f t="shared" si="1"/>
        <v>Team: Reporters  -  Project: Patient Logger Reporting</v>
      </c>
      <c r="M17" s="6"/>
      <c r="N17" s="11"/>
      <c r="O17" s="7"/>
      <c r="P17" s="7"/>
      <c r="Q17" s="6"/>
      <c r="R17" s="6"/>
      <c r="S17" s="6"/>
      <c r="T17" s="6"/>
      <c r="U17" s="6"/>
      <c r="V17" s="6"/>
      <c r="W17" s="6"/>
      <c r="X17" s="6"/>
      <c r="Y17" s="6"/>
    </row>
    <row r="18" ht="18.75" customHeight="1">
      <c r="A18" s="7">
        <v>6.0</v>
      </c>
      <c r="B18" s="7">
        <v>3.0</v>
      </c>
      <c r="C18" s="8" t="s">
        <v>12</v>
      </c>
      <c r="D18" s="8" t="s">
        <v>13</v>
      </c>
      <c r="E18" s="7" t="s">
        <v>115</v>
      </c>
      <c r="F18" s="7" t="s">
        <v>116</v>
      </c>
      <c r="G18" s="9" t="s">
        <v>117</v>
      </c>
      <c r="H18" s="10" t="s">
        <v>38</v>
      </c>
      <c r="I18" s="7" t="s">
        <v>118</v>
      </c>
      <c r="J18" s="7" t="s">
        <v>119</v>
      </c>
      <c r="K18" s="7" t="s">
        <v>120</v>
      </c>
      <c r="L18" s="7" t="str">
        <f t="shared" si="1"/>
        <v>Team: The Iguanas  -  Project: Extended Bike Seating</v>
      </c>
      <c r="M18" s="6"/>
      <c r="N18" s="11"/>
      <c r="O18" s="7"/>
      <c r="P18" s="7"/>
      <c r="Q18" s="6"/>
      <c r="R18" s="6"/>
      <c r="S18" s="6"/>
      <c r="T18" s="6"/>
      <c r="U18" s="6"/>
      <c r="V18" s="6"/>
      <c r="W18" s="6"/>
      <c r="X18" s="6"/>
      <c r="Y18" s="6"/>
    </row>
    <row r="19" ht="18.75" customHeight="1">
      <c r="A19" s="7">
        <v>5.0</v>
      </c>
      <c r="B19" s="7">
        <v>2.0</v>
      </c>
      <c r="C19" s="8" t="s">
        <v>12</v>
      </c>
      <c r="D19" s="8" t="s">
        <v>13</v>
      </c>
      <c r="E19" s="7" t="s">
        <v>121</v>
      </c>
      <c r="F19" s="7" t="s">
        <v>122</v>
      </c>
      <c r="G19" s="9" t="s">
        <v>123</v>
      </c>
      <c r="H19" s="10" t="s">
        <v>124</v>
      </c>
      <c r="I19" s="7" t="s">
        <v>32</v>
      </c>
      <c r="J19" s="7" t="s">
        <v>125</v>
      </c>
      <c r="K19" s="7" t="s">
        <v>126</v>
      </c>
      <c r="L19" s="7" t="str">
        <f t="shared" si="1"/>
        <v>Team: Hydrastar  -  Project: Improved Hydraulic Heat Dissipation</v>
      </c>
      <c r="M19" s="6"/>
      <c r="N19" s="11"/>
      <c r="O19" s="7"/>
      <c r="P19" s="7"/>
      <c r="Q19" s="6"/>
      <c r="R19" s="6"/>
      <c r="S19" s="6"/>
      <c r="T19" s="6"/>
      <c r="U19" s="6"/>
      <c r="V19" s="6"/>
      <c r="W19" s="6"/>
      <c r="X19" s="6"/>
      <c r="Y19" s="6"/>
    </row>
    <row r="20" ht="18.75" customHeight="1">
      <c r="A20" s="7">
        <v>5.0</v>
      </c>
      <c r="B20" s="7">
        <v>1.0</v>
      </c>
      <c r="C20" s="8" t="s">
        <v>12</v>
      </c>
      <c r="D20" s="8" t="s">
        <v>13</v>
      </c>
      <c r="E20" s="7" t="s">
        <v>127</v>
      </c>
      <c r="F20" s="7" t="s">
        <v>128</v>
      </c>
      <c r="G20" s="9" t="s">
        <v>129</v>
      </c>
      <c r="H20" s="10" t="s">
        <v>124</v>
      </c>
      <c r="I20" s="7" t="s">
        <v>32</v>
      </c>
      <c r="J20" s="7" t="s">
        <v>130</v>
      </c>
      <c r="K20" s="7" t="s">
        <v>131</v>
      </c>
      <c r="L20" s="7" t="str">
        <f t="shared" si="1"/>
        <v>Team: Condensate Recovery  -  Project: Condensate Recovery and Use</v>
      </c>
      <c r="M20" s="6"/>
      <c r="N20" s="11"/>
      <c r="O20" s="7"/>
      <c r="P20" s="7"/>
      <c r="Q20" s="6"/>
      <c r="R20" s="6"/>
      <c r="S20" s="6"/>
      <c r="T20" s="6"/>
      <c r="U20" s="6"/>
      <c r="V20" s="6"/>
      <c r="W20" s="6"/>
      <c r="X20" s="6"/>
      <c r="Y20" s="6"/>
    </row>
    <row r="21" ht="18.75" customHeight="1">
      <c r="A21" s="7">
        <v>5.0</v>
      </c>
      <c r="B21" s="7">
        <v>3.0</v>
      </c>
      <c r="C21" s="8" t="s">
        <v>12</v>
      </c>
      <c r="D21" s="8" t="s">
        <v>13</v>
      </c>
      <c r="E21" s="7" t="s">
        <v>132</v>
      </c>
      <c r="F21" s="7" t="s">
        <v>133</v>
      </c>
      <c r="G21" s="9" t="s">
        <v>134</v>
      </c>
      <c r="H21" s="12" t="s">
        <v>135</v>
      </c>
      <c r="I21" s="7" t="s">
        <v>32</v>
      </c>
      <c r="J21" s="7" t="s">
        <v>136</v>
      </c>
      <c r="K21" s="7" t="s">
        <v>137</v>
      </c>
      <c r="L21" s="7" t="str">
        <f t="shared" si="1"/>
        <v>Team: PouchTeks  -  Project: Cascade Cooler Pouch Outfeed</v>
      </c>
      <c r="M21" s="6"/>
      <c r="N21" s="11"/>
      <c r="O21" s="7"/>
      <c r="P21" s="7"/>
      <c r="Q21" s="6"/>
      <c r="R21" s="6"/>
      <c r="S21" s="6"/>
      <c r="T21" s="6"/>
      <c r="U21" s="6"/>
      <c r="V21" s="6"/>
      <c r="W21" s="6"/>
      <c r="X21" s="6"/>
      <c r="Y21" s="6"/>
    </row>
    <row r="22" ht="18.75" customHeight="1">
      <c r="A22" s="7">
        <v>5.0</v>
      </c>
      <c r="B22" s="7">
        <v>4.0</v>
      </c>
      <c r="C22" s="8" t="s">
        <v>12</v>
      </c>
      <c r="D22" s="8" t="s">
        <v>13</v>
      </c>
      <c r="E22" s="7" t="s">
        <v>138</v>
      </c>
      <c r="F22" s="7" t="s">
        <v>139</v>
      </c>
      <c r="G22" s="9" t="s">
        <v>140</v>
      </c>
      <c r="H22" s="12" t="s">
        <v>141</v>
      </c>
      <c r="I22" s="7" t="s">
        <v>32</v>
      </c>
      <c r="J22" s="7" t="s">
        <v>142</v>
      </c>
      <c r="K22" s="7" t="s">
        <v>143</v>
      </c>
      <c r="L22" s="7" t="str">
        <f t="shared" si="1"/>
        <v>Team: Cangineers  -  Project: Palletizer Can Patterns</v>
      </c>
      <c r="M22" s="6"/>
      <c r="N22" s="11"/>
      <c r="O22" s="7"/>
      <c r="P22" s="7"/>
      <c r="Q22" s="6"/>
      <c r="R22" s="6"/>
      <c r="S22" s="6"/>
      <c r="T22" s="6"/>
      <c r="U22" s="6"/>
      <c r="V22" s="6"/>
      <c r="W22" s="6"/>
      <c r="X22" s="6"/>
      <c r="Y22" s="6"/>
    </row>
    <row r="23" ht="18.75" customHeight="1">
      <c r="A23" s="7">
        <v>6.0</v>
      </c>
      <c r="B23" s="7">
        <v>4.0</v>
      </c>
      <c r="C23" s="8" t="s">
        <v>12</v>
      </c>
      <c r="D23" s="8" t="s">
        <v>13</v>
      </c>
      <c r="E23" s="7" t="s">
        <v>144</v>
      </c>
      <c r="F23" s="7" t="s">
        <v>145</v>
      </c>
      <c r="G23" s="10" t="s">
        <v>146</v>
      </c>
      <c r="H23" s="10" t="s">
        <v>147</v>
      </c>
      <c r="I23" s="7" t="s">
        <v>148</v>
      </c>
      <c r="J23" s="7" t="s">
        <v>149</v>
      </c>
      <c r="K23" s="7" t="s">
        <v>150</v>
      </c>
      <c r="L23" s="7" t="str">
        <f t="shared" si="1"/>
        <v>Team: Asphalt Rocks  -  Project: Project Greenstreet 2.0</v>
      </c>
      <c r="M23" s="6"/>
      <c r="N23" s="11"/>
      <c r="O23" s="7"/>
      <c r="P23" s="6"/>
      <c r="Q23" s="6"/>
      <c r="R23" s="6"/>
      <c r="S23" s="6"/>
      <c r="T23" s="6"/>
      <c r="U23" s="6"/>
      <c r="V23" s="6"/>
      <c r="W23" s="6"/>
      <c r="X23" s="6"/>
      <c r="Y23" s="6"/>
    </row>
    <row r="24" ht="18.75" customHeight="1">
      <c r="A24" s="7">
        <v>1.0</v>
      </c>
      <c r="B24" s="7">
        <v>3.0</v>
      </c>
      <c r="C24" s="8" t="s">
        <v>12</v>
      </c>
      <c r="D24" s="8" t="s">
        <v>13</v>
      </c>
      <c r="E24" s="7" t="s">
        <v>151</v>
      </c>
      <c r="F24" s="7" t="s">
        <v>152</v>
      </c>
      <c r="G24" s="9" t="s">
        <v>153</v>
      </c>
      <c r="H24" s="10" t="s">
        <v>154</v>
      </c>
      <c r="I24" s="7" t="s">
        <v>52</v>
      </c>
      <c r="J24" s="7" t="s">
        <v>155</v>
      </c>
      <c r="K24" s="7" t="s">
        <v>156</v>
      </c>
      <c r="L24" s="7" t="str">
        <f t="shared" si="1"/>
        <v>Team: Algae Prevention  -  Project: Clean Dairy Water Trough Design</v>
      </c>
      <c r="M24" s="6"/>
      <c r="N24" s="11"/>
      <c r="O24" s="7"/>
      <c r="P24" s="6"/>
      <c r="Q24" s="6"/>
      <c r="R24" s="6"/>
      <c r="S24" s="6"/>
      <c r="T24" s="6"/>
      <c r="U24" s="6"/>
      <c r="V24" s="6"/>
      <c r="W24" s="6"/>
      <c r="X24" s="6"/>
      <c r="Y24" s="6"/>
    </row>
    <row r="25" ht="18.75" customHeight="1">
      <c r="A25" s="8">
        <v>7.0</v>
      </c>
      <c r="B25" s="8">
        <v>1.0</v>
      </c>
      <c r="C25" s="8" t="s">
        <v>157</v>
      </c>
      <c r="D25" s="8" t="s">
        <v>158</v>
      </c>
      <c r="E25" s="7" t="s">
        <v>159</v>
      </c>
      <c r="F25" s="7" t="s">
        <v>160</v>
      </c>
      <c r="G25" s="8" t="s">
        <v>161</v>
      </c>
      <c r="H25" s="10" t="s">
        <v>162</v>
      </c>
      <c r="I25" s="7" t="s">
        <v>88</v>
      </c>
      <c r="J25" s="7" t="s">
        <v>163</v>
      </c>
      <c r="K25" s="7" t="s">
        <v>164</v>
      </c>
      <c r="L25" s="7" t="str">
        <f t="shared" si="1"/>
        <v>Team: Newman Wetland  -  Project: Agricultural Runoff Treatment</v>
      </c>
      <c r="M25" s="6"/>
      <c r="N25" s="11"/>
      <c r="O25" s="6"/>
      <c r="P25" s="6"/>
      <c r="Q25" s="6"/>
      <c r="R25" s="6"/>
      <c r="S25" s="6"/>
      <c r="T25" s="6"/>
      <c r="U25" s="6"/>
      <c r="V25" s="6"/>
      <c r="W25" s="6"/>
      <c r="X25" s="6"/>
      <c r="Y25" s="6"/>
    </row>
    <row r="26" ht="18.75" customHeight="1">
      <c r="A26" s="8">
        <v>7.0</v>
      </c>
      <c r="B26" s="8">
        <v>2.0</v>
      </c>
      <c r="C26" s="8" t="s">
        <v>157</v>
      </c>
      <c r="D26" s="8" t="s">
        <v>158</v>
      </c>
      <c r="E26" s="7" t="s">
        <v>165</v>
      </c>
      <c r="F26" s="7" t="s">
        <v>166</v>
      </c>
      <c r="G26" s="7" t="s">
        <v>167</v>
      </c>
      <c r="H26" s="10" t="s">
        <v>168</v>
      </c>
      <c r="I26" s="7" t="s">
        <v>88</v>
      </c>
      <c r="J26" s="7" t="s">
        <v>169</v>
      </c>
      <c r="K26" s="7" t="s">
        <v>170</v>
      </c>
      <c r="L26" s="7" t="str">
        <f t="shared" si="1"/>
        <v>Team: AgMAR  -  Project: Experimental Smart Farm: Water Storage and Groundwater Recharge</v>
      </c>
      <c r="M26" s="6"/>
      <c r="N26" s="11"/>
      <c r="O26" s="6"/>
      <c r="P26" s="6"/>
      <c r="Q26" s="6"/>
      <c r="R26" s="6"/>
      <c r="S26" s="6"/>
      <c r="T26" s="6"/>
      <c r="U26" s="6"/>
      <c r="V26" s="6"/>
      <c r="W26" s="6"/>
      <c r="X26" s="6"/>
      <c r="Y26" s="6"/>
    </row>
    <row r="27" ht="18.75" customHeight="1">
      <c r="A27" s="8">
        <v>7.0</v>
      </c>
      <c r="B27" s="8">
        <v>3.0</v>
      </c>
      <c r="C27" s="8" t="s">
        <v>157</v>
      </c>
      <c r="D27" s="8" t="s">
        <v>158</v>
      </c>
      <c r="E27" s="7" t="s">
        <v>171</v>
      </c>
      <c r="F27" s="7" t="s">
        <v>172</v>
      </c>
      <c r="G27" s="7" t="s">
        <v>173</v>
      </c>
      <c r="H27" s="7" t="s">
        <v>174</v>
      </c>
      <c r="I27" s="7" t="s">
        <v>175</v>
      </c>
      <c r="J27" s="7" t="s">
        <v>176</v>
      </c>
      <c r="K27" s="7" t="s">
        <v>177</v>
      </c>
      <c r="L27" s="7" t="str">
        <f t="shared" si="1"/>
        <v>Team: San JoAQuin Air Quality  -  Project: Proposed expansion of the San Joaquin Valley Air Pollution Monitoring Network</v>
      </c>
      <c r="M27" s="6"/>
      <c r="N27" s="11"/>
      <c r="O27" s="6"/>
      <c r="P27" s="6"/>
      <c r="Q27" s="6"/>
      <c r="R27" s="6"/>
      <c r="S27" s="6"/>
      <c r="T27" s="6"/>
      <c r="U27" s="6"/>
      <c r="V27" s="6"/>
      <c r="W27" s="6"/>
      <c r="X27" s="6"/>
      <c r="Y27" s="6"/>
    </row>
    <row r="28" ht="18.75" customHeight="1">
      <c r="A28" s="7">
        <v>8.0</v>
      </c>
      <c r="B28" s="7">
        <v>1.0</v>
      </c>
      <c r="C28" s="8" t="s">
        <v>178</v>
      </c>
      <c r="D28" s="8" t="s">
        <v>179</v>
      </c>
      <c r="E28" s="7" t="s">
        <v>180</v>
      </c>
      <c r="F28" s="7" t="s">
        <v>181</v>
      </c>
      <c r="G28" s="7" t="s">
        <v>182</v>
      </c>
      <c r="H28" s="7" t="s">
        <v>183</v>
      </c>
      <c r="I28" s="7" t="s">
        <v>184</v>
      </c>
      <c r="J28" s="7" t="s">
        <v>185</v>
      </c>
      <c r="K28" s="7" t="s">
        <v>186</v>
      </c>
      <c r="L28" s="7" t="str">
        <f t="shared" si="1"/>
        <v>Team: Veracruzers  -  Project: Merging Selected Results from Multiple Searches</v>
      </c>
      <c r="M28" s="6"/>
      <c r="N28" s="11"/>
      <c r="O28" s="6"/>
      <c r="P28" s="6"/>
      <c r="Q28" s="6"/>
      <c r="R28" s="6"/>
      <c r="S28" s="6"/>
      <c r="T28" s="6"/>
      <c r="U28" s="6"/>
      <c r="V28" s="6"/>
      <c r="W28" s="6"/>
      <c r="X28" s="6"/>
      <c r="Y28" s="6"/>
    </row>
    <row r="29" ht="18.75" customHeight="1">
      <c r="A29" s="7">
        <v>10.0</v>
      </c>
      <c r="B29" s="7">
        <v>3.0</v>
      </c>
      <c r="C29" s="8" t="s">
        <v>178</v>
      </c>
      <c r="D29" s="8" t="s">
        <v>179</v>
      </c>
      <c r="E29" s="7" t="s">
        <v>187</v>
      </c>
      <c r="F29" s="7" t="s">
        <v>188</v>
      </c>
      <c r="G29" s="7" t="s">
        <v>182</v>
      </c>
      <c r="H29" s="7" t="s">
        <v>183</v>
      </c>
      <c r="I29" s="7" t="s">
        <v>184</v>
      </c>
      <c r="J29" s="7" t="s">
        <v>189</v>
      </c>
      <c r="K29" s="7" t="s">
        <v>190</v>
      </c>
      <c r="L29" s="7" t="str">
        <f t="shared" si="1"/>
        <v>Team: Intercontinental  -  Project: Merging Selected Results from Multiple Searches</v>
      </c>
      <c r="M29" s="6"/>
      <c r="N29" s="11"/>
      <c r="O29" s="6"/>
      <c r="P29" s="6"/>
      <c r="Q29" s="6"/>
      <c r="R29" s="6"/>
      <c r="S29" s="6"/>
      <c r="T29" s="6"/>
      <c r="U29" s="6"/>
      <c r="V29" s="6"/>
      <c r="W29" s="6"/>
      <c r="X29" s="6"/>
      <c r="Y29" s="6"/>
    </row>
    <row r="30" ht="18.75" customHeight="1">
      <c r="A30" s="7">
        <v>8.0</v>
      </c>
      <c r="B30" s="7">
        <v>4.0</v>
      </c>
      <c r="C30" s="8" t="s">
        <v>178</v>
      </c>
      <c r="D30" s="8" t="s">
        <v>179</v>
      </c>
      <c r="E30" s="7" t="s">
        <v>191</v>
      </c>
      <c r="F30" s="7" t="s">
        <v>192</v>
      </c>
      <c r="G30" s="7" t="s">
        <v>193</v>
      </c>
      <c r="H30" s="7" t="s">
        <v>154</v>
      </c>
      <c r="I30" s="7" t="s">
        <v>52</v>
      </c>
      <c r="J30" s="7" t="s">
        <v>194</v>
      </c>
      <c r="K30" s="7" t="s">
        <v>195</v>
      </c>
      <c r="L30" s="7" t="str">
        <f t="shared" si="1"/>
        <v>Team: The Diamond Cowboys  -  Project: Cow Detection in Soaker Area</v>
      </c>
      <c r="M30" s="6"/>
      <c r="N30" s="11"/>
      <c r="O30" s="6"/>
      <c r="P30" s="6"/>
      <c r="Q30" s="6"/>
      <c r="R30" s="6"/>
      <c r="S30" s="6"/>
      <c r="T30" s="6"/>
      <c r="U30" s="6"/>
      <c r="V30" s="6"/>
      <c r="W30" s="6"/>
      <c r="X30" s="6"/>
      <c r="Y30" s="6"/>
    </row>
    <row r="31" ht="18.75" customHeight="1">
      <c r="A31" s="7">
        <v>11.0</v>
      </c>
      <c r="B31" s="7">
        <v>2.0</v>
      </c>
      <c r="C31" s="8" t="s">
        <v>178</v>
      </c>
      <c r="D31" s="8" t="s">
        <v>179</v>
      </c>
      <c r="E31" s="7" t="s">
        <v>196</v>
      </c>
      <c r="F31" s="7" t="s">
        <v>197</v>
      </c>
      <c r="G31" s="7" t="s">
        <v>193</v>
      </c>
      <c r="H31" s="7" t="s">
        <v>154</v>
      </c>
      <c r="I31" s="7" t="s">
        <v>52</v>
      </c>
      <c r="J31" s="7" t="s">
        <v>198</v>
      </c>
      <c r="K31" s="7" t="s">
        <v>199</v>
      </c>
      <c r="L31" s="7" t="str">
        <f t="shared" si="1"/>
        <v>Team: Cool Cow Coders  -  Project: Cow Detection in Soaker Area</v>
      </c>
      <c r="M31" s="6"/>
      <c r="N31" s="11"/>
      <c r="O31" s="6"/>
      <c r="P31" s="6"/>
      <c r="Q31" s="6"/>
      <c r="R31" s="6"/>
      <c r="S31" s="6"/>
      <c r="T31" s="6"/>
      <c r="U31" s="6"/>
      <c r="V31" s="6"/>
      <c r="W31" s="6"/>
      <c r="X31" s="6"/>
      <c r="Y31" s="6"/>
    </row>
    <row r="32" ht="18.75" customHeight="1">
      <c r="A32" s="7">
        <v>9.0</v>
      </c>
      <c r="B32" s="7">
        <v>2.0</v>
      </c>
      <c r="C32" s="8" t="s">
        <v>178</v>
      </c>
      <c r="D32" s="8" t="s">
        <v>179</v>
      </c>
      <c r="E32" s="7" t="s">
        <v>200</v>
      </c>
      <c r="F32" s="7" t="s">
        <v>201</v>
      </c>
      <c r="G32" s="7" t="s">
        <v>111</v>
      </c>
      <c r="H32" s="7" t="s">
        <v>112</v>
      </c>
      <c r="I32" s="7" t="s">
        <v>25</v>
      </c>
      <c r="J32" s="7" t="s">
        <v>202</v>
      </c>
      <c r="K32" s="7" t="s">
        <v>203</v>
      </c>
      <c r="L32" s="7" t="str">
        <f t="shared" si="1"/>
        <v>Team: Project ANJIL  -  Project: Patient Logger Reporting</v>
      </c>
      <c r="M32" s="6"/>
      <c r="N32" s="11"/>
      <c r="O32" s="6"/>
      <c r="P32" s="6"/>
      <c r="Q32" s="6"/>
      <c r="R32" s="6"/>
      <c r="S32" s="6"/>
      <c r="T32" s="6"/>
      <c r="U32" s="6"/>
      <c r="V32" s="6"/>
      <c r="W32" s="6"/>
      <c r="X32" s="6"/>
      <c r="Y32" s="6"/>
    </row>
    <row r="33" ht="18.75" customHeight="1">
      <c r="A33" s="7">
        <v>9.0</v>
      </c>
      <c r="B33" s="7">
        <v>4.0</v>
      </c>
      <c r="C33" s="8" t="s">
        <v>178</v>
      </c>
      <c r="D33" s="8" t="s">
        <v>179</v>
      </c>
      <c r="E33" s="7" t="s">
        <v>204</v>
      </c>
      <c r="F33" s="7" t="s">
        <v>205</v>
      </c>
      <c r="G33" s="7" t="s">
        <v>206</v>
      </c>
      <c r="H33" s="7" t="s">
        <v>81</v>
      </c>
      <c r="I33" s="7" t="s">
        <v>39</v>
      </c>
      <c r="J33" s="7" t="s">
        <v>207</v>
      </c>
      <c r="K33" s="7" t="s">
        <v>208</v>
      </c>
      <c r="L33" s="7" t="str">
        <f t="shared" si="1"/>
        <v>Team: Wear Your MASK  -  Project: Operations Control Center Shift Log Workbench</v>
      </c>
      <c r="M33" s="6"/>
      <c r="N33" s="11"/>
      <c r="O33" s="6"/>
      <c r="P33" s="6"/>
      <c r="Q33" s="6"/>
      <c r="R33" s="6"/>
      <c r="S33" s="6"/>
      <c r="T33" s="6"/>
      <c r="U33" s="6"/>
      <c r="V33" s="6"/>
      <c r="W33" s="6"/>
      <c r="X33" s="6"/>
      <c r="Y33" s="6"/>
    </row>
    <row r="34" ht="18.75" customHeight="1">
      <c r="A34" s="7">
        <v>10.0</v>
      </c>
      <c r="B34" s="7">
        <v>2.0</v>
      </c>
      <c r="C34" s="8" t="s">
        <v>178</v>
      </c>
      <c r="D34" s="8" t="s">
        <v>179</v>
      </c>
      <c r="E34" s="8" t="s">
        <v>209</v>
      </c>
      <c r="F34" s="7" t="s">
        <v>210</v>
      </c>
      <c r="G34" s="7" t="s">
        <v>206</v>
      </c>
      <c r="H34" s="7" t="s">
        <v>81</v>
      </c>
      <c r="I34" s="7" t="s">
        <v>39</v>
      </c>
      <c r="J34" s="7" t="s">
        <v>211</v>
      </c>
      <c r="K34" s="7" t="s">
        <v>212</v>
      </c>
      <c r="L34" s="7" t="str">
        <f t="shared" si="1"/>
        <v>Team: BART Loggers  -  Project: Operations Control Center Shift Log Workbench</v>
      </c>
      <c r="M34" s="6"/>
      <c r="N34" s="11"/>
      <c r="O34" s="6"/>
      <c r="P34" s="6"/>
      <c r="Q34" s="6"/>
      <c r="R34" s="6"/>
      <c r="S34" s="6"/>
      <c r="T34" s="6"/>
      <c r="U34" s="6"/>
      <c r="V34" s="6"/>
      <c r="W34" s="6"/>
      <c r="X34" s="6"/>
      <c r="Y34" s="6"/>
    </row>
    <row r="35" ht="18.75" customHeight="1">
      <c r="A35" s="7">
        <v>9.0</v>
      </c>
      <c r="B35" s="7">
        <v>5.0</v>
      </c>
      <c r="C35" s="8" t="s">
        <v>178</v>
      </c>
      <c r="D35" s="8" t="s">
        <v>179</v>
      </c>
      <c r="E35" s="7" t="s">
        <v>213</v>
      </c>
      <c r="F35" s="7" t="s">
        <v>214</v>
      </c>
      <c r="G35" s="7" t="s">
        <v>215</v>
      </c>
      <c r="H35" s="7" t="s">
        <v>216</v>
      </c>
      <c r="I35" s="7" t="s">
        <v>217</v>
      </c>
      <c r="J35" s="7" t="s">
        <v>218</v>
      </c>
      <c r="K35" s="7" t="s">
        <v>219</v>
      </c>
      <c r="L35" s="7" t="str">
        <f t="shared" si="1"/>
        <v>Team: ProjectY  -  Project: Delivering Early Math Education Materials to Families</v>
      </c>
      <c r="M35" s="6"/>
      <c r="N35" s="11"/>
      <c r="O35" s="6"/>
      <c r="P35" s="6"/>
      <c r="Q35" s="6"/>
      <c r="R35" s="6"/>
      <c r="S35" s="6"/>
      <c r="T35" s="6"/>
      <c r="U35" s="6"/>
      <c r="V35" s="6"/>
      <c r="W35" s="6"/>
      <c r="X35" s="6"/>
      <c r="Y35" s="6"/>
    </row>
    <row r="36" ht="18.75" customHeight="1">
      <c r="A36" s="8">
        <v>11.0</v>
      </c>
      <c r="B36" s="8">
        <v>1.0</v>
      </c>
      <c r="C36" s="8" t="s">
        <v>178</v>
      </c>
      <c r="D36" s="8" t="s">
        <v>179</v>
      </c>
      <c r="E36" s="7" t="s">
        <v>220</v>
      </c>
      <c r="F36" s="7" t="s">
        <v>221</v>
      </c>
      <c r="G36" s="8" t="s">
        <v>215</v>
      </c>
      <c r="H36" s="7" t="s">
        <v>216</v>
      </c>
      <c r="I36" s="7" t="s">
        <v>217</v>
      </c>
      <c r="J36" s="7" t="s">
        <v>222</v>
      </c>
      <c r="K36" s="7" t="s">
        <v>223</v>
      </c>
      <c r="L36" s="7" t="str">
        <f t="shared" si="1"/>
        <v>Team: AB3  -  Project: Delivering Early Math Education Materials to Families</v>
      </c>
      <c r="M36" s="6"/>
      <c r="N36" s="11"/>
      <c r="O36" s="6"/>
      <c r="P36" s="6"/>
      <c r="Q36" s="6"/>
      <c r="R36" s="6"/>
      <c r="S36" s="6"/>
      <c r="T36" s="6"/>
      <c r="U36" s="6"/>
      <c r="V36" s="6"/>
      <c r="W36" s="6"/>
      <c r="X36" s="6"/>
      <c r="Y36" s="6"/>
    </row>
    <row r="37" ht="18.75" customHeight="1">
      <c r="A37" s="8">
        <v>9.0</v>
      </c>
      <c r="B37" s="8">
        <v>3.0</v>
      </c>
      <c r="C37" s="8" t="s">
        <v>178</v>
      </c>
      <c r="D37" s="8" t="s">
        <v>179</v>
      </c>
      <c r="E37" s="7" t="s">
        <v>224</v>
      </c>
      <c r="F37" s="7" t="s">
        <v>225</v>
      </c>
      <c r="G37" s="8" t="s">
        <v>226</v>
      </c>
      <c r="H37" s="7" t="s">
        <v>106</v>
      </c>
      <c r="I37" s="7" t="s">
        <v>39</v>
      </c>
      <c r="J37" s="7" t="s">
        <v>227</v>
      </c>
      <c r="K37" s="7" t="s">
        <v>228</v>
      </c>
      <c r="L37" s="7" t="str">
        <f t="shared" si="1"/>
        <v>Team: Runtime  -  Project: Battery Simulation Application for Autonomous Mobile Robots</v>
      </c>
      <c r="M37" s="6"/>
      <c r="N37" s="11"/>
      <c r="O37" s="6"/>
      <c r="P37" s="6"/>
      <c r="Q37" s="6"/>
      <c r="R37" s="6"/>
      <c r="S37" s="6"/>
      <c r="T37" s="6"/>
      <c r="U37" s="6"/>
      <c r="V37" s="6"/>
      <c r="W37" s="6"/>
      <c r="X37" s="6"/>
      <c r="Y37" s="6"/>
    </row>
    <row r="38" ht="18.75" customHeight="1">
      <c r="A38" s="8">
        <v>8.0</v>
      </c>
      <c r="B38" s="8">
        <v>5.0</v>
      </c>
      <c r="C38" s="8" t="s">
        <v>178</v>
      </c>
      <c r="D38" s="8" t="s">
        <v>179</v>
      </c>
      <c r="E38" s="7" t="s">
        <v>229</v>
      </c>
      <c r="F38" s="7" t="s">
        <v>230</v>
      </c>
      <c r="G38" s="8" t="s">
        <v>226</v>
      </c>
      <c r="H38" s="7" t="s">
        <v>106</v>
      </c>
      <c r="I38" s="7" t="s">
        <v>39</v>
      </c>
      <c r="J38" s="7" t="s">
        <v>231</v>
      </c>
      <c r="K38" s="7" t="s">
        <v>232</v>
      </c>
      <c r="L38" s="7" t="str">
        <f t="shared" si="1"/>
        <v>Team: );Drop table *;  -  Project: Battery Simulation Application for Autonomous Mobile Robots</v>
      </c>
      <c r="M38" s="6"/>
      <c r="N38" s="11"/>
      <c r="O38" s="6"/>
      <c r="P38" s="6"/>
      <c r="Q38" s="6"/>
      <c r="R38" s="6"/>
      <c r="S38" s="6"/>
      <c r="T38" s="6"/>
      <c r="U38" s="6"/>
      <c r="V38" s="6"/>
      <c r="W38" s="6"/>
      <c r="X38" s="6"/>
      <c r="Y38" s="6"/>
    </row>
    <row r="39" ht="18.75" customHeight="1">
      <c r="A39" s="8">
        <v>8.0</v>
      </c>
      <c r="B39" s="8">
        <v>3.0</v>
      </c>
      <c r="C39" s="8" t="s">
        <v>178</v>
      </c>
      <c r="D39" s="8" t="s">
        <v>179</v>
      </c>
      <c r="E39" s="7" t="s">
        <v>233</v>
      </c>
      <c r="F39" s="7" t="s">
        <v>234</v>
      </c>
      <c r="G39" s="8" t="s">
        <v>235</v>
      </c>
      <c r="H39" s="7" t="s">
        <v>58</v>
      </c>
      <c r="I39" s="7" t="s">
        <v>52</v>
      </c>
      <c r="J39" s="7" t="s">
        <v>236</v>
      </c>
      <c r="K39" s="7" t="s">
        <v>237</v>
      </c>
      <c r="L39" s="7" t="str">
        <f t="shared" si="1"/>
        <v>Team: Harvest Hero's  -  Project: Harvest Production Improvements</v>
      </c>
      <c r="M39" s="6"/>
      <c r="N39" s="11"/>
      <c r="O39" s="6"/>
      <c r="P39" s="6"/>
      <c r="Q39" s="6"/>
      <c r="R39" s="6"/>
      <c r="S39" s="6"/>
      <c r="T39" s="6"/>
      <c r="U39" s="6"/>
      <c r="V39" s="6"/>
      <c r="W39" s="6"/>
      <c r="X39" s="6"/>
      <c r="Y39" s="6"/>
    </row>
    <row r="40" ht="18.75" customHeight="1">
      <c r="A40" s="8">
        <v>11.0</v>
      </c>
      <c r="B40" s="8">
        <v>3.0</v>
      </c>
      <c r="C40" s="8" t="s">
        <v>178</v>
      </c>
      <c r="D40" s="8" t="s">
        <v>179</v>
      </c>
      <c r="E40" s="7" t="s">
        <v>238</v>
      </c>
      <c r="F40" s="7" t="s">
        <v>239</v>
      </c>
      <c r="G40" s="8" t="s">
        <v>240</v>
      </c>
      <c r="H40" s="7" t="s">
        <v>241</v>
      </c>
      <c r="I40" s="7" t="s">
        <v>32</v>
      </c>
      <c r="J40" s="7" t="s">
        <v>242</v>
      </c>
      <c r="K40" s="7" t="s">
        <v>243</v>
      </c>
      <c r="L40" s="7" t="str">
        <f t="shared" si="1"/>
        <v>Team: Neptune  -  Project: Water Treatment Monitoring</v>
      </c>
      <c r="M40" s="6"/>
      <c r="N40" s="11"/>
      <c r="O40" s="6"/>
      <c r="P40" s="6"/>
      <c r="Q40" s="6"/>
      <c r="R40" s="6"/>
      <c r="S40" s="6"/>
      <c r="T40" s="6"/>
      <c r="U40" s="6"/>
      <c r="V40" s="6"/>
      <c r="W40" s="6"/>
      <c r="X40" s="6"/>
      <c r="Y40" s="6"/>
    </row>
    <row r="41" ht="18.75" customHeight="1">
      <c r="A41" s="8">
        <v>11.0</v>
      </c>
      <c r="B41" s="8">
        <v>4.0</v>
      </c>
      <c r="C41" s="8" t="s">
        <v>178</v>
      </c>
      <c r="D41" s="8" t="s">
        <v>179</v>
      </c>
      <c r="E41" s="7" t="s">
        <v>244</v>
      </c>
      <c r="F41" s="7" t="s">
        <v>245</v>
      </c>
      <c r="G41" s="8" t="s">
        <v>240</v>
      </c>
      <c r="H41" s="7" t="s">
        <v>241</v>
      </c>
      <c r="I41" s="7" t="s">
        <v>32</v>
      </c>
      <c r="J41" s="7" t="s">
        <v>246</v>
      </c>
      <c r="K41" s="7" t="s">
        <v>247</v>
      </c>
      <c r="L41" s="7" t="str">
        <f t="shared" si="1"/>
        <v>Team: Mint  -  Project: Water Treatment Monitoring</v>
      </c>
      <c r="M41" s="6"/>
      <c r="N41" s="11"/>
      <c r="O41" s="6"/>
      <c r="P41" s="6"/>
      <c r="Q41" s="6"/>
      <c r="R41" s="6"/>
      <c r="S41" s="6"/>
      <c r="T41" s="6"/>
      <c r="U41" s="6"/>
      <c r="V41" s="6"/>
      <c r="W41" s="6"/>
      <c r="X41" s="6"/>
      <c r="Y41" s="6"/>
    </row>
    <row r="42" ht="18.75" customHeight="1">
      <c r="A42" s="8">
        <v>8.0</v>
      </c>
      <c r="B42" s="8">
        <v>2.0</v>
      </c>
      <c r="C42" s="8" t="s">
        <v>178</v>
      </c>
      <c r="D42" s="8" t="s">
        <v>179</v>
      </c>
      <c r="E42" s="7" t="s">
        <v>248</v>
      </c>
      <c r="F42" s="7" t="s">
        <v>249</v>
      </c>
      <c r="G42" s="8" t="s">
        <v>250</v>
      </c>
      <c r="H42" s="7" t="s">
        <v>251</v>
      </c>
      <c r="I42" s="7" t="s">
        <v>52</v>
      </c>
      <c r="J42" s="7" t="s">
        <v>252</v>
      </c>
      <c r="K42" s="7" t="s">
        <v>253</v>
      </c>
      <c r="L42" s="7" t="str">
        <f t="shared" si="1"/>
        <v>Team: Memory Leak Squad  -  Project: AgTech Ecosystem Info-Graph</v>
      </c>
      <c r="M42" s="6"/>
      <c r="N42" s="11"/>
      <c r="O42" s="6"/>
      <c r="P42" s="6"/>
      <c r="Q42" s="6"/>
      <c r="R42" s="6"/>
      <c r="S42" s="6"/>
      <c r="T42" s="6"/>
      <c r="U42" s="6"/>
      <c r="V42" s="6"/>
      <c r="W42" s="6"/>
      <c r="X42" s="6"/>
      <c r="Y42" s="6"/>
    </row>
    <row r="43" ht="18.75" customHeight="1">
      <c r="A43" s="8">
        <v>10.0</v>
      </c>
      <c r="B43" s="8">
        <v>5.0</v>
      </c>
      <c r="C43" s="8" t="s">
        <v>178</v>
      </c>
      <c r="D43" s="8" t="s">
        <v>179</v>
      </c>
      <c r="E43" s="7" t="s">
        <v>254</v>
      </c>
      <c r="F43" s="7" t="s">
        <v>255</v>
      </c>
      <c r="G43" s="8" t="s">
        <v>250</v>
      </c>
      <c r="H43" s="7" t="s">
        <v>251</v>
      </c>
      <c r="I43" s="7" t="s">
        <v>52</v>
      </c>
      <c r="J43" s="7" t="s">
        <v>256</v>
      </c>
      <c r="K43" s="7" t="s">
        <v>257</v>
      </c>
      <c r="L43" s="7" t="str">
        <f t="shared" si="1"/>
        <v>Team: CrunchyNode  -  Project: AgTech Ecosystem Info-Graph</v>
      </c>
      <c r="M43" s="6"/>
      <c r="N43" s="11"/>
      <c r="O43" s="6"/>
      <c r="P43" s="6"/>
      <c r="Q43" s="6"/>
      <c r="R43" s="6"/>
      <c r="S43" s="6"/>
      <c r="T43" s="6"/>
      <c r="U43" s="6"/>
      <c r="V43" s="6"/>
      <c r="W43" s="6"/>
      <c r="X43" s="6"/>
      <c r="Y43" s="6"/>
    </row>
    <row r="44" ht="18.75" customHeight="1">
      <c r="A44" s="8">
        <v>10.0</v>
      </c>
      <c r="B44" s="8">
        <v>1.0</v>
      </c>
      <c r="C44" s="8" t="s">
        <v>178</v>
      </c>
      <c r="D44" s="8" t="s">
        <v>179</v>
      </c>
      <c r="E44" s="7" t="s">
        <v>258</v>
      </c>
      <c r="F44" s="7" t="s">
        <v>259</v>
      </c>
      <c r="G44" s="8" t="s">
        <v>260</v>
      </c>
      <c r="H44" s="7" t="s">
        <v>261</v>
      </c>
      <c r="I44" s="7" t="s">
        <v>262</v>
      </c>
      <c r="J44" s="7" t="s">
        <v>263</v>
      </c>
      <c r="K44" s="7" t="s">
        <v>264</v>
      </c>
      <c r="L44" s="7" t="str">
        <f t="shared" si="1"/>
        <v>Team: Valley Coders  -  Project: Device Lab Computer Management</v>
      </c>
      <c r="M44" s="6"/>
      <c r="N44" s="11"/>
      <c r="O44" s="6"/>
      <c r="P44" s="6"/>
      <c r="Q44" s="6"/>
      <c r="R44" s="6"/>
      <c r="S44" s="6"/>
      <c r="T44" s="6"/>
      <c r="U44" s="6"/>
      <c r="V44" s="6"/>
      <c r="W44" s="6"/>
      <c r="X44" s="6"/>
      <c r="Y44" s="6"/>
    </row>
    <row r="45" ht="18.75" customHeight="1">
      <c r="A45" s="8">
        <v>11.0</v>
      </c>
      <c r="B45" s="8">
        <v>5.0</v>
      </c>
      <c r="C45" s="8" t="s">
        <v>178</v>
      </c>
      <c r="D45" s="8" t="s">
        <v>179</v>
      </c>
      <c r="E45" s="7" t="s">
        <v>265</v>
      </c>
      <c r="F45" s="7" t="s">
        <v>266</v>
      </c>
      <c r="G45" s="8" t="s">
        <v>260</v>
      </c>
      <c r="H45" s="7" t="s">
        <v>261</v>
      </c>
      <c r="I45" s="7" t="s">
        <v>262</v>
      </c>
      <c r="J45" s="7" t="s">
        <v>267</v>
      </c>
      <c r="K45" s="7" t="s">
        <v>268</v>
      </c>
      <c r="L45" s="7" t="str">
        <f t="shared" si="1"/>
        <v>Team: ESC+N  -  Project: Device Lab Computer Management</v>
      </c>
      <c r="M45" s="6"/>
      <c r="N45" s="11"/>
      <c r="O45" s="6"/>
      <c r="P45" s="6"/>
      <c r="Q45" s="6"/>
      <c r="R45" s="6"/>
      <c r="S45" s="6"/>
      <c r="T45" s="6"/>
      <c r="U45" s="6"/>
      <c r="V45" s="6"/>
      <c r="W45" s="6"/>
      <c r="X45" s="6"/>
      <c r="Y45" s="6"/>
    </row>
    <row r="46" ht="18.75" customHeight="1">
      <c r="A46" s="8">
        <v>10.0</v>
      </c>
      <c r="B46" s="8">
        <v>4.0</v>
      </c>
      <c r="C46" s="8" t="s">
        <v>178</v>
      </c>
      <c r="D46" s="8" t="s">
        <v>179</v>
      </c>
      <c r="E46" s="7" t="s">
        <v>269</v>
      </c>
      <c r="F46" s="7" t="s">
        <v>270</v>
      </c>
      <c r="G46" s="7" t="s">
        <v>271</v>
      </c>
      <c r="H46" s="7" t="s">
        <v>272</v>
      </c>
      <c r="I46" s="7" t="s">
        <v>273</v>
      </c>
      <c r="J46" s="7" t="s">
        <v>274</v>
      </c>
      <c r="K46" s="7" t="s">
        <v>275</v>
      </c>
      <c r="L46" s="7" t="str">
        <f t="shared" si="1"/>
        <v>Team: LADS  -  Project: Server and Docker Log Monitoring</v>
      </c>
      <c r="M46" s="6"/>
      <c r="N46" s="11"/>
      <c r="O46" s="6"/>
      <c r="P46" s="6"/>
      <c r="Q46" s="6"/>
      <c r="R46" s="6"/>
      <c r="S46" s="6"/>
      <c r="T46" s="6"/>
      <c r="U46" s="6"/>
      <c r="V46" s="6"/>
      <c r="W46" s="6"/>
      <c r="X46" s="6"/>
      <c r="Y46" s="6"/>
    </row>
    <row r="47" ht="18.75" customHeight="1">
      <c r="A47" s="8">
        <v>9.0</v>
      </c>
      <c r="B47" s="8">
        <v>1.0</v>
      </c>
      <c r="C47" s="8" t="s">
        <v>178</v>
      </c>
      <c r="D47" s="8" t="s">
        <v>179</v>
      </c>
      <c r="E47" s="7" t="s">
        <v>276</v>
      </c>
      <c r="F47" s="7" t="s">
        <v>277</v>
      </c>
      <c r="G47" s="8" t="s">
        <v>278</v>
      </c>
      <c r="H47" s="7" t="s">
        <v>272</v>
      </c>
      <c r="I47" s="7" t="s">
        <v>273</v>
      </c>
      <c r="J47" s="7" t="s">
        <v>279</v>
      </c>
      <c r="K47" s="7" t="s">
        <v>280</v>
      </c>
      <c r="L47" s="7" t="str">
        <f t="shared" si="1"/>
        <v>Team: HM  -  Project: Server Metric Health Monitoring</v>
      </c>
      <c r="M47" s="6"/>
      <c r="N47" s="11"/>
      <c r="O47" s="6"/>
      <c r="P47" s="6"/>
      <c r="Q47" s="6"/>
      <c r="R47" s="6"/>
      <c r="S47" s="6"/>
      <c r="T47" s="6"/>
      <c r="U47" s="6"/>
      <c r="V47" s="6"/>
      <c r="W47" s="6"/>
      <c r="X47" s="6"/>
      <c r="Y4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4.38"/>
    <col customWidth="1" min="3" max="3" width="22.25"/>
    <col customWidth="1" min="4" max="4" width="6.75"/>
    <col customWidth="1" min="5" max="5" width="31.88"/>
    <col customWidth="1" min="6" max="6" width="43.5"/>
    <col customWidth="1" min="7" max="7" width="23.75"/>
  </cols>
  <sheetData>
    <row r="1" ht="14.25" customHeight="1">
      <c r="A1" s="13" t="s">
        <v>281</v>
      </c>
      <c r="B1" s="13" t="s">
        <v>282</v>
      </c>
      <c r="C1" s="14" t="s">
        <v>283</v>
      </c>
      <c r="D1" s="14" t="s">
        <v>284</v>
      </c>
      <c r="E1" s="14" t="s">
        <v>285</v>
      </c>
      <c r="F1" s="14" t="s">
        <v>6</v>
      </c>
      <c r="G1" s="14" t="s">
        <v>286</v>
      </c>
    </row>
    <row r="2" ht="14.25" customHeight="1">
      <c r="A2" s="7" t="s">
        <v>287</v>
      </c>
      <c r="B2" s="7" t="s">
        <v>288</v>
      </c>
      <c r="C2" s="15" t="s">
        <v>289</v>
      </c>
      <c r="D2" s="7" t="s">
        <v>180</v>
      </c>
      <c r="E2" s="16" t="s">
        <v>183</v>
      </c>
      <c r="F2" s="17" t="s">
        <v>182</v>
      </c>
      <c r="G2" s="15" t="str">
        <f t="shared" ref="G2:G189" si="1">A2&amp;" "&amp;B2</f>
        <v>Aaron Kaushal</v>
      </c>
    </row>
    <row r="3" ht="14.25" customHeight="1">
      <c r="A3" s="7" t="s">
        <v>290</v>
      </c>
      <c r="B3" s="7" t="s">
        <v>291</v>
      </c>
      <c r="C3" s="15" t="s">
        <v>292</v>
      </c>
      <c r="D3" s="7" t="s">
        <v>180</v>
      </c>
      <c r="E3" s="16" t="s">
        <v>183</v>
      </c>
      <c r="F3" s="17" t="s">
        <v>182</v>
      </c>
      <c r="G3" s="15" t="str">
        <f t="shared" si="1"/>
        <v>Alex Taylor</v>
      </c>
    </row>
    <row r="4" ht="14.25" customHeight="1">
      <c r="A4" s="7" t="s">
        <v>293</v>
      </c>
      <c r="B4" s="7" t="s">
        <v>294</v>
      </c>
      <c r="C4" s="15" t="s">
        <v>295</v>
      </c>
      <c r="D4" s="7" t="s">
        <v>180</v>
      </c>
      <c r="E4" s="16" t="s">
        <v>183</v>
      </c>
      <c r="F4" s="17" t="s">
        <v>182</v>
      </c>
      <c r="G4" s="15" t="str">
        <f t="shared" si="1"/>
        <v>Loreta Camacho</v>
      </c>
    </row>
    <row r="5" ht="14.25" customHeight="1">
      <c r="A5" s="7" t="s">
        <v>296</v>
      </c>
      <c r="B5" s="7" t="s">
        <v>297</v>
      </c>
      <c r="C5" s="15" t="s">
        <v>298</v>
      </c>
      <c r="D5" s="7" t="s">
        <v>180</v>
      </c>
      <c r="E5" s="16" t="s">
        <v>183</v>
      </c>
      <c r="F5" s="17" t="s">
        <v>182</v>
      </c>
      <c r="G5" s="15" t="str">
        <f t="shared" si="1"/>
        <v>Ranvir Singh</v>
      </c>
    </row>
    <row r="6" ht="14.25" customHeight="1">
      <c r="A6" s="7" t="s">
        <v>299</v>
      </c>
      <c r="B6" s="7" t="s">
        <v>300</v>
      </c>
      <c r="C6" s="15" t="s">
        <v>301</v>
      </c>
      <c r="D6" s="7" t="s">
        <v>187</v>
      </c>
      <c r="E6" s="16" t="s">
        <v>183</v>
      </c>
      <c r="F6" s="17" t="s">
        <v>182</v>
      </c>
      <c r="G6" s="15" t="str">
        <f t="shared" si="1"/>
        <v>David Salse</v>
      </c>
    </row>
    <row r="7" ht="14.25" customHeight="1">
      <c r="A7" s="7" t="s">
        <v>302</v>
      </c>
      <c r="B7" s="7" t="s">
        <v>303</v>
      </c>
      <c r="C7" s="15" t="s">
        <v>304</v>
      </c>
      <c r="D7" s="7" t="s">
        <v>187</v>
      </c>
      <c r="E7" s="16" t="s">
        <v>183</v>
      </c>
      <c r="F7" s="17" t="s">
        <v>182</v>
      </c>
      <c r="G7" s="15" t="str">
        <f t="shared" si="1"/>
        <v>Fabiola Pineda</v>
      </c>
    </row>
    <row r="8" ht="14.25" customHeight="1">
      <c r="A8" s="7" t="s">
        <v>305</v>
      </c>
      <c r="B8" s="7" t="s">
        <v>306</v>
      </c>
      <c r="C8" s="15" t="s">
        <v>307</v>
      </c>
      <c r="D8" s="7" t="s">
        <v>187</v>
      </c>
      <c r="E8" s="16" t="s">
        <v>183</v>
      </c>
      <c r="F8" s="17" t="s">
        <v>182</v>
      </c>
      <c r="G8" s="15" t="str">
        <f t="shared" si="1"/>
        <v>Sidharth Babu</v>
      </c>
    </row>
    <row r="9" ht="14.25" customHeight="1">
      <c r="A9" s="7" t="s">
        <v>308</v>
      </c>
      <c r="B9" s="7" t="s">
        <v>309</v>
      </c>
      <c r="C9" s="15" t="s">
        <v>310</v>
      </c>
      <c r="D9" s="7" t="s">
        <v>187</v>
      </c>
      <c r="E9" s="16" t="s">
        <v>183</v>
      </c>
      <c r="F9" s="17" t="s">
        <v>182</v>
      </c>
      <c r="G9" s="15" t="str">
        <f t="shared" si="1"/>
        <v>Sy Loc</v>
      </c>
    </row>
    <row r="10" ht="14.25" customHeight="1">
      <c r="A10" s="7" t="s">
        <v>311</v>
      </c>
      <c r="B10" s="7" t="s">
        <v>312</v>
      </c>
      <c r="C10" s="15" t="s">
        <v>313</v>
      </c>
      <c r="D10" s="7" t="s">
        <v>191</v>
      </c>
      <c r="E10" s="6" t="s">
        <v>154</v>
      </c>
      <c r="F10" s="6" t="s">
        <v>193</v>
      </c>
      <c r="G10" s="15" t="str">
        <f t="shared" si="1"/>
        <v>Bharadwaj Satyanarayana</v>
      </c>
    </row>
    <row r="11" ht="14.25" customHeight="1">
      <c r="A11" s="7" t="s">
        <v>314</v>
      </c>
      <c r="B11" s="7" t="s">
        <v>315</v>
      </c>
      <c r="C11" s="15" t="s">
        <v>316</v>
      </c>
      <c r="D11" s="7" t="s">
        <v>191</v>
      </c>
      <c r="E11" s="6" t="s">
        <v>154</v>
      </c>
      <c r="F11" s="6" t="s">
        <v>193</v>
      </c>
      <c r="G11" s="15" t="str">
        <f t="shared" si="1"/>
        <v>Kevin Hernandez</v>
      </c>
    </row>
    <row r="12" ht="14.25" customHeight="1">
      <c r="A12" s="7" t="s">
        <v>317</v>
      </c>
      <c r="B12" s="7" t="s">
        <v>318</v>
      </c>
      <c r="C12" s="15" t="s">
        <v>319</v>
      </c>
      <c r="D12" s="7" t="s">
        <v>191</v>
      </c>
      <c r="E12" s="6" t="s">
        <v>154</v>
      </c>
      <c r="F12" s="6" t="s">
        <v>193</v>
      </c>
      <c r="G12" s="15" t="str">
        <f t="shared" si="1"/>
        <v>Rohit Vemuri</v>
      </c>
    </row>
    <row r="13" ht="14.25" customHeight="1">
      <c r="A13" s="7" t="s">
        <v>320</v>
      </c>
      <c r="B13" s="7" t="s">
        <v>321</v>
      </c>
      <c r="C13" s="15" t="s">
        <v>322</v>
      </c>
      <c r="D13" s="7" t="s">
        <v>191</v>
      </c>
      <c r="E13" s="6" t="s">
        <v>154</v>
      </c>
      <c r="F13" s="6" t="s">
        <v>193</v>
      </c>
      <c r="G13" s="15" t="str">
        <f t="shared" si="1"/>
        <v>Tanner Nodolf</v>
      </c>
    </row>
    <row r="14" ht="14.25" customHeight="1">
      <c r="A14" s="7" t="s">
        <v>323</v>
      </c>
      <c r="B14" s="7" t="s">
        <v>324</v>
      </c>
      <c r="C14" s="15" t="s">
        <v>325</v>
      </c>
      <c r="D14" s="7" t="s">
        <v>196</v>
      </c>
      <c r="E14" s="6" t="s">
        <v>154</v>
      </c>
      <c r="F14" s="6" t="s">
        <v>193</v>
      </c>
      <c r="G14" s="15" t="str">
        <f t="shared" si="1"/>
        <v>Aditi Kisara</v>
      </c>
    </row>
    <row r="15" ht="14.25" customHeight="1">
      <c r="A15" s="7" t="s">
        <v>326</v>
      </c>
      <c r="B15" s="7" t="s">
        <v>327</v>
      </c>
      <c r="C15" s="15" t="s">
        <v>328</v>
      </c>
      <c r="D15" s="7" t="s">
        <v>196</v>
      </c>
      <c r="E15" s="6" t="s">
        <v>154</v>
      </c>
      <c r="F15" s="6" t="s">
        <v>193</v>
      </c>
      <c r="G15" s="15" t="str">
        <f t="shared" si="1"/>
        <v>Crystal Reynoso Figueroa</v>
      </c>
    </row>
    <row r="16" ht="14.25" customHeight="1">
      <c r="A16" s="7" t="s">
        <v>329</v>
      </c>
      <c r="B16" s="7" t="s">
        <v>330</v>
      </c>
      <c r="C16" s="15" t="s">
        <v>331</v>
      </c>
      <c r="D16" s="7" t="s">
        <v>196</v>
      </c>
      <c r="E16" s="6" t="s">
        <v>154</v>
      </c>
      <c r="F16" s="6" t="s">
        <v>193</v>
      </c>
      <c r="G16" s="15" t="str">
        <f t="shared" si="1"/>
        <v>Shivanshu Gupta</v>
      </c>
    </row>
    <row r="17" ht="14.25" customHeight="1">
      <c r="A17" s="7" t="s">
        <v>332</v>
      </c>
      <c r="B17" s="7" t="s">
        <v>333</v>
      </c>
      <c r="C17" s="15" t="s">
        <v>334</v>
      </c>
      <c r="D17" s="7" t="s">
        <v>196</v>
      </c>
      <c r="E17" s="6" t="s">
        <v>154</v>
      </c>
      <c r="F17" s="6" t="s">
        <v>193</v>
      </c>
      <c r="G17" s="15" t="str">
        <f t="shared" si="1"/>
        <v>Zachary Harry</v>
      </c>
    </row>
    <row r="18" ht="14.25" customHeight="1">
      <c r="A18" s="7" t="s">
        <v>335</v>
      </c>
      <c r="B18" s="7" t="s">
        <v>336</v>
      </c>
      <c r="C18" s="15" t="s">
        <v>337</v>
      </c>
      <c r="D18" s="7" t="s">
        <v>200</v>
      </c>
      <c r="E18" s="6" t="s">
        <v>112</v>
      </c>
      <c r="F18" s="6" t="s">
        <v>111</v>
      </c>
      <c r="G18" s="15" t="str">
        <f t="shared" si="1"/>
        <v>Adam Weingram</v>
      </c>
    </row>
    <row r="19" ht="14.25" customHeight="1">
      <c r="A19" s="7" t="s">
        <v>338</v>
      </c>
      <c r="B19" s="7" t="s">
        <v>339</v>
      </c>
      <c r="C19" s="15" t="s">
        <v>340</v>
      </c>
      <c r="D19" s="7" t="s">
        <v>200</v>
      </c>
      <c r="E19" s="6" t="s">
        <v>112</v>
      </c>
      <c r="F19" s="6" t="s">
        <v>111</v>
      </c>
      <c r="G19" s="15" t="str">
        <f t="shared" si="1"/>
        <v>Isaac Shin</v>
      </c>
    </row>
    <row r="20" ht="14.25" customHeight="1">
      <c r="A20" s="7" t="s">
        <v>341</v>
      </c>
      <c r="B20" s="7" t="s">
        <v>342</v>
      </c>
      <c r="C20" s="15" t="s">
        <v>343</v>
      </c>
      <c r="D20" s="7" t="s">
        <v>200</v>
      </c>
      <c r="E20" s="6" t="s">
        <v>112</v>
      </c>
      <c r="F20" s="6" t="s">
        <v>111</v>
      </c>
      <c r="G20" s="15" t="str">
        <f t="shared" si="1"/>
        <v>Junia Jacinto</v>
      </c>
    </row>
    <row r="21" ht="14.25" customHeight="1">
      <c r="A21" s="7" t="s">
        <v>344</v>
      </c>
      <c r="B21" s="7" t="s">
        <v>345</v>
      </c>
      <c r="C21" s="15" t="s">
        <v>346</v>
      </c>
      <c r="D21" s="7" t="s">
        <v>200</v>
      </c>
      <c r="E21" s="6" t="s">
        <v>112</v>
      </c>
      <c r="F21" s="6" t="s">
        <v>111</v>
      </c>
      <c r="G21" s="15" t="str">
        <f t="shared" si="1"/>
        <v>Lafrance Daniels</v>
      </c>
    </row>
    <row r="22" ht="14.25" customHeight="1">
      <c r="A22" s="7" t="s">
        <v>347</v>
      </c>
      <c r="B22" s="7" t="s">
        <v>348</v>
      </c>
      <c r="C22" s="15" t="s">
        <v>349</v>
      </c>
      <c r="D22" s="7" t="s">
        <v>200</v>
      </c>
      <c r="E22" s="6" t="s">
        <v>112</v>
      </c>
      <c r="F22" s="6" t="s">
        <v>111</v>
      </c>
      <c r="G22" s="15" t="str">
        <f t="shared" si="1"/>
        <v>Nu-Chong Lee</v>
      </c>
    </row>
    <row r="23" ht="14.25" customHeight="1">
      <c r="A23" s="7" t="s">
        <v>287</v>
      </c>
      <c r="B23" s="7" t="s">
        <v>350</v>
      </c>
      <c r="C23" s="15" t="s">
        <v>351</v>
      </c>
      <c r="D23" s="7" t="s">
        <v>204</v>
      </c>
      <c r="E23" s="6" t="s">
        <v>81</v>
      </c>
      <c r="F23" s="6" t="s">
        <v>352</v>
      </c>
      <c r="G23" s="15" t="str">
        <f t="shared" si="1"/>
        <v>Aaron Leung</v>
      </c>
    </row>
    <row r="24" ht="14.25" customHeight="1">
      <c r="A24" s="7" t="s">
        <v>353</v>
      </c>
      <c r="B24" s="7" t="s">
        <v>354</v>
      </c>
      <c r="C24" s="15" t="s">
        <v>355</v>
      </c>
      <c r="D24" s="7" t="s">
        <v>204</v>
      </c>
      <c r="E24" s="6" t="s">
        <v>81</v>
      </c>
      <c r="F24" s="6" t="s">
        <v>352</v>
      </c>
      <c r="G24" s="15" t="str">
        <f t="shared" si="1"/>
        <v>Kelvin Nguyen</v>
      </c>
    </row>
    <row r="25" ht="14.25" customHeight="1">
      <c r="A25" s="7" t="s">
        <v>356</v>
      </c>
      <c r="B25" s="7" t="s">
        <v>357</v>
      </c>
      <c r="C25" s="15" t="s">
        <v>358</v>
      </c>
      <c r="D25" s="7" t="s">
        <v>204</v>
      </c>
      <c r="E25" s="6" t="s">
        <v>81</v>
      </c>
      <c r="F25" s="6" t="s">
        <v>352</v>
      </c>
      <c r="G25" s="15" t="str">
        <f t="shared" si="1"/>
        <v>Mritthika Harish</v>
      </c>
    </row>
    <row r="26" ht="14.25" customHeight="1">
      <c r="A26" s="7" t="s">
        <v>359</v>
      </c>
      <c r="B26" s="7" t="s">
        <v>360</v>
      </c>
      <c r="C26" s="15" t="s">
        <v>361</v>
      </c>
      <c r="D26" s="7" t="s">
        <v>204</v>
      </c>
      <c r="E26" s="6" t="s">
        <v>81</v>
      </c>
      <c r="F26" s="6" t="s">
        <v>352</v>
      </c>
      <c r="G26" s="15" t="str">
        <f t="shared" si="1"/>
        <v>Shivali Aggarwal</v>
      </c>
    </row>
    <row r="27" ht="14.25" customHeight="1">
      <c r="A27" s="7" t="s">
        <v>362</v>
      </c>
      <c r="B27" s="7" t="s">
        <v>363</v>
      </c>
      <c r="C27" s="15" t="s">
        <v>364</v>
      </c>
      <c r="D27" s="7" t="s">
        <v>209</v>
      </c>
      <c r="E27" s="6" t="s">
        <v>81</v>
      </c>
      <c r="F27" s="6" t="s">
        <v>352</v>
      </c>
      <c r="G27" s="15" t="str">
        <f t="shared" si="1"/>
        <v>Francisco Lira</v>
      </c>
    </row>
    <row r="28" ht="14.25" customHeight="1">
      <c r="A28" s="7" t="s">
        <v>365</v>
      </c>
      <c r="B28" s="7" t="s">
        <v>366</v>
      </c>
      <c r="C28" s="15" t="s">
        <v>367</v>
      </c>
      <c r="D28" s="7" t="s">
        <v>209</v>
      </c>
      <c r="E28" s="6" t="s">
        <v>81</v>
      </c>
      <c r="F28" s="6" t="s">
        <v>352</v>
      </c>
      <c r="G28" s="15" t="str">
        <f t="shared" si="1"/>
        <v>Gregorio Contreras Cervantes</v>
      </c>
    </row>
    <row r="29" ht="14.25" customHeight="1">
      <c r="A29" s="7" t="s">
        <v>368</v>
      </c>
      <c r="B29" s="7" t="s">
        <v>369</v>
      </c>
      <c r="C29" s="15" t="s">
        <v>370</v>
      </c>
      <c r="D29" s="7" t="s">
        <v>209</v>
      </c>
      <c r="E29" s="6" t="s">
        <v>81</v>
      </c>
      <c r="F29" s="6" t="s">
        <v>352</v>
      </c>
      <c r="G29" s="15" t="str">
        <f t="shared" si="1"/>
        <v>Julio Lopez</v>
      </c>
    </row>
    <row r="30" ht="14.25" customHeight="1">
      <c r="A30" s="7" t="s">
        <v>371</v>
      </c>
      <c r="B30" s="7" t="s">
        <v>372</v>
      </c>
      <c r="C30" s="15" t="s">
        <v>373</v>
      </c>
      <c r="D30" s="7" t="s">
        <v>209</v>
      </c>
      <c r="E30" s="6" t="s">
        <v>81</v>
      </c>
      <c r="F30" s="6" t="s">
        <v>352</v>
      </c>
      <c r="G30" s="15" t="str">
        <f t="shared" si="1"/>
        <v>Mercedes Jimenez Garcia</v>
      </c>
    </row>
    <row r="31" ht="14.25" customHeight="1">
      <c r="A31" s="7" t="s">
        <v>374</v>
      </c>
      <c r="B31" s="7" t="s">
        <v>375</v>
      </c>
      <c r="C31" s="15" t="s">
        <v>376</v>
      </c>
      <c r="D31" s="7" t="s">
        <v>213</v>
      </c>
      <c r="E31" s="6" t="s">
        <v>216</v>
      </c>
      <c r="F31" s="6" t="s">
        <v>215</v>
      </c>
      <c r="G31" s="15" t="str">
        <f t="shared" si="1"/>
        <v>Connor Bourke</v>
      </c>
    </row>
    <row r="32" ht="14.25" customHeight="1">
      <c r="A32" s="7" t="s">
        <v>377</v>
      </c>
      <c r="B32" s="7" t="s">
        <v>378</v>
      </c>
      <c r="C32" s="15" t="s">
        <v>379</v>
      </c>
      <c r="D32" s="7" t="s">
        <v>213</v>
      </c>
      <c r="E32" s="6" t="s">
        <v>216</v>
      </c>
      <c r="F32" s="6" t="s">
        <v>215</v>
      </c>
      <c r="G32" s="15" t="str">
        <f t="shared" si="1"/>
        <v>Elaine Huang</v>
      </c>
    </row>
    <row r="33" ht="14.25" customHeight="1">
      <c r="A33" s="7" t="s">
        <v>380</v>
      </c>
      <c r="B33" s="7" t="s">
        <v>381</v>
      </c>
      <c r="C33" s="15" t="s">
        <v>382</v>
      </c>
      <c r="D33" s="7" t="s">
        <v>213</v>
      </c>
      <c r="E33" s="6" t="s">
        <v>216</v>
      </c>
      <c r="F33" s="6" t="s">
        <v>215</v>
      </c>
      <c r="G33" s="15" t="str">
        <f t="shared" si="1"/>
        <v>Matthew Chang</v>
      </c>
    </row>
    <row r="34" ht="14.25" customHeight="1">
      <c r="A34" s="7" t="s">
        <v>383</v>
      </c>
      <c r="B34" s="7" t="s">
        <v>384</v>
      </c>
      <c r="C34" s="15" t="s">
        <v>385</v>
      </c>
      <c r="D34" s="7" t="s">
        <v>213</v>
      </c>
      <c r="E34" s="6" t="s">
        <v>216</v>
      </c>
      <c r="F34" s="6" t="s">
        <v>215</v>
      </c>
      <c r="G34" s="15" t="str">
        <f t="shared" si="1"/>
        <v>Ying Zhang</v>
      </c>
    </row>
    <row r="35" ht="14.25" customHeight="1">
      <c r="A35" s="7" t="s">
        <v>386</v>
      </c>
      <c r="B35" s="7" t="s">
        <v>387</v>
      </c>
      <c r="C35" s="15" t="s">
        <v>388</v>
      </c>
      <c r="D35" s="7" t="s">
        <v>220</v>
      </c>
      <c r="E35" s="6" t="s">
        <v>216</v>
      </c>
      <c r="F35" s="6" t="s">
        <v>215</v>
      </c>
      <c r="G35" s="15" t="str">
        <f t="shared" si="1"/>
        <v>Andy Bui</v>
      </c>
    </row>
    <row r="36" ht="14.25" customHeight="1">
      <c r="A36" s="7" t="s">
        <v>389</v>
      </c>
      <c r="B36" s="7" t="s">
        <v>390</v>
      </c>
      <c r="C36" s="15" t="s">
        <v>391</v>
      </c>
      <c r="D36" s="7" t="s">
        <v>220</v>
      </c>
      <c r="E36" s="6" t="s">
        <v>216</v>
      </c>
      <c r="F36" s="6" t="s">
        <v>215</v>
      </c>
      <c r="G36" s="15" t="str">
        <f t="shared" si="1"/>
        <v>Benjamin Crawford</v>
      </c>
    </row>
    <row r="37" ht="14.25" customHeight="1">
      <c r="A37" s="7" t="s">
        <v>392</v>
      </c>
      <c r="B37" s="7" t="s">
        <v>393</v>
      </c>
      <c r="C37" s="15" t="s">
        <v>394</v>
      </c>
      <c r="D37" s="7" t="s">
        <v>220</v>
      </c>
      <c r="E37" s="6" t="s">
        <v>216</v>
      </c>
      <c r="F37" s="6" t="s">
        <v>215</v>
      </c>
      <c r="G37" s="15" t="str">
        <f t="shared" si="1"/>
        <v>Brandon Duong</v>
      </c>
    </row>
    <row r="38" ht="14.25" customHeight="1">
      <c r="A38" s="7" t="s">
        <v>395</v>
      </c>
      <c r="B38" s="7" t="s">
        <v>396</v>
      </c>
      <c r="C38" s="15" t="s">
        <v>397</v>
      </c>
      <c r="D38" s="7" t="s">
        <v>220</v>
      </c>
      <c r="E38" s="6" t="s">
        <v>216</v>
      </c>
      <c r="F38" s="6" t="s">
        <v>215</v>
      </c>
      <c r="G38" s="15" t="str">
        <f t="shared" si="1"/>
        <v>Brodey Nance</v>
      </c>
    </row>
    <row r="39" ht="14.25" customHeight="1">
      <c r="A39" s="7" t="s">
        <v>398</v>
      </c>
      <c r="B39" s="7" t="s">
        <v>399</v>
      </c>
      <c r="C39" s="7" t="s">
        <v>400</v>
      </c>
      <c r="D39" s="18" t="s">
        <v>224</v>
      </c>
      <c r="E39" s="6" t="s">
        <v>106</v>
      </c>
      <c r="F39" s="6" t="s">
        <v>226</v>
      </c>
      <c r="G39" s="15" t="str">
        <f t="shared" si="1"/>
        <v>Austin Near</v>
      </c>
    </row>
    <row r="40" ht="14.25" customHeight="1">
      <c r="A40" s="7" t="s">
        <v>401</v>
      </c>
      <c r="B40" s="7" t="s">
        <v>402</v>
      </c>
      <c r="C40" s="15" t="s">
        <v>403</v>
      </c>
      <c r="D40" s="18" t="s">
        <v>224</v>
      </c>
      <c r="E40" s="6" t="s">
        <v>106</v>
      </c>
      <c r="F40" s="6" t="s">
        <v>226</v>
      </c>
      <c r="G40" s="15" t="str">
        <f t="shared" si="1"/>
        <v>Jason Chan</v>
      </c>
    </row>
    <row r="41" ht="14.25" customHeight="1">
      <c r="A41" s="7" t="s">
        <v>404</v>
      </c>
      <c r="B41" s="7" t="s">
        <v>405</v>
      </c>
      <c r="C41" s="15" t="s">
        <v>406</v>
      </c>
      <c r="D41" s="18" t="s">
        <v>224</v>
      </c>
      <c r="E41" s="6" t="s">
        <v>106</v>
      </c>
      <c r="F41" s="6" t="s">
        <v>226</v>
      </c>
      <c r="G41" s="15" t="str">
        <f t="shared" si="1"/>
        <v>Nicholas Haines</v>
      </c>
    </row>
    <row r="42" ht="14.25" customHeight="1">
      <c r="A42" s="7" t="s">
        <v>407</v>
      </c>
      <c r="B42" s="7" t="s">
        <v>408</v>
      </c>
      <c r="C42" s="15" t="s">
        <v>409</v>
      </c>
      <c r="D42" s="18" t="s">
        <v>224</v>
      </c>
      <c r="E42" s="6" t="s">
        <v>106</v>
      </c>
      <c r="F42" s="6" t="s">
        <v>226</v>
      </c>
      <c r="G42" s="15" t="str">
        <f t="shared" si="1"/>
        <v>Yoan Palacios Guzman</v>
      </c>
    </row>
    <row r="43" ht="14.25" customHeight="1">
      <c r="A43" s="7" t="s">
        <v>410</v>
      </c>
      <c r="B43" s="7" t="s">
        <v>411</v>
      </c>
      <c r="C43" s="15" t="s">
        <v>412</v>
      </c>
      <c r="D43" s="7" t="s">
        <v>229</v>
      </c>
      <c r="E43" s="6" t="s">
        <v>106</v>
      </c>
      <c r="F43" s="6" t="s">
        <v>226</v>
      </c>
      <c r="G43" s="15" t="str">
        <f t="shared" si="1"/>
        <v>Giovanni Perez</v>
      </c>
    </row>
    <row r="44" ht="14.25" customHeight="1">
      <c r="A44" s="7" t="s">
        <v>413</v>
      </c>
      <c r="B44" s="7" t="s">
        <v>414</v>
      </c>
      <c r="C44" s="15" t="s">
        <v>415</v>
      </c>
      <c r="D44" s="7" t="s">
        <v>229</v>
      </c>
      <c r="E44" s="6" t="s">
        <v>106</v>
      </c>
      <c r="F44" s="6" t="s">
        <v>226</v>
      </c>
      <c r="G44" s="15" t="str">
        <f t="shared" si="1"/>
        <v>Jesse Luna</v>
      </c>
    </row>
    <row r="45" ht="14.25" customHeight="1">
      <c r="A45" s="7" t="s">
        <v>416</v>
      </c>
      <c r="B45" s="7" t="s">
        <v>417</v>
      </c>
      <c r="C45" s="15" t="s">
        <v>418</v>
      </c>
      <c r="D45" s="7" t="s">
        <v>229</v>
      </c>
      <c r="E45" s="6" t="s">
        <v>106</v>
      </c>
      <c r="F45" s="6" t="s">
        <v>226</v>
      </c>
      <c r="G45" s="15" t="str">
        <f t="shared" si="1"/>
        <v>Nathan Edwards</v>
      </c>
    </row>
    <row r="46" ht="14.25" customHeight="1">
      <c r="A46" s="7" t="s">
        <v>419</v>
      </c>
      <c r="B46" s="7" t="s">
        <v>420</v>
      </c>
      <c r="C46" s="15" t="s">
        <v>421</v>
      </c>
      <c r="D46" s="7" t="s">
        <v>229</v>
      </c>
      <c r="E46" s="6" t="s">
        <v>106</v>
      </c>
      <c r="F46" s="6" t="s">
        <v>226</v>
      </c>
      <c r="G46" s="15" t="str">
        <f t="shared" si="1"/>
        <v>Prabhnoor Brar</v>
      </c>
    </row>
    <row r="47" ht="14.25" customHeight="1">
      <c r="A47" s="7" t="s">
        <v>422</v>
      </c>
      <c r="B47" s="7" t="s">
        <v>423</v>
      </c>
      <c r="C47" s="15" t="s">
        <v>424</v>
      </c>
      <c r="D47" s="7" t="s">
        <v>233</v>
      </c>
      <c r="E47" s="6" t="s">
        <v>58</v>
      </c>
      <c r="F47" s="6" t="s">
        <v>235</v>
      </c>
      <c r="G47" s="15" t="str">
        <f t="shared" si="1"/>
        <v>Mark Ogbunamiri</v>
      </c>
    </row>
    <row r="48" ht="14.25" customHeight="1">
      <c r="A48" s="7" t="s">
        <v>425</v>
      </c>
      <c r="B48" s="7" t="s">
        <v>426</v>
      </c>
      <c r="C48" s="15" t="s">
        <v>427</v>
      </c>
      <c r="D48" s="7" t="s">
        <v>233</v>
      </c>
      <c r="E48" s="6" t="s">
        <v>58</v>
      </c>
      <c r="F48" s="6" t="s">
        <v>235</v>
      </c>
      <c r="G48" s="15" t="str">
        <f t="shared" si="1"/>
        <v>James Short</v>
      </c>
    </row>
    <row r="49" ht="14.25" customHeight="1">
      <c r="A49" s="7" t="s">
        <v>428</v>
      </c>
      <c r="B49" s="7" t="s">
        <v>350</v>
      </c>
      <c r="C49" s="15" t="s">
        <v>429</v>
      </c>
      <c r="D49" s="7" t="s">
        <v>233</v>
      </c>
      <c r="E49" s="6" t="s">
        <v>58</v>
      </c>
      <c r="F49" s="6" t="s">
        <v>235</v>
      </c>
      <c r="G49" s="15" t="str">
        <f t="shared" si="1"/>
        <v>Kyle Leung</v>
      </c>
    </row>
    <row r="50" ht="14.25" customHeight="1">
      <c r="A50" s="7" t="s">
        <v>428</v>
      </c>
      <c r="B50" s="7" t="s">
        <v>430</v>
      </c>
      <c r="C50" s="15" t="s">
        <v>431</v>
      </c>
      <c r="D50" s="7" t="s">
        <v>233</v>
      </c>
      <c r="E50" s="6" t="s">
        <v>58</v>
      </c>
      <c r="F50" s="6" t="s">
        <v>235</v>
      </c>
      <c r="G50" s="15" t="str">
        <f t="shared" si="1"/>
        <v>Kyle Tucker</v>
      </c>
    </row>
    <row r="51" ht="14.25" customHeight="1">
      <c r="A51" s="7" t="s">
        <v>432</v>
      </c>
      <c r="B51" s="7" t="s">
        <v>433</v>
      </c>
      <c r="C51" s="15" t="s">
        <v>434</v>
      </c>
      <c r="D51" s="7" t="s">
        <v>233</v>
      </c>
      <c r="E51" s="6" t="s">
        <v>58</v>
      </c>
      <c r="F51" s="6" t="s">
        <v>235</v>
      </c>
      <c r="G51" s="15" t="str">
        <f t="shared" si="1"/>
        <v>Samuel Kashiwase</v>
      </c>
    </row>
    <row r="52" ht="14.25" customHeight="1">
      <c r="A52" s="7" t="s">
        <v>435</v>
      </c>
      <c r="B52" s="7" t="s">
        <v>436</v>
      </c>
      <c r="C52" s="15" t="s">
        <v>437</v>
      </c>
      <c r="D52" s="7" t="s">
        <v>238</v>
      </c>
      <c r="E52" s="6" t="s">
        <v>241</v>
      </c>
      <c r="F52" s="6" t="s">
        <v>240</v>
      </c>
      <c r="G52" s="15" t="str">
        <f t="shared" si="1"/>
        <v>Alexander Woersching</v>
      </c>
    </row>
    <row r="53" ht="14.25" customHeight="1">
      <c r="A53" s="7" t="s">
        <v>438</v>
      </c>
      <c r="B53" s="7" t="s">
        <v>439</v>
      </c>
      <c r="C53" s="15" t="s">
        <v>440</v>
      </c>
      <c r="D53" s="7" t="s">
        <v>238</v>
      </c>
      <c r="E53" s="6" t="s">
        <v>241</v>
      </c>
      <c r="F53" s="6" t="s">
        <v>240</v>
      </c>
      <c r="G53" s="15" t="str">
        <f t="shared" si="1"/>
        <v>Chelsea Zhao</v>
      </c>
    </row>
    <row r="54" ht="14.25" customHeight="1">
      <c r="A54" s="7" t="s">
        <v>441</v>
      </c>
      <c r="B54" s="7" t="s">
        <v>354</v>
      </c>
      <c r="C54" s="15" t="s">
        <v>442</v>
      </c>
      <c r="D54" s="7" t="s">
        <v>238</v>
      </c>
      <c r="E54" s="6" t="s">
        <v>241</v>
      </c>
      <c r="F54" s="6" t="s">
        <v>240</v>
      </c>
      <c r="G54" s="15" t="str">
        <f t="shared" si="1"/>
        <v>Jacqueline Nguyen</v>
      </c>
    </row>
    <row r="55" ht="14.25" customHeight="1">
      <c r="A55" s="7" t="s">
        <v>443</v>
      </c>
      <c r="B55" s="7" t="s">
        <v>444</v>
      </c>
      <c r="C55" s="15" t="s">
        <v>445</v>
      </c>
      <c r="D55" s="7" t="s">
        <v>238</v>
      </c>
      <c r="E55" s="6" t="s">
        <v>241</v>
      </c>
      <c r="F55" s="6" t="s">
        <v>240</v>
      </c>
      <c r="G55" s="15" t="str">
        <f t="shared" si="1"/>
        <v>Tommy Nguyen </v>
      </c>
    </row>
    <row r="56" ht="14.25" customHeight="1">
      <c r="A56" s="7" t="s">
        <v>446</v>
      </c>
      <c r="B56" s="7" t="s">
        <v>447</v>
      </c>
      <c r="C56" s="15" t="s">
        <v>448</v>
      </c>
      <c r="D56" s="7" t="s">
        <v>238</v>
      </c>
      <c r="E56" s="6" t="s">
        <v>241</v>
      </c>
      <c r="F56" s="6" t="s">
        <v>240</v>
      </c>
      <c r="G56" s="15" t="str">
        <f t="shared" si="1"/>
        <v>Vianca Reynoso</v>
      </c>
    </row>
    <row r="57" ht="14.25" customHeight="1">
      <c r="A57" s="7" t="s">
        <v>449</v>
      </c>
      <c r="B57" s="7" t="s">
        <v>450</v>
      </c>
      <c r="C57" s="15" t="s">
        <v>451</v>
      </c>
      <c r="D57" s="7" t="s">
        <v>244</v>
      </c>
      <c r="E57" s="6" t="s">
        <v>241</v>
      </c>
      <c r="F57" s="6" t="s">
        <v>240</v>
      </c>
      <c r="G57" s="15" t="str">
        <f t="shared" si="1"/>
        <v>Ivan Padilla</v>
      </c>
    </row>
    <row r="58" ht="14.25" customHeight="1">
      <c r="A58" s="7" t="s">
        <v>452</v>
      </c>
      <c r="B58" s="7" t="s">
        <v>453</v>
      </c>
      <c r="C58" s="15" t="s">
        <v>454</v>
      </c>
      <c r="D58" s="7" t="s">
        <v>244</v>
      </c>
      <c r="E58" s="6" t="s">
        <v>241</v>
      </c>
      <c r="F58" s="6" t="s">
        <v>240</v>
      </c>
      <c r="G58" s="15" t="str">
        <f t="shared" si="1"/>
        <v>Misael Bolainez</v>
      </c>
    </row>
    <row r="59" ht="14.25" customHeight="1">
      <c r="A59" s="7" t="s">
        <v>416</v>
      </c>
      <c r="B59" s="7" t="s">
        <v>455</v>
      </c>
      <c r="C59" s="15" t="s">
        <v>456</v>
      </c>
      <c r="D59" s="7" t="s">
        <v>244</v>
      </c>
      <c r="E59" s="6" t="s">
        <v>241</v>
      </c>
      <c r="F59" s="6" t="s">
        <v>240</v>
      </c>
      <c r="G59" s="15" t="str">
        <f t="shared" si="1"/>
        <v>Nathan Huynh</v>
      </c>
    </row>
    <row r="60" ht="14.25" customHeight="1">
      <c r="A60" s="7" t="s">
        <v>457</v>
      </c>
      <c r="B60" s="7" t="s">
        <v>458</v>
      </c>
      <c r="C60" s="15" t="s">
        <v>459</v>
      </c>
      <c r="D60" s="7" t="s">
        <v>244</v>
      </c>
      <c r="E60" s="6" t="s">
        <v>241</v>
      </c>
      <c r="F60" s="6" t="s">
        <v>240</v>
      </c>
      <c r="G60" s="15" t="str">
        <f t="shared" si="1"/>
        <v>Timothy Ha</v>
      </c>
    </row>
    <row r="61" ht="14.25" customHeight="1">
      <c r="A61" s="7" t="s">
        <v>460</v>
      </c>
      <c r="B61" s="7" t="s">
        <v>461</v>
      </c>
      <c r="C61" s="15" t="s">
        <v>462</v>
      </c>
      <c r="D61" s="7" t="s">
        <v>248</v>
      </c>
      <c r="E61" s="6" t="s">
        <v>251</v>
      </c>
      <c r="F61" s="6" t="s">
        <v>250</v>
      </c>
      <c r="G61" s="15" t="str">
        <f t="shared" si="1"/>
        <v>Alejandro Sanchez</v>
      </c>
    </row>
    <row r="62" ht="14.25" customHeight="1">
      <c r="A62" s="7" t="s">
        <v>463</v>
      </c>
      <c r="B62" s="7" t="s">
        <v>464</v>
      </c>
      <c r="C62" s="15" t="s">
        <v>465</v>
      </c>
      <c r="D62" s="7" t="s">
        <v>248</v>
      </c>
      <c r="E62" s="6" t="s">
        <v>251</v>
      </c>
      <c r="F62" s="6" t="s">
        <v>250</v>
      </c>
      <c r="G62" s="15" t="str">
        <f t="shared" si="1"/>
        <v>Aramy Truong</v>
      </c>
    </row>
    <row r="63" ht="14.25" customHeight="1">
      <c r="A63" s="7" t="s">
        <v>466</v>
      </c>
      <c r="B63" s="7" t="s">
        <v>467</v>
      </c>
      <c r="C63" s="15" t="s">
        <v>468</v>
      </c>
      <c r="D63" s="7" t="s">
        <v>248</v>
      </c>
      <c r="E63" s="6" t="s">
        <v>251</v>
      </c>
      <c r="F63" s="6" t="s">
        <v>250</v>
      </c>
      <c r="G63" s="15" t="str">
        <f t="shared" si="1"/>
        <v>Emelio Barba</v>
      </c>
    </row>
    <row r="64" ht="14.25" customHeight="1">
      <c r="A64" s="7" t="s">
        <v>469</v>
      </c>
      <c r="B64" s="7" t="s">
        <v>354</v>
      </c>
      <c r="C64" s="15" t="s">
        <v>470</v>
      </c>
      <c r="D64" s="7" t="s">
        <v>248</v>
      </c>
      <c r="E64" s="6" t="s">
        <v>251</v>
      </c>
      <c r="F64" s="6" t="s">
        <v>250</v>
      </c>
      <c r="G64" s="15" t="str">
        <f t="shared" si="1"/>
        <v>Vincent Nguyen</v>
      </c>
    </row>
    <row r="65" ht="14.25" customHeight="1">
      <c r="A65" s="7" t="s">
        <v>471</v>
      </c>
      <c r="B65" s="7" t="s">
        <v>472</v>
      </c>
      <c r="C65" s="15" t="s">
        <v>473</v>
      </c>
      <c r="D65" s="7" t="s">
        <v>254</v>
      </c>
      <c r="E65" s="6" t="s">
        <v>251</v>
      </c>
      <c r="F65" s="6" t="s">
        <v>250</v>
      </c>
      <c r="G65" s="15" t="str">
        <f t="shared" si="1"/>
        <v>Brayam Corral Flores</v>
      </c>
    </row>
    <row r="66" ht="14.25" customHeight="1">
      <c r="A66" s="7" t="s">
        <v>474</v>
      </c>
      <c r="B66" s="7" t="s">
        <v>475</v>
      </c>
      <c r="C66" s="15" t="s">
        <v>476</v>
      </c>
      <c r="D66" s="7" t="s">
        <v>254</v>
      </c>
      <c r="E66" s="6" t="s">
        <v>251</v>
      </c>
      <c r="F66" s="6" t="s">
        <v>250</v>
      </c>
      <c r="G66" s="15" t="str">
        <f t="shared" si="1"/>
        <v>Erick Barajas</v>
      </c>
    </row>
    <row r="67" ht="14.25" customHeight="1">
      <c r="A67" s="7" t="s">
        <v>477</v>
      </c>
      <c r="B67" s="7" t="s">
        <v>478</v>
      </c>
      <c r="C67" s="15" t="s">
        <v>479</v>
      </c>
      <c r="D67" s="7" t="s">
        <v>254</v>
      </c>
      <c r="E67" s="6" t="s">
        <v>251</v>
      </c>
      <c r="F67" s="6" t="s">
        <v>250</v>
      </c>
      <c r="G67" s="15" t="str">
        <f t="shared" si="1"/>
        <v>Manuel Toro Garcia</v>
      </c>
    </row>
    <row r="68" ht="14.25" customHeight="1">
      <c r="A68" s="7" t="s">
        <v>480</v>
      </c>
      <c r="B68" s="7" t="s">
        <v>318</v>
      </c>
      <c r="C68" s="15" t="s">
        <v>481</v>
      </c>
      <c r="D68" s="7" t="s">
        <v>254</v>
      </c>
      <c r="E68" s="6" t="s">
        <v>251</v>
      </c>
      <c r="F68" s="6" t="s">
        <v>250</v>
      </c>
      <c r="G68" s="15" t="str">
        <f t="shared" si="1"/>
        <v>Sreeda Vemuri</v>
      </c>
    </row>
    <row r="69" ht="14.25" customHeight="1">
      <c r="A69" s="7" t="s">
        <v>380</v>
      </c>
      <c r="B69" s="7" t="s">
        <v>482</v>
      </c>
      <c r="C69" s="15" t="s">
        <v>483</v>
      </c>
      <c r="D69" s="7" t="s">
        <v>258</v>
      </c>
      <c r="E69" s="6" t="s">
        <v>261</v>
      </c>
      <c r="F69" s="6" t="s">
        <v>484</v>
      </c>
      <c r="G69" s="15" t="str">
        <f t="shared" si="1"/>
        <v>Matthew Nor</v>
      </c>
    </row>
    <row r="70" ht="14.25" customHeight="1">
      <c r="A70" s="7" t="s">
        <v>485</v>
      </c>
      <c r="B70" s="7" t="s">
        <v>297</v>
      </c>
      <c r="C70" s="15" t="s">
        <v>486</v>
      </c>
      <c r="D70" s="7" t="s">
        <v>258</v>
      </c>
      <c r="E70" s="6" t="s">
        <v>261</v>
      </c>
      <c r="F70" s="6" t="s">
        <v>484</v>
      </c>
      <c r="G70" s="15" t="str">
        <f t="shared" si="1"/>
        <v>Partap Singh</v>
      </c>
    </row>
    <row r="71" ht="14.25" customHeight="1">
      <c r="A71" s="7" t="s">
        <v>487</v>
      </c>
      <c r="B71" s="7" t="s">
        <v>488</v>
      </c>
      <c r="C71" s="15" t="s">
        <v>489</v>
      </c>
      <c r="D71" s="7" t="s">
        <v>258</v>
      </c>
      <c r="E71" s="6" t="s">
        <v>261</v>
      </c>
      <c r="F71" s="6" t="s">
        <v>484</v>
      </c>
      <c r="G71" s="15" t="str">
        <f t="shared" si="1"/>
        <v>Subhalakshmi Balaji</v>
      </c>
    </row>
    <row r="72" ht="14.25" customHeight="1">
      <c r="A72" s="7" t="s">
        <v>490</v>
      </c>
      <c r="B72" s="7" t="s">
        <v>491</v>
      </c>
      <c r="C72" s="15" t="s">
        <v>492</v>
      </c>
      <c r="D72" s="7" t="s">
        <v>258</v>
      </c>
      <c r="E72" s="6" t="s">
        <v>261</v>
      </c>
      <c r="F72" s="6" t="s">
        <v>484</v>
      </c>
      <c r="G72" s="15" t="str">
        <f t="shared" si="1"/>
        <v>Sofia Figueroa</v>
      </c>
    </row>
    <row r="73" ht="14.25" customHeight="1">
      <c r="A73" s="7" t="s">
        <v>493</v>
      </c>
      <c r="B73" s="7" t="s">
        <v>494</v>
      </c>
      <c r="C73" s="15" t="s">
        <v>495</v>
      </c>
      <c r="D73" s="7" t="s">
        <v>265</v>
      </c>
      <c r="E73" s="6" t="s">
        <v>261</v>
      </c>
      <c r="F73" s="6" t="s">
        <v>484</v>
      </c>
      <c r="G73" s="15" t="str">
        <f t="shared" si="1"/>
        <v>Colin Schmierer</v>
      </c>
    </row>
    <row r="74" ht="14.25" customHeight="1">
      <c r="A74" s="7" t="s">
        <v>496</v>
      </c>
      <c r="B74" s="7" t="s">
        <v>497</v>
      </c>
      <c r="C74" s="15" t="s">
        <v>498</v>
      </c>
      <c r="D74" s="7" t="s">
        <v>265</v>
      </c>
      <c r="E74" s="6" t="s">
        <v>261</v>
      </c>
      <c r="F74" s="6" t="s">
        <v>484</v>
      </c>
      <c r="G74" s="15" t="str">
        <f t="shared" si="1"/>
        <v>Eric Li</v>
      </c>
    </row>
    <row r="75" ht="14.25" customHeight="1">
      <c r="A75" s="7" t="s">
        <v>404</v>
      </c>
      <c r="B75" s="7" t="s">
        <v>499</v>
      </c>
      <c r="C75" s="15" t="s">
        <v>500</v>
      </c>
      <c r="D75" s="7" t="s">
        <v>265</v>
      </c>
      <c r="E75" s="6" t="s">
        <v>261</v>
      </c>
      <c r="F75" s="6" t="s">
        <v>484</v>
      </c>
      <c r="G75" s="15" t="str">
        <f t="shared" si="1"/>
        <v>Nicholas Ly</v>
      </c>
    </row>
    <row r="76" ht="14.25" customHeight="1">
      <c r="A76" s="7" t="s">
        <v>432</v>
      </c>
      <c r="B76" s="7" t="s">
        <v>501</v>
      </c>
      <c r="C76" s="15" t="s">
        <v>502</v>
      </c>
      <c r="D76" s="7" t="s">
        <v>265</v>
      </c>
      <c r="E76" s="6" t="s">
        <v>261</v>
      </c>
      <c r="F76" s="6" t="s">
        <v>484</v>
      </c>
      <c r="G76" s="15" t="str">
        <f t="shared" si="1"/>
        <v>Samuel Carlos</v>
      </c>
    </row>
    <row r="77" ht="14.25" customHeight="1">
      <c r="A77" s="7" t="s">
        <v>503</v>
      </c>
      <c r="B77" s="7" t="s">
        <v>504</v>
      </c>
      <c r="C77" s="15" t="s">
        <v>505</v>
      </c>
      <c r="D77" s="7" t="s">
        <v>269</v>
      </c>
      <c r="E77" s="6" t="s">
        <v>272</v>
      </c>
      <c r="F77" s="6" t="s">
        <v>271</v>
      </c>
      <c r="G77" s="15" t="str">
        <f t="shared" si="1"/>
        <v>Apsara Fite</v>
      </c>
    </row>
    <row r="78" ht="14.25" customHeight="1">
      <c r="A78" s="7" t="s">
        <v>299</v>
      </c>
      <c r="B78" s="7" t="s">
        <v>506</v>
      </c>
      <c r="C78" s="15" t="s">
        <v>507</v>
      </c>
      <c r="D78" s="7" t="s">
        <v>269</v>
      </c>
      <c r="E78" s="6" t="s">
        <v>272</v>
      </c>
      <c r="F78" s="6" t="s">
        <v>271</v>
      </c>
      <c r="G78" s="15" t="str">
        <f t="shared" si="1"/>
        <v>David Chu</v>
      </c>
    </row>
    <row r="79" ht="14.25" customHeight="1">
      <c r="A79" s="7" t="s">
        <v>508</v>
      </c>
      <c r="B79" s="7" t="s">
        <v>411</v>
      </c>
      <c r="C79" s="15" t="s">
        <v>509</v>
      </c>
      <c r="D79" s="7" t="s">
        <v>269</v>
      </c>
      <c r="E79" s="6" t="s">
        <v>272</v>
      </c>
      <c r="F79" s="6" t="s">
        <v>271</v>
      </c>
      <c r="G79" s="15" t="str">
        <f t="shared" si="1"/>
        <v>Louis Perez</v>
      </c>
    </row>
    <row r="80" ht="14.25" customHeight="1">
      <c r="A80" s="7" t="s">
        <v>510</v>
      </c>
      <c r="B80" s="7" t="s">
        <v>511</v>
      </c>
      <c r="C80" s="15" t="s">
        <v>512</v>
      </c>
      <c r="D80" s="7" t="s">
        <v>269</v>
      </c>
      <c r="E80" s="6" t="s">
        <v>272</v>
      </c>
      <c r="F80" s="6" t="s">
        <v>271</v>
      </c>
      <c r="G80" s="15" t="str">
        <f t="shared" si="1"/>
        <v>Solomon Denning</v>
      </c>
    </row>
    <row r="81" ht="14.25" customHeight="1">
      <c r="A81" s="7" t="s">
        <v>513</v>
      </c>
      <c r="B81" s="7" t="s">
        <v>514</v>
      </c>
      <c r="C81" s="15" t="s">
        <v>515</v>
      </c>
      <c r="D81" s="7" t="s">
        <v>276</v>
      </c>
      <c r="E81" s="6" t="s">
        <v>272</v>
      </c>
      <c r="F81" s="6" t="s">
        <v>278</v>
      </c>
      <c r="G81" s="15" t="str">
        <f t="shared" si="1"/>
        <v>Cesar Garcia</v>
      </c>
    </row>
    <row r="82" ht="14.25" customHeight="1">
      <c r="A82" s="7" t="s">
        <v>516</v>
      </c>
      <c r="B82" s="7" t="s">
        <v>517</v>
      </c>
      <c r="C82" s="15" t="s">
        <v>518</v>
      </c>
      <c r="D82" s="7" t="s">
        <v>276</v>
      </c>
      <c r="E82" s="6" t="s">
        <v>272</v>
      </c>
      <c r="F82" s="6" t="s">
        <v>278</v>
      </c>
      <c r="G82" s="15" t="str">
        <f t="shared" si="1"/>
        <v>Graciela Moreno</v>
      </c>
    </row>
    <row r="83" ht="14.25" customHeight="1">
      <c r="A83" s="7" t="s">
        <v>519</v>
      </c>
      <c r="B83" s="7" t="s">
        <v>520</v>
      </c>
      <c r="C83" s="15" t="s">
        <v>521</v>
      </c>
      <c r="D83" s="7" t="s">
        <v>276</v>
      </c>
      <c r="E83" s="6" t="s">
        <v>272</v>
      </c>
      <c r="F83" s="6" t="s">
        <v>278</v>
      </c>
      <c r="G83" s="15" t="str">
        <f t="shared" si="1"/>
        <v>Gordon Tong</v>
      </c>
    </row>
    <row r="84" ht="14.25" customHeight="1">
      <c r="A84" s="7" t="s">
        <v>522</v>
      </c>
      <c r="B84" s="7" t="s">
        <v>523</v>
      </c>
      <c r="C84" s="15" t="s">
        <v>524</v>
      </c>
      <c r="D84" s="7" t="s">
        <v>276</v>
      </c>
      <c r="E84" s="6" t="s">
        <v>272</v>
      </c>
      <c r="F84" s="6" t="s">
        <v>278</v>
      </c>
      <c r="G84" s="15" t="str">
        <f t="shared" si="1"/>
        <v>Higinio Ramirez</v>
      </c>
    </row>
    <row r="85" ht="14.25" customHeight="1">
      <c r="A85" s="7" t="s">
        <v>525</v>
      </c>
      <c r="B85" s="7" t="s">
        <v>526</v>
      </c>
      <c r="C85" s="15" t="s">
        <v>527</v>
      </c>
      <c r="D85" s="7" t="s">
        <v>276</v>
      </c>
      <c r="E85" s="6" t="s">
        <v>272</v>
      </c>
      <c r="F85" s="6" t="s">
        <v>278</v>
      </c>
      <c r="G85" s="15" t="str">
        <f t="shared" si="1"/>
        <v>Miguel Paolo Al Tercero</v>
      </c>
    </row>
    <row r="86" ht="14.25" customHeight="1">
      <c r="A86" s="7" t="s">
        <v>435</v>
      </c>
      <c r="B86" s="7" t="s">
        <v>354</v>
      </c>
      <c r="C86" s="7" t="s">
        <v>528</v>
      </c>
      <c r="D86" s="7" t="s">
        <v>14</v>
      </c>
      <c r="E86" s="19" t="s">
        <v>17</v>
      </c>
      <c r="F86" s="19" t="s">
        <v>16</v>
      </c>
      <c r="G86" s="15" t="str">
        <f t="shared" si="1"/>
        <v>Alexander Nguyen</v>
      </c>
    </row>
    <row r="87" ht="14.25" customHeight="1">
      <c r="A87" s="7" t="s">
        <v>529</v>
      </c>
      <c r="B87" s="7" t="s">
        <v>530</v>
      </c>
      <c r="C87" s="7" t="s">
        <v>531</v>
      </c>
      <c r="D87" s="7" t="s">
        <v>14</v>
      </c>
      <c r="E87" s="19" t="s">
        <v>17</v>
      </c>
      <c r="F87" s="19" t="s">
        <v>16</v>
      </c>
      <c r="G87" s="15" t="str">
        <f t="shared" si="1"/>
        <v>Emmanuel Egun</v>
      </c>
    </row>
    <row r="88" ht="14.25" customHeight="1">
      <c r="A88" s="7" t="s">
        <v>532</v>
      </c>
      <c r="B88" s="7" t="s">
        <v>533</v>
      </c>
      <c r="C88" s="7" t="s">
        <v>534</v>
      </c>
      <c r="D88" s="7" t="s">
        <v>14</v>
      </c>
      <c r="E88" s="19" t="s">
        <v>17</v>
      </c>
      <c r="F88" s="19" t="s">
        <v>16</v>
      </c>
      <c r="G88" s="15" t="str">
        <f t="shared" si="1"/>
        <v>Jacob Espinosa</v>
      </c>
    </row>
    <row r="89" ht="14.25" customHeight="1">
      <c r="A89" s="7" t="s">
        <v>535</v>
      </c>
      <c r="B89" s="7" t="s">
        <v>536</v>
      </c>
      <c r="C89" s="7" t="s">
        <v>537</v>
      </c>
      <c r="D89" s="7" t="s">
        <v>14</v>
      </c>
      <c r="E89" s="19" t="s">
        <v>17</v>
      </c>
      <c r="F89" s="19" t="s">
        <v>16</v>
      </c>
      <c r="G89" s="15" t="str">
        <f t="shared" si="1"/>
        <v>Mariella Quevada</v>
      </c>
    </row>
    <row r="90" ht="14.25" customHeight="1">
      <c r="A90" s="7" t="s">
        <v>538</v>
      </c>
      <c r="B90" s="7" t="s">
        <v>539</v>
      </c>
      <c r="C90" s="7" t="s">
        <v>540</v>
      </c>
      <c r="D90" s="7" t="s">
        <v>21</v>
      </c>
      <c r="E90" s="19" t="s">
        <v>24</v>
      </c>
      <c r="F90" s="19" t="s">
        <v>23</v>
      </c>
      <c r="G90" s="15" t="str">
        <f t="shared" si="1"/>
        <v>Anthony Alfaro</v>
      </c>
    </row>
    <row r="91" ht="14.25" customHeight="1">
      <c r="A91" s="7" t="s">
        <v>398</v>
      </c>
      <c r="B91" s="7" t="s">
        <v>541</v>
      </c>
      <c r="C91" s="7" t="s">
        <v>542</v>
      </c>
      <c r="D91" s="7" t="s">
        <v>21</v>
      </c>
      <c r="E91" s="19" t="s">
        <v>24</v>
      </c>
      <c r="F91" s="19" t="s">
        <v>23</v>
      </c>
      <c r="G91" s="15" t="str">
        <f t="shared" si="1"/>
        <v>Austin Dahlin</v>
      </c>
    </row>
    <row r="92" ht="14.25" customHeight="1">
      <c r="A92" s="7" t="s">
        <v>543</v>
      </c>
      <c r="B92" s="7" t="s">
        <v>544</v>
      </c>
      <c r="C92" s="7" t="s">
        <v>545</v>
      </c>
      <c r="D92" s="7" t="s">
        <v>21</v>
      </c>
      <c r="E92" s="19" t="s">
        <v>24</v>
      </c>
      <c r="F92" s="19" t="s">
        <v>23</v>
      </c>
      <c r="G92" s="15" t="str">
        <f t="shared" si="1"/>
        <v>Eberardo Camorlinga-Ruiz</v>
      </c>
    </row>
    <row r="93" ht="14.25" customHeight="1">
      <c r="A93" s="7" t="s">
        <v>546</v>
      </c>
      <c r="B93" s="7" t="s">
        <v>547</v>
      </c>
      <c r="C93" s="7" t="s">
        <v>548</v>
      </c>
      <c r="D93" s="7" t="s">
        <v>21</v>
      </c>
      <c r="E93" s="19" t="s">
        <v>24</v>
      </c>
      <c r="F93" s="19" t="s">
        <v>23</v>
      </c>
      <c r="G93" s="15" t="str">
        <f t="shared" si="1"/>
        <v>Son Tran</v>
      </c>
    </row>
    <row r="94" ht="14.25" customHeight="1">
      <c r="A94" s="7" t="s">
        <v>549</v>
      </c>
      <c r="B94" s="7" t="s">
        <v>550</v>
      </c>
      <c r="C94" s="7" t="s">
        <v>551</v>
      </c>
      <c r="D94" s="7" t="s">
        <v>28</v>
      </c>
      <c r="E94" s="19" t="s">
        <v>31</v>
      </c>
      <c r="F94" s="19" t="s">
        <v>30</v>
      </c>
      <c r="G94" s="15" t="str">
        <f t="shared" si="1"/>
        <v>Jose Gomez</v>
      </c>
    </row>
    <row r="95" ht="14.25" customHeight="1">
      <c r="A95" s="7" t="s">
        <v>552</v>
      </c>
      <c r="B95" s="7" t="s">
        <v>553</v>
      </c>
      <c r="C95" s="7" t="s">
        <v>554</v>
      </c>
      <c r="D95" s="7" t="s">
        <v>28</v>
      </c>
      <c r="E95" s="19" t="s">
        <v>31</v>
      </c>
      <c r="F95" s="19" t="s">
        <v>30</v>
      </c>
      <c r="G95" s="15" t="str">
        <f t="shared" si="1"/>
        <v>Josef Hand</v>
      </c>
    </row>
    <row r="96" ht="14.25" customHeight="1">
      <c r="A96" s="7" t="s">
        <v>314</v>
      </c>
      <c r="B96" s="7" t="s">
        <v>555</v>
      </c>
      <c r="C96" s="7" t="s">
        <v>556</v>
      </c>
      <c r="D96" s="7" t="s">
        <v>28</v>
      </c>
      <c r="E96" s="19" t="s">
        <v>31</v>
      </c>
      <c r="F96" s="19" t="s">
        <v>30</v>
      </c>
      <c r="G96" s="15" t="str">
        <f t="shared" si="1"/>
        <v>Kevin Aguirre</v>
      </c>
    </row>
    <row r="97" ht="14.25" customHeight="1">
      <c r="A97" s="7" t="s">
        <v>557</v>
      </c>
      <c r="B97" s="7" t="s">
        <v>558</v>
      </c>
      <c r="C97" s="7" t="s">
        <v>559</v>
      </c>
      <c r="D97" s="7" t="s">
        <v>28</v>
      </c>
      <c r="E97" s="19" t="s">
        <v>31</v>
      </c>
      <c r="F97" s="19" t="s">
        <v>30</v>
      </c>
      <c r="G97" s="15" t="str">
        <f t="shared" si="1"/>
        <v>Ricardo Garcia Limon</v>
      </c>
    </row>
    <row r="98" ht="14.25" customHeight="1">
      <c r="A98" s="7" t="s">
        <v>560</v>
      </c>
      <c r="B98" s="7" t="s">
        <v>561</v>
      </c>
      <c r="C98" s="7" t="s">
        <v>562</v>
      </c>
      <c r="D98" s="7" t="s">
        <v>35</v>
      </c>
      <c r="E98" s="19" t="s">
        <v>38</v>
      </c>
      <c r="F98" s="19" t="s">
        <v>563</v>
      </c>
      <c r="G98" s="15" t="str">
        <f t="shared" si="1"/>
        <v>Daniel Cooney</v>
      </c>
    </row>
    <row r="99" ht="14.25" customHeight="1">
      <c r="A99" s="7" t="s">
        <v>560</v>
      </c>
      <c r="B99" s="7" t="s">
        <v>564</v>
      </c>
      <c r="C99" s="7" t="s">
        <v>565</v>
      </c>
      <c r="D99" s="7" t="s">
        <v>35</v>
      </c>
      <c r="E99" s="19" t="s">
        <v>38</v>
      </c>
      <c r="F99" s="19" t="s">
        <v>566</v>
      </c>
      <c r="G99" s="15" t="str">
        <f t="shared" si="1"/>
        <v>Daniel Thomas</v>
      </c>
    </row>
    <row r="100" ht="14.25" customHeight="1">
      <c r="A100" s="7" t="s">
        <v>567</v>
      </c>
      <c r="B100" s="7" t="s">
        <v>568</v>
      </c>
      <c r="C100" s="7" t="s">
        <v>569</v>
      </c>
      <c r="D100" s="7" t="s">
        <v>35</v>
      </c>
      <c r="E100" s="19" t="s">
        <v>38</v>
      </c>
      <c r="F100" s="19" t="s">
        <v>570</v>
      </c>
      <c r="G100" s="15" t="str">
        <f t="shared" si="1"/>
        <v>Jasmine Heer</v>
      </c>
    </row>
    <row r="101" ht="14.25" customHeight="1">
      <c r="A101" s="7" t="s">
        <v>571</v>
      </c>
      <c r="B101" s="7" t="s">
        <v>572</v>
      </c>
      <c r="C101" s="7" t="s">
        <v>573</v>
      </c>
      <c r="D101" s="7" t="s">
        <v>35</v>
      </c>
      <c r="E101" s="19" t="s">
        <v>38</v>
      </c>
      <c r="F101" s="19" t="s">
        <v>574</v>
      </c>
      <c r="G101" s="15" t="str">
        <f t="shared" si="1"/>
        <v>Luz Mascorro Ramirez</v>
      </c>
    </row>
    <row r="102" ht="14.25" customHeight="1">
      <c r="A102" s="7" t="s">
        <v>564</v>
      </c>
      <c r="B102" s="7" t="s">
        <v>575</v>
      </c>
      <c r="C102" s="7" t="s">
        <v>576</v>
      </c>
      <c r="D102" s="7" t="s">
        <v>35</v>
      </c>
      <c r="E102" s="19" t="s">
        <v>38</v>
      </c>
      <c r="F102" s="19" t="s">
        <v>577</v>
      </c>
      <c r="G102" s="15" t="str">
        <f t="shared" si="1"/>
        <v>Thomas Anderson</v>
      </c>
    </row>
    <row r="103" ht="14.25" customHeight="1">
      <c r="A103" s="7" t="s">
        <v>578</v>
      </c>
      <c r="B103" s="7" t="s">
        <v>579</v>
      </c>
      <c r="C103" s="7" t="s">
        <v>580</v>
      </c>
      <c r="D103" s="7" t="s">
        <v>42</v>
      </c>
      <c r="E103" s="19" t="s">
        <v>45</v>
      </c>
      <c r="F103" s="19" t="s">
        <v>44</v>
      </c>
      <c r="G103" s="15" t="str">
        <f t="shared" si="1"/>
        <v>Cindy Cervantes</v>
      </c>
    </row>
    <row r="104" ht="14.25" customHeight="1">
      <c r="A104" s="7" t="s">
        <v>581</v>
      </c>
      <c r="B104" s="7" t="s">
        <v>514</v>
      </c>
      <c r="C104" s="7" t="s">
        <v>582</v>
      </c>
      <c r="D104" s="7" t="s">
        <v>42</v>
      </c>
      <c r="E104" s="19" t="s">
        <v>45</v>
      </c>
      <c r="F104" s="19" t="s">
        <v>44</v>
      </c>
      <c r="G104" s="15" t="str">
        <f t="shared" si="1"/>
        <v>Juan Garcia</v>
      </c>
    </row>
    <row r="105" ht="14.25" customHeight="1">
      <c r="A105" s="7" t="s">
        <v>583</v>
      </c>
      <c r="B105" s="7" t="s">
        <v>584</v>
      </c>
      <c r="C105" s="7" t="s">
        <v>585</v>
      </c>
      <c r="D105" s="7" t="s">
        <v>42</v>
      </c>
      <c r="E105" s="19" t="s">
        <v>45</v>
      </c>
      <c r="F105" s="19" t="s">
        <v>44</v>
      </c>
      <c r="G105" s="15" t="str">
        <f t="shared" si="1"/>
        <v>Mary Baltazar</v>
      </c>
    </row>
    <row r="106" ht="14.25" customHeight="1">
      <c r="A106" s="7" t="s">
        <v>586</v>
      </c>
      <c r="B106" s="7" t="s">
        <v>587</v>
      </c>
      <c r="C106" s="7" t="s">
        <v>588</v>
      </c>
      <c r="D106" s="7" t="s">
        <v>42</v>
      </c>
      <c r="E106" s="19" t="s">
        <v>45</v>
      </c>
      <c r="F106" s="19" t="s">
        <v>44</v>
      </c>
      <c r="G106" s="15" t="str">
        <f t="shared" si="1"/>
        <v>Quinncie Reider</v>
      </c>
    </row>
    <row r="107" ht="14.25" customHeight="1">
      <c r="A107" s="7" t="s">
        <v>589</v>
      </c>
      <c r="B107" s="7" t="s">
        <v>590</v>
      </c>
      <c r="C107" s="7" t="s">
        <v>591</v>
      </c>
      <c r="D107" s="7" t="s">
        <v>48</v>
      </c>
      <c r="E107" s="19" t="s">
        <v>51</v>
      </c>
      <c r="F107" s="19" t="s">
        <v>50</v>
      </c>
      <c r="G107" s="15" t="str">
        <f t="shared" si="1"/>
        <v>Alfonso Villafuerte</v>
      </c>
    </row>
    <row r="108" ht="14.25" customHeight="1">
      <c r="A108" s="7" t="s">
        <v>592</v>
      </c>
      <c r="B108" s="7" t="s">
        <v>593</v>
      </c>
      <c r="C108" s="7" t="s">
        <v>594</v>
      </c>
      <c r="D108" s="7" t="s">
        <v>48</v>
      </c>
      <c r="E108" s="19" t="s">
        <v>51</v>
      </c>
      <c r="F108" s="19" t="s">
        <v>50</v>
      </c>
      <c r="G108" s="15" t="str">
        <f t="shared" si="1"/>
        <v>Renato Mendoza Chavez</v>
      </c>
    </row>
    <row r="109" ht="14.25" customHeight="1">
      <c r="A109" s="7" t="s">
        <v>595</v>
      </c>
      <c r="B109" s="7" t="s">
        <v>596</v>
      </c>
      <c r="C109" s="7" t="s">
        <v>597</v>
      </c>
      <c r="D109" s="7" t="s">
        <v>48</v>
      </c>
      <c r="E109" s="19" t="s">
        <v>51</v>
      </c>
      <c r="F109" s="19" t="s">
        <v>50</v>
      </c>
      <c r="G109" s="15" t="str">
        <f t="shared" si="1"/>
        <v>Ranulfo Tinta-Hernandez Jr</v>
      </c>
    </row>
    <row r="110" ht="14.25" customHeight="1">
      <c r="A110" s="7" t="s">
        <v>598</v>
      </c>
      <c r="B110" s="7" t="s">
        <v>599</v>
      </c>
      <c r="C110" s="7" t="s">
        <v>600</v>
      </c>
      <c r="D110" s="7" t="s">
        <v>48</v>
      </c>
      <c r="E110" s="19" t="s">
        <v>51</v>
      </c>
      <c r="F110" s="19" t="s">
        <v>50</v>
      </c>
      <c r="G110" s="15" t="str">
        <f t="shared" si="1"/>
        <v>Shangkun Yang</v>
      </c>
    </row>
    <row r="111" ht="14.25" customHeight="1">
      <c r="A111" s="7" t="s">
        <v>601</v>
      </c>
      <c r="B111" s="7" t="s">
        <v>602</v>
      </c>
      <c r="C111" s="7" t="s">
        <v>603</v>
      </c>
      <c r="D111" s="7" t="s">
        <v>55</v>
      </c>
      <c r="E111" s="19" t="s">
        <v>58</v>
      </c>
      <c r="F111" s="19" t="s">
        <v>57</v>
      </c>
      <c r="G111" s="15" t="str">
        <f t="shared" si="1"/>
        <v>Arturo Juarez</v>
      </c>
    </row>
    <row r="112" ht="14.25" customHeight="1">
      <c r="A112" s="7" t="s">
        <v>604</v>
      </c>
      <c r="B112" s="7" t="s">
        <v>605</v>
      </c>
      <c r="C112" s="7" t="s">
        <v>606</v>
      </c>
      <c r="D112" s="7" t="s">
        <v>55</v>
      </c>
      <c r="E112" s="19" t="s">
        <v>58</v>
      </c>
      <c r="F112" s="19" t="s">
        <v>57</v>
      </c>
      <c r="G112" s="15" t="str">
        <f t="shared" si="1"/>
        <v>Diego Banuelos</v>
      </c>
    </row>
    <row r="113" ht="14.25" customHeight="1">
      <c r="A113" s="7" t="s">
        <v>581</v>
      </c>
      <c r="B113" s="7" t="s">
        <v>607</v>
      </c>
      <c r="C113" s="7" t="s">
        <v>608</v>
      </c>
      <c r="D113" s="7" t="s">
        <v>55</v>
      </c>
      <c r="E113" s="19" t="s">
        <v>58</v>
      </c>
      <c r="F113" s="19" t="s">
        <v>57</v>
      </c>
      <c r="G113" s="15" t="str">
        <f t="shared" si="1"/>
        <v>Juan Amezcua Ramirez</v>
      </c>
    </row>
    <row r="114" ht="14.25" customHeight="1">
      <c r="A114" s="7" t="s">
        <v>581</v>
      </c>
      <c r="B114" s="7" t="s">
        <v>609</v>
      </c>
      <c r="C114" s="7" t="s">
        <v>610</v>
      </c>
      <c r="D114" s="7" t="s">
        <v>55</v>
      </c>
      <c r="E114" s="19" t="s">
        <v>58</v>
      </c>
      <c r="F114" s="19" t="s">
        <v>57</v>
      </c>
      <c r="G114" s="15" t="str">
        <f t="shared" si="1"/>
        <v>Juan Guzman</v>
      </c>
    </row>
    <row r="115" ht="14.25" customHeight="1">
      <c r="A115" s="7" t="s">
        <v>386</v>
      </c>
      <c r="B115" s="7" t="s">
        <v>611</v>
      </c>
      <c r="C115" s="7" t="s">
        <v>612</v>
      </c>
      <c r="D115" s="7" t="s">
        <v>61</v>
      </c>
      <c r="E115" s="19" t="s">
        <v>64</v>
      </c>
      <c r="F115" s="19" t="s">
        <v>63</v>
      </c>
      <c r="G115" s="15" t="str">
        <f t="shared" si="1"/>
        <v>Andy Lin</v>
      </c>
    </row>
    <row r="116" ht="14.25" customHeight="1">
      <c r="A116" s="7" t="s">
        <v>613</v>
      </c>
      <c r="B116" s="7" t="s">
        <v>614</v>
      </c>
      <c r="C116" s="7" t="s">
        <v>615</v>
      </c>
      <c r="D116" s="7" t="s">
        <v>61</v>
      </c>
      <c r="E116" s="19" t="s">
        <v>64</v>
      </c>
      <c r="F116" s="19" t="s">
        <v>63</v>
      </c>
      <c r="G116" s="15" t="str">
        <f t="shared" si="1"/>
        <v>Alexis Prieto</v>
      </c>
    </row>
    <row r="117" ht="14.25" customHeight="1">
      <c r="A117" s="7" t="s">
        <v>549</v>
      </c>
      <c r="B117" s="7" t="s">
        <v>616</v>
      </c>
      <c r="C117" s="7" t="s">
        <v>617</v>
      </c>
      <c r="D117" s="7" t="s">
        <v>61</v>
      </c>
      <c r="E117" s="19" t="s">
        <v>64</v>
      </c>
      <c r="F117" s="19" t="s">
        <v>63</v>
      </c>
      <c r="G117" s="15" t="str">
        <f t="shared" si="1"/>
        <v>Jose Landeros</v>
      </c>
    </row>
    <row r="118" ht="14.25" customHeight="1">
      <c r="A118" s="7" t="s">
        <v>618</v>
      </c>
      <c r="B118" s="7" t="s">
        <v>619</v>
      </c>
      <c r="C118" s="7" t="s">
        <v>620</v>
      </c>
      <c r="D118" s="7" t="s">
        <v>61</v>
      </c>
      <c r="E118" s="19" t="s">
        <v>64</v>
      </c>
      <c r="F118" s="19" t="s">
        <v>63</v>
      </c>
      <c r="G118" s="15" t="str">
        <f t="shared" si="1"/>
        <v>Ravinderjit Sidhu</v>
      </c>
    </row>
    <row r="119" ht="14.25" customHeight="1">
      <c r="A119" s="7" t="s">
        <v>621</v>
      </c>
      <c r="B119" s="7" t="s">
        <v>622</v>
      </c>
      <c r="C119" s="7" t="s">
        <v>623</v>
      </c>
      <c r="D119" s="7" t="s">
        <v>67</v>
      </c>
      <c r="E119" s="19" t="s">
        <v>64</v>
      </c>
      <c r="F119" s="19" t="s">
        <v>69</v>
      </c>
      <c r="G119" s="15" t="str">
        <f t="shared" si="1"/>
        <v>Jesus Beatriz</v>
      </c>
    </row>
    <row r="120" ht="14.25" customHeight="1">
      <c r="A120" s="7" t="s">
        <v>549</v>
      </c>
      <c r="B120" s="7" t="s">
        <v>624</v>
      </c>
      <c r="C120" s="7" t="s">
        <v>625</v>
      </c>
      <c r="D120" s="7" t="s">
        <v>67</v>
      </c>
      <c r="E120" s="19" t="s">
        <v>64</v>
      </c>
      <c r="F120" s="19" t="s">
        <v>69</v>
      </c>
      <c r="G120" s="15" t="str">
        <f t="shared" si="1"/>
        <v>Jose Galvan</v>
      </c>
    </row>
    <row r="121" ht="14.25" customHeight="1">
      <c r="A121" s="7" t="s">
        <v>626</v>
      </c>
      <c r="B121" s="7" t="s">
        <v>627</v>
      </c>
      <c r="C121" s="7" t="s">
        <v>628</v>
      </c>
      <c r="D121" s="7" t="s">
        <v>67</v>
      </c>
      <c r="E121" s="19" t="s">
        <v>64</v>
      </c>
      <c r="F121" s="19" t="s">
        <v>69</v>
      </c>
      <c r="G121" s="15" t="str">
        <f t="shared" si="1"/>
        <v>Marquise Jefferson</v>
      </c>
    </row>
    <row r="122" ht="14.25" customHeight="1">
      <c r="A122" s="7" t="s">
        <v>629</v>
      </c>
      <c r="B122" s="7" t="s">
        <v>630</v>
      </c>
      <c r="C122" s="7" t="s">
        <v>631</v>
      </c>
      <c r="D122" s="7" t="s">
        <v>67</v>
      </c>
      <c r="E122" s="19" t="s">
        <v>64</v>
      </c>
      <c r="F122" s="19" t="s">
        <v>69</v>
      </c>
      <c r="G122" s="15" t="str">
        <f t="shared" si="1"/>
        <v>Shushen Chen</v>
      </c>
    </row>
    <row r="123" ht="14.25" customHeight="1">
      <c r="A123" s="7" t="s">
        <v>538</v>
      </c>
      <c r="B123" s="7" t="s">
        <v>632</v>
      </c>
      <c r="C123" s="7" t="s">
        <v>633</v>
      </c>
      <c r="D123" s="7" t="s">
        <v>72</v>
      </c>
      <c r="E123" s="19" t="s">
        <v>75</v>
      </c>
      <c r="F123" s="19" t="s">
        <v>74</v>
      </c>
      <c r="G123" s="15" t="str">
        <f t="shared" si="1"/>
        <v>Anthony Morales</v>
      </c>
    </row>
    <row r="124" ht="14.25" customHeight="1">
      <c r="A124" s="7" t="s">
        <v>634</v>
      </c>
      <c r="B124" s="7" t="s">
        <v>635</v>
      </c>
      <c r="C124" s="7" t="s">
        <v>636</v>
      </c>
      <c r="D124" s="7" t="s">
        <v>72</v>
      </c>
      <c r="E124" s="19" t="s">
        <v>75</v>
      </c>
      <c r="F124" s="19" t="s">
        <v>74</v>
      </c>
      <c r="G124" s="15" t="str">
        <f t="shared" si="1"/>
        <v>Eddie Santiago</v>
      </c>
    </row>
    <row r="125" ht="14.25" customHeight="1">
      <c r="A125" s="7" t="s">
        <v>353</v>
      </c>
      <c r="B125" s="7" t="s">
        <v>637</v>
      </c>
      <c r="C125" s="7" t="s">
        <v>638</v>
      </c>
      <c r="D125" s="7" t="s">
        <v>72</v>
      </c>
      <c r="E125" s="19" t="s">
        <v>75</v>
      </c>
      <c r="F125" s="19" t="s">
        <v>74</v>
      </c>
      <c r="G125" s="15" t="str">
        <f t="shared" si="1"/>
        <v>Kelvin Flor</v>
      </c>
    </row>
    <row r="126" ht="14.25" customHeight="1">
      <c r="A126" s="7" t="s">
        <v>639</v>
      </c>
      <c r="B126" s="7" t="s">
        <v>640</v>
      </c>
      <c r="C126" s="7" t="s">
        <v>641</v>
      </c>
      <c r="D126" s="7" t="s">
        <v>72</v>
      </c>
      <c r="E126" s="19" t="s">
        <v>75</v>
      </c>
      <c r="F126" s="19" t="s">
        <v>74</v>
      </c>
      <c r="G126" s="15" t="str">
        <f t="shared" si="1"/>
        <v>Tiara Armanino Dayrit</v>
      </c>
    </row>
    <row r="127" ht="14.25" customHeight="1">
      <c r="A127" s="7" t="s">
        <v>532</v>
      </c>
      <c r="B127" s="7" t="s">
        <v>642</v>
      </c>
      <c r="C127" s="7" t="s">
        <v>643</v>
      </c>
      <c r="D127" s="7" t="s">
        <v>78</v>
      </c>
      <c r="E127" s="19" t="s">
        <v>81</v>
      </c>
      <c r="F127" s="19" t="s">
        <v>80</v>
      </c>
      <c r="G127" s="15" t="str">
        <f t="shared" si="1"/>
        <v>Jacob Hardy</v>
      </c>
    </row>
    <row r="128" ht="14.25" customHeight="1">
      <c r="A128" s="7" t="s">
        <v>644</v>
      </c>
      <c r="B128" s="7" t="s">
        <v>645</v>
      </c>
      <c r="C128" s="7" t="s">
        <v>646</v>
      </c>
      <c r="D128" s="7" t="s">
        <v>78</v>
      </c>
      <c r="E128" s="19" t="s">
        <v>81</v>
      </c>
      <c r="F128" s="19" t="s">
        <v>80</v>
      </c>
      <c r="G128" s="15" t="str">
        <f t="shared" si="1"/>
        <v>Kovin Aghassi Lelham</v>
      </c>
    </row>
    <row r="129" ht="14.25" customHeight="1">
      <c r="A129" s="7" t="s">
        <v>647</v>
      </c>
      <c r="B129" s="7" t="s">
        <v>648</v>
      </c>
      <c r="C129" s="7" t="s">
        <v>649</v>
      </c>
      <c r="D129" s="7" t="s">
        <v>78</v>
      </c>
      <c r="E129" s="19" t="s">
        <v>81</v>
      </c>
      <c r="F129" s="19" t="s">
        <v>80</v>
      </c>
      <c r="G129" s="15" t="str">
        <f t="shared" si="1"/>
        <v>Nhan Cao</v>
      </c>
    </row>
    <row r="130" ht="14.25" customHeight="1">
      <c r="A130" s="7" t="s">
        <v>650</v>
      </c>
      <c r="B130" s="7" t="s">
        <v>354</v>
      </c>
      <c r="C130" s="7" t="s">
        <v>651</v>
      </c>
      <c r="D130" s="7" t="s">
        <v>78</v>
      </c>
      <c r="E130" s="19" t="s">
        <v>81</v>
      </c>
      <c r="F130" s="19" t="s">
        <v>80</v>
      </c>
      <c r="G130" s="15" t="str">
        <f t="shared" si="1"/>
        <v>Victor Nguyen</v>
      </c>
    </row>
    <row r="131" ht="14.25" customHeight="1">
      <c r="A131" s="7" t="s">
        <v>652</v>
      </c>
      <c r="B131" s="7" t="s">
        <v>653</v>
      </c>
      <c r="C131" s="7" t="s">
        <v>654</v>
      </c>
      <c r="D131" s="7" t="s">
        <v>84</v>
      </c>
      <c r="E131" s="19" t="s">
        <v>87</v>
      </c>
      <c r="F131" s="19" t="s">
        <v>86</v>
      </c>
      <c r="G131" s="15" t="str">
        <f t="shared" si="1"/>
        <v>Brian Ceja</v>
      </c>
    </row>
    <row r="132" ht="14.25" customHeight="1">
      <c r="A132" s="7" t="s">
        <v>655</v>
      </c>
      <c r="B132" s="7" t="s">
        <v>656</v>
      </c>
      <c r="C132" s="7" t="s">
        <v>657</v>
      </c>
      <c r="D132" s="7" t="s">
        <v>84</v>
      </c>
      <c r="E132" s="19" t="s">
        <v>87</v>
      </c>
      <c r="F132" s="19" t="s">
        <v>86</v>
      </c>
      <c r="G132" s="15" t="str">
        <f t="shared" si="1"/>
        <v>Joseph Webb</v>
      </c>
    </row>
    <row r="133" ht="14.25" customHeight="1">
      <c r="A133" s="7" t="s">
        <v>320</v>
      </c>
      <c r="B133" s="7" t="s">
        <v>658</v>
      </c>
      <c r="C133" s="7" t="s">
        <v>659</v>
      </c>
      <c r="D133" s="7" t="s">
        <v>84</v>
      </c>
      <c r="E133" s="19" t="s">
        <v>87</v>
      </c>
      <c r="F133" s="19" t="s">
        <v>86</v>
      </c>
      <c r="G133" s="15" t="str">
        <f t="shared" si="1"/>
        <v>Tanner Ragan</v>
      </c>
    </row>
    <row r="134" ht="14.25" customHeight="1">
      <c r="A134" s="7" t="s">
        <v>660</v>
      </c>
      <c r="B134" s="7" t="s">
        <v>661</v>
      </c>
      <c r="C134" s="7" t="s">
        <v>662</v>
      </c>
      <c r="D134" s="7" t="s">
        <v>84</v>
      </c>
      <c r="E134" s="19" t="s">
        <v>87</v>
      </c>
      <c r="F134" s="19" t="s">
        <v>86</v>
      </c>
      <c r="G134" s="15" t="str">
        <f t="shared" si="1"/>
        <v>Wilson Chuong</v>
      </c>
    </row>
    <row r="135" ht="14.25" customHeight="1">
      <c r="A135" s="7" t="s">
        <v>663</v>
      </c>
      <c r="B135" s="7" t="s">
        <v>514</v>
      </c>
      <c r="C135" s="7" t="s">
        <v>664</v>
      </c>
      <c r="D135" s="7" t="s">
        <v>91</v>
      </c>
      <c r="E135" s="19" t="s">
        <v>94</v>
      </c>
      <c r="F135" s="19" t="s">
        <v>93</v>
      </c>
      <c r="G135" s="15" t="str">
        <f t="shared" si="1"/>
        <v>Daniela Garcia</v>
      </c>
    </row>
    <row r="136" ht="14.25" customHeight="1">
      <c r="A136" s="7" t="s">
        <v>449</v>
      </c>
      <c r="B136" s="7" t="s">
        <v>315</v>
      </c>
      <c r="C136" s="7" t="s">
        <v>665</v>
      </c>
      <c r="D136" s="7" t="s">
        <v>91</v>
      </c>
      <c r="E136" s="19" t="s">
        <v>94</v>
      </c>
      <c r="F136" s="19" t="s">
        <v>93</v>
      </c>
      <c r="G136" s="15" t="str">
        <f t="shared" si="1"/>
        <v>Ivan Hernandez</v>
      </c>
    </row>
    <row r="137" ht="14.25" customHeight="1">
      <c r="A137" s="7" t="s">
        <v>666</v>
      </c>
      <c r="B137" s="7" t="s">
        <v>667</v>
      </c>
      <c r="C137" s="7" t="s">
        <v>668</v>
      </c>
      <c r="D137" s="7" t="s">
        <v>91</v>
      </c>
      <c r="E137" s="19" t="s">
        <v>94</v>
      </c>
      <c r="F137" s="19" t="s">
        <v>93</v>
      </c>
      <c r="G137" s="15" t="str">
        <f t="shared" si="1"/>
        <v>Joshua Young</v>
      </c>
    </row>
    <row r="138" ht="14.25" customHeight="1">
      <c r="A138" s="7" t="s">
        <v>669</v>
      </c>
      <c r="B138" s="7" t="s">
        <v>670</v>
      </c>
      <c r="C138" s="7" t="s">
        <v>671</v>
      </c>
      <c r="D138" s="7" t="s">
        <v>91</v>
      </c>
      <c r="E138" s="19" t="s">
        <v>94</v>
      </c>
      <c r="F138" s="19" t="s">
        <v>93</v>
      </c>
      <c r="G138" s="15" t="str">
        <f t="shared" si="1"/>
        <v>Victoria Mendoza</v>
      </c>
    </row>
    <row r="139" ht="14.25" customHeight="1">
      <c r="A139" s="7" t="s">
        <v>672</v>
      </c>
      <c r="B139" s="7" t="s">
        <v>673</v>
      </c>
      <c r="C139" s="7" t="s">
        <v>674</v>
      </c>
      <c r="D139" s="7" t="s">
        <v>97</v>
      </c>
      <c r="E139" s="19" t="s">
        <v>100</v>
      </c>
      <c r="F139" s="19" t="s">
        <v>99</v>
      </c>
      <c r="G139" s="15" t="str">
        <f t="shared" si="1"/>
        <v>Curtis Kremerskotter</v>
      </c>
    </row>
    <row r="140" ht="14.25" customHeight="1">
      <c r="A140" s="7" t="s">
        <v>560</v>
      </c>
      <c r="B140" s="7" t="s">
        <v>675</v>
      </c>
      <c r="C140" s="7" t="s">
        <v>676</v>
      </c>
      <c r="D140" s="7" t="s">
        <v>97</v>
      </c>
      <c r="E140" s="19" t="s">
        <v>100</v>
      </c>
      <c r="F140" s="19" t="s">
        <v>99</v>
      </c>
      <c r="G140" s="15" t="str">
        <f t="shared" si="1"/>
        <v>Daniel Navarrete</v>
      </c>
    </row>
    <row r="141" ht="14.25" customHeight="1">
      <c r="A141" s="7" t="s">
        <v>677</v>
      </c>
      <c r="B141" s="7" t="s">
        <v>678</v>
      </c>
      <c r="C141" s="7" t="s">
        <v>679</v>
      </c>
      <c r="D141" s="7" t="s">
        <v>97</v>
      </c>
      <c r="E141" s="19" t="s">
        <v>100</v>
      </c>
      <c r="F141" s="19" t="s">
        <v>99</v>
      </c>
      <c r="G141" s="15" t="str">
        <f t="shared" si="1"/>
        <v>Shruti Chakraborty</v>
      </c>
    </row>
    <row r="142" ht="14.25" customHeight="1">
      <c r="A142" s="7" t="s">
        <v>680</v>
      </c>
      <c r="B142" s="7" t="s">
        <v>681</v>
      </c>
      <c r="C142" s="7" t="s">
        <v>682</v>
      </c>
      <c r="D142" s="7" t="s">
        <v>97</v>
      </c>
      <c r="E142" s="19" t="s">
        <v>100</v>
      </c>
      <c r="F142" s="19" t="s">
        <v>99</v>
      </c>
      <c r="G142" s="15" t="str">
        <f t="shared" si="1"/>
        <v>Sakawat Thanvir</v>
      </c>
    </row>
    <row r="143" ht="14.25" customHeight="1">
      <c r="A143" s="7" t="s">
        <v>683</v>
      </c>
      <c r="B143" s="7" t="s">
        <v>684</v>
      </c>
      <c r="C143" s="7" t="s">
        <v>685</v>
      </c>
      <c r="D143" s="7" t="s">
        <v>103</v>
      </c>
      <c r="E143" s="19" t="s">
        <v>106</v>
      </c>
      <c r="F143" s="19" t="s">
        <v>105</v>
      </c>
      <c r="G143" s="15" t="str">
        <f t="shared" si="1"/>
        <v>Gualberto Hernandez Echeverria</v>
      </c>
    </row>
    <row r="144" ht="14.25" customHeight="1">
      <c r="A144" s="7" t="s">
        <v>686</v>
      </c>
      <c r="B144" s="7" t="s">
        <v>687</v>
      </c>
      <c r="C144" s="7" t="s">
        <v>688</v>
      </c>
      <c r="D144" s="7" t="s">
        <v>103</v>
      </c>
      <c r="E144" s="19" t="s">
        <v>106</v>
      </c>
      <c r="F144" s="19" t="s">
        <v>105</v>
      </c>
      <c r="G144" s="15" t="str">
        <f t="shared" si="1"/>
        <v>Jahlani Mccrumby</v>
      </c>
    </row>
    <row r="145" ht="14.25" customHeight="1">
      <c r="A145" s="7" t="s">
        <v>689</v>
      </c>
      <c r="B145" s="7" t="s">
        <v>461</v>
      </c>
      <c r="C145" s="7" t="s">
        <v>690</v>
      </c>
      <c r="D145" s="7" t="s">
        <v>103</v>
      </c>
      <c r="E145" s="19" t="s">
        <v>106</v>
      </c>
      <c r="F145" s="19" t="s">
        <v>105</v>
      </c>
      <c r="G145" s="15" t="str">
        <f t="shared" si="1"/>
        <v>Lizbeth Sanchez</v>
      </c>
    </row>
    <row r="146" ht="14.25" customHeight="1">
      <c r="A146" s="7" t="s">
        <v>404</v>
      </c>
      <c r="B146" s="7" t="s">
        <v>691</v>
      </c>
      <c r="C146" s="7" t="s">
        <v>692</v>
      </c>
      <c r="D146" s="7" t="s">
        <v>103</v>
      </c>
      <c r="E146" s="19" t="s">
        <v>106</v>
      </c>
      <c r="F146" s="19" t="s">
        <v>105</v>
      </c>
      <c r="G146" s="15" t="str">
        <f t="shared" si="1"/>
        <v>Nicholas Clifford</v>
      </c>
    </row>
    <row r="147" ht="14.25" customHeight="1">
      <c r="A147" s="7" t="s">
        <v>693</v>
      </c>
      <c r="B147" s="7" t="s">
        <v>694</v>
      </c>
      <c r="C147" s="7" t="s">
        <v>695</v>
      </c>
      <c r="D147" s="7" t="s">
        <v>109</v>
      </c>
      <c r="E147" s="19" t="s">
        <v>112</v>
      </c>
      <c r="F147" s="19" t="s">
        <v>111</v>
      </c>
      <c r="G147" s="15" t="str">
        <f t="shared" si="1"/>
        <v>Aurora Rodriguez Teodoro</v>
      </c>
    </row>
    <row r="148" ht="14.25" customHeight="1">
      <c r="A148" s="7" t="s">
        <v>696</v>
      </c>
      <c r="B148" s="7" t="s">
        <v>697</v>
      </c>
      <c r="C148" s="7" t="s">
        <v>698</v>
      </c>
      <c r="D148" s="7" t="s">
        <v>109</v>
      </c>
      <c r="E148" s="19" t="s">
        <v>112</v>
      </c>
      <c r="F148" s="19" t="s">
        <v>111</v>
      </c>
      <c r="G148" s="15" t="str">
        <f t="shared" si="1"/>
        <v>Diana Cruz Garcia</v>
      </c>
    </row>
    <row r="149" ht="14.25" customHeight="1">
      <c r="A149" s="7" t="s">
        <v>699</v>
      </c>
      <c r="B149" s="7" t="s">
        <v>700</v>
      </c>
      <c r="C149" s="7" t="s">
        <v>701</v>
      </c>
      <c r="D149" s="7" t="s">
        <v>109</v>
      </c>
      <c r="E149" s="19" t="s">
        <v>112</v>
      </c>
      <c r="F149" s="19" t="s">
        <v>111</v>
      </c>
      <c r="G149" s="15" t="str">
        <f t="shared" si="1"/>
        <v>Ean Camacho-Escobedo</v>
      </c>
    </row>
    <row r="150" ht="14.25" customHeight="1">
      <c r="A150" s="7" t="s">
        <v>702</v>
      </c>
      <c r="B150" s="7" t="s">
        <v>703</v>
      </c>
      <c r="C150" s="7" t="s">
        <v>704</v>
      </c>
      <c r="D150" s="7" t="s">
        <v>109</v>
      </c>
      <c r="E150" s="19" t="s">
        <v>112</v>
      </c>
      <c r="F150" s="19" t="s">
        <v>111</v>
      </c>
      <c r="G150" s="15" t="str">
        <f t="shared" si="1"/>
        <v>Jennifer Mendez</v>
      </c>
    </row>
    <row r="151" ht="14.25" customHeight="1">
      <c r="A151" s="7" t="s">
        <v>705</v>
      </c>
      <c r="B151" s="7" t="s">
        <v>706</v>
      </c>
      <c r="C151" s="7" t="s">
        <v>707</v>
      </c>
      <c r="D151" s="7" t="s">
        <v>115</v>
      </c>
      <c r="E151" s="19" t="s">
        <v>38</v>
      </c>
      <c r="F151" s="19" t="s">
        <v>117</v>
      </c>
      <c r="G151" s="15" t="str">
        <f t="shared" si="1"/>
        <v>Centurion Barron</v>
      </c>
    </row>
    <row r="152" ht="14.25" customHeight="1">
      <c r="A152" s="7" t="s">
        <v>529</v>
      </c>
      <c r="B152" s="7" t="s">
        <v>708</v>
      </c>
      <c r="C152" s="7" t="s">
        <v>709</v>
      </c>
      <c r="D152" s="7" t="s">
        <v>115</v>
      </c>
      <c r="E152" s="19" t="s">
        <v>38</v>
      </c>
      <c r="F152" s="19" t="s">
        <v>117</v>
      </c>
      <c r="G152" s="15" t="str">
        <f t="shared" si="1"/>
        <v>Emmanuel Abok</v>
      </c>
    </row>
    <row r="153" ht="14.25" customHeight="1">
      <c r="A153" s="7" t="s">
        <v>710</v>
      </c>
      <c r="B153" s="7" t="s">
        <v>711</v>
      </c>
      <c r="C153" s="7" t="s">
        <v>712</v>
      </c>
      <c r="D153" s="7" t="s">
        <v>115</v>
      </c>
      <c r="E153" s="19" t="s">
        <v>38</v>
      </c>
      <c r="F153" s="19" t="s">
        <v>117</v>
      </c>
      <c r="G153" s="15" t="str">
        <f t="shared" si="1"/>
        <v>Nodebechukwu Paully-Umeh</v>
      </c>
    </row>
    <row r="154" ht="14.25" customHeight="1">
      <c r="A154" s="7" t="s">
        <v>713</v>
      </c>
      <c r="B154" s="7" t="s">
        <v>714</v>
      </c>
      <c r="C154" s="7" t="s">
        <v>715</v>
      </c>
      <c r="D154" s="7" t="s">
        <v>115</v>
      </c>
      <c r="E154" s="19" t="s">
        <v>38</v>
      </c>
      <c r="F154" s="19" t="s">
        <v>117</v>
      </c>
      <c r="G154" s="15" t="str">
        <f t="shared" si="1"/>
        <v>Zen Unity</v>
      </c>
    </row>
    <row r="155" ht="14.25" customHeight="1">
      <c r="A155" s="7" t="s">
        <v>716</v>
      </c>
      <c r="B155" s="7" t="s">
        <v>717</v>
      </c>
      <c r="C155" s="7" t="s">
        <v>718</v>
      </c>
      <c r="D155" s="7" t="s">
        <v>121</v>
      </c>
      <c r="E155" s="19" t="s">
        <v>124</v>
      </c>
      <c r="F155" s="19" t="s">
        <v>123</v>
      </c>
      <c r="G155" s="15" t="str">
        <f t="shared" si="1"/>
        <v>Garrett Johnson</v>
      </c>
    </row>
    <row r="156" ht="14.25" customHeight="1">
      <c r="A156" s="7" t="s">
        <v>719</v>
      </c>
      <c r="B156" s="7" t="s">
        <v>720</v>
      </c>
      <c r="C156" s="7" t="s">
        <v>721</v>
      </c>
      <c r="D156" s="7" t="s">
        <v>121</v>
      </c>
      <c r="E156" s="19" t="s">
        <v>124</v>
      </c>
      <c r="F156" s="19" t="s">
        <v>123</v>
      </c>
      <c r="G156" s="15" t="str">
        <f t="shared" si="1"/>
        <v>Hla Lwin</v>
      </c>
    </row>
    <row r="157" ht="14.25" customHeight="1">
      <c r="A157" s="7" t="s">
        <v>722</v>
      </c>
      <c r="B157" s="7" t="s">
        <v>723</v>
      </c>
      <c r="C157" s="7" t="s">
        <v>724</v>
      </c>
      <c r="D157" s="7" t="s">
        <v>121</v>
      </c>
      <c r="E157" s="19" t="s">
        <v>124</v>
      </c>
      <c r="F157" s="19" t="s">
        <v>123</v>
      </c>
      <c r="G157" s="15" t="str">
        <f t="shared" si="1"/>
        <v>Ibrahim Sabih</v>
      </c>
    </row>
    <row r="158" ht="14.25" customHeight="1">
      <c r="A158" s="7" t="s">
        <v>725</v>
      </c>
      <c r="B158" s="7" t="s">
        <v>726</v>
      </c>
      <c r="C158" s="7" t="s">
        <v>727</v>
      </c>
      <c r="D158" s="7" t="s">
        <v>121</v>
      </c>
      <c r="E158" s="19" t="s">
        <v>124</v>
      </c>
      <c r="F158" s="19" t="s">
        <v>123</v>
      </c>
      <c r="G158" s="15" t="str">
        <f t="shared" si="1"/>
        <v>Michael Ponce</v>
      </c>
    </row>
    <row r="159" ht="14.25" customHeight="1">
      <c r="A159" s="7" t="s">
        <v>374</v>
      </c>
      <c r="B159" s="7" t="s">
        <v>728</v>
      </c>
      <c r="C159" s="7" t="s">
        <v>729</v>
      </c>
      <c r="D159" s="7" t="s">
        <v>127</v>
      </c>
      <c r="E159" s="19" t="s">
        <v>124</v>
      </c>
      <c r="F159" s="19" t="s">
        <v>129</v>
      </c>
      <c r="G159" s="15" t="str">
        <f t="shared" si="1"/>
        <v>Connor Burns</v>
      </c>
    </row>
    <row r="160" ht="14.25" customHeight="1">
      <c r="A160" s="7" t="s">
        <v>730</v>
      </c>
      <c r="B160" s="7" t="s">
        <v>731</v>
      </c>
      <c r="C160" s="7" t="s">
        <v>732</v>
      </c>
      <c r="D160" s="7" t="s">
        <v>127</v>
      </c>
      <c r="E160" s="19" t="s">
        <v>124</v>
      </c>
      <c r="F160" s="19" t="s">
        <v>129</v>
      </c>
      <c r="G160" s="15" t="str">
        <f t="shared" si="1"/>
        <v>Jared Diliberto</v>
      </c>
    </row>
    <row r="161" ht="14.25" customHeight="1">
      <c r="A161" s="7" t="s">
        <v>380</v>
      </c>
      <c r="B161" s="7" t="s">
        <v>411</v>
      </c>
      <c r="C161" s="7" t="s">
        <v>733</v>
      </c>
      <c r="D161" s="7" t="s">
        <v>127</v>
      </c>
      <c r="E161" s="19" t="s">
        <v>124</v>
      </c>
      <c r="F161" s="19" t="s">
        <v>129</v>
      </c>
      <c r="G161" s="15" t="str">
        <f t="shared" si="1"/>
        <v>Matthew Perez</v>
      </c>
    </row>
    <row r="162" ht="14.25" customHeight="1">
      <c r="A162" s="7" t="s">
        <v>734</v>
      </c>
      <c r="B162" s="7" t="s">
        <v>735</v>
      </c>
      <c r="C162" s="7" t="s">
        <v>736</v>
      </c>
      <c r="D162" s="7" t="s">
        <v>127</v>
      </c>
      <c r="E162" s="19" t="s">
        <v>124</v>
      </c>
      <c r="F162" s="19" t="s">
        <v>129</v>
      </c>
      <c r="G162" s="15" t="str">
        <f t="shared" si="1"/>
        <v>Rodrigo Elizarraraz</v>
      </c>
    </row>
    <row r="163" ht="14.25" customHeight="1">
      <c r="A163" s="7" t="s">
        <v>737</v>
      </c>
      <c r="B163" s="7" t="s">
        <v>381</v>
      </c>
      <c r="C163" s="7" t="s">
        <v>738</v>
      </c>
      <c r="D163" s="7" t="s">
        <v>132</v>
      </c>
      <c r="E163" s="19" t="s">
        <v>135</v>
      </c>
      <c r="F163" s="19" t="s">
        <v>134</v>
      </c>
      <c r="G163" s="15" t="str">
        <f t="shared" si="1"/>
        <v>Gui Rong Chang</v>
      </c>
    </row>
    <row r="164" ht="14.25" customHeight="1">
      <c r="A164" s="7" t="s">
        <v>549</v>
      </c>
      <c r="B164" s="7" t="s">
        <v>632</v>
      </c>
      <c r="C164" s="7" t="s">
        <v>739</v>
      </c>
      <c r="D164" s="7" t="s">
        <v>132</v>
      </c>
      <c r="E164" s="19" t="s">
        <v>135</v>
      </c>
      <c r="F164" s="19" t="s">
        <v>134</v>
      </c>
      <c r="G164" s="15" t="str">
        <f t="shared" si="1"/>
        <v>Jose Morales</v>
      </c>
    </row>
    <row r="165" ht="14.25" customHeight="1">
      <c r="A165" s="7" t="s">
        <v>422</v>
      </c>
      <c r="B165" s="7" t="s">
        <v>740</v>
      </c>
      <c r="C165" s="7" t="s">
        <v>741</v>
      </c>
      <c r="D165" s="7" t="s">
        <v>132</v>
      </c>
      <c r="E165" s="19" t="s">
        <v>135</v>
      </c>
      <c r="F165" s="19" t="s">
        <v>134</v>
      </c>
      <c r="G165" s="15" t="str">
        <f t="shared" si="1"/>
        <v>Mark Dutka</v>
      </c>
    </row>
    <row r="166" ht="14.25" customHeight="1">
      <c r="A166" s="7" t="s">
        <v>742</v>
      </c>
      <c r="B166" s="7" t="s">
        <v>743</v>
      </c>
      <c r="C166" s="7" t="s">
        <v>744</v>
      </c>
      <c r="D166" s="7" t="s">
        <v>132</v>
      </c>
      <c r="E166" s="19" t="s">
        <v>135</v>
      </c>
      <c r="F166" s="19" t="s">
        <v>134</v>
      </c>
      <c r="G166" s="15" t="str">
        <f t="shared" si="1"/>
        <v>Marvin Parungao</v>
      </c>
    </row>
    <row r="167" ht="14.25" customHeight="1">
      <c r="A167" s="7" t="s">
        <v>745</v>
      </c>
      <c r="B167" s="7" t="s">
        <v>746</v>
      </c>
      <c r="C167" s="7" t="s">
        <v>747</v>
      </c>
      <c r="D167" s="7" t="s">
        <v>138</v>
      </c>
      <c r="E167" s="19" t="s">
        <v>748</v>
      </c>
      <c r="F167" s="19" t="s">
        <v>140</v>
      </c>
      <c r="G167" s="15" t="str">
        <f t="shared" si="1"/>
        <v>Andres Torres</v>
      </c>
    </row>
    <row r="168" ht="14.25" customHeight="1">
      <c r="A168" s="7" t="s">
        <v>314</v>
      </c>
      <c r="B168" s="7" t="s">
        <v>749</v>
      </c>
      <c r="C168" s="7" t="s">
        <v>750</v>
      </c>
      <c r="D168" s="7" t="s">
        <v>138</v>
      </c>
      <c r="E168" s="19" t="s">
        <v>748</v>
      </c>
      <c r="F168" s="19" t="s">
        <v>140</v>
      </c>
      <c r="G168" s="15" t="str">
        <f t="shared" si="1"/>
        <v>Kevin Kuang</v>
      </c>
    </row>
    <row r="169" ht="14.25" customHeight="1">
      <c r="A169" s="7" t="s">
        <v>751</v>
      </c>
      <c r="B169" s="7" t="s">
        <v>632</v>
      </c>
      <c r="C169" s="7" t="s">
        <v>752</v>
      </c>
      <c r="D169" s="7" t="s">
        <v>138</v>
      </c>
      <c r="E169" s="19" t="s">
        <v>748</v>
      </c>
      <c r="F169" s="19" t="s">
        <v>140</v>
      </c>
      <c r="G169" s="15" t="str">
        <f t="shared" si="1"/>
        <v>Marcos Morales</v>
      </c>
    </row>
    <row r="170" ht="14.25" customHeight="1">
      <c r="A170" s="7" t="s">
        <v>753</v>
      </c>
      <c r="B170" s="7" t="s">
        <v>754</v>
      </c>
      <c r="C170" s="7" t="s">
        <v>755</v>
      </c>
      <c r="D170" s="7" t="s">
        <v>138</v>
      </c>
      <c r="E170" s="19" t="s">
        <v>748</v>
      </c>
      <c r="F170" s="19" t="s">
        <v>140</v>
      </c>
      <c r="G170" s="15" t="str">
        <f t="shared" si="1"/>
        <v>William Le</v>
      </c>
    </row>
    <row r="171" ht="14.25" customHeight="1">
      <c r="A171" s="7" t="s">
        <v>756</v>
      </c>
      <c r="B171" s="7" t="s">
        <v>757</v>
      </c>
      <c r="C171" s="7" t="s">
        <v>758</v>
      </c>
      <c r="D171" s="7" t="s">
        <v>144</v>
      </c>
      <c r="E171" s="19" t="s">
        <v>147</v>
      </c>
      <c r="F171" s="19" t="s">
        <v>146</v>
      </c>
      <c r="G171" s="15" t="str">
        <f t="shared" si="1"/>
        <v>Abraham Avendano</v>
      </c>
    </row>
    <row r="172" ht="14.25" customHeight="1">
      <c r="A172" s="7" t="s">
        <v>759</v>
      </c>
      <c r="B172" s="7" t="s">
        <v>760</v>
      </c>
      <c r="C172" s="7" t="s">
        <v>761</v>
      </c>
      <c r="D172" s="7" t="s">
        <v>144</v>
      </c>
      <c r="E172" s="19" t="s">
        <v>147</v>
      </c>
      <c r="F172" s="19" t="s">
        <v>146</v>
      </c>
      <c r="G172" s="15" t="str">
        <f t="shared" si="1"/>
        <v>Jonathan Aguilera</v>
      </c>
    </row>
    <row r="173" ht="14.25" customHeight="1">
      <c r="A173" s="7" t="s">
        <v>762</v>
      </c>
      <c r="B173" s="7" t="s">
        <v>763</v>
      </c>
      <c r="C173" s="7" t="s">
        <v>764</v>
      </c>
      <c r="D173" s="7" t="s">
        <v>144</v>
      </c>
      <c r="E173" s="19" t="s">
        <v>147</v>
      </c>
      <c r="F173" s="19" t="s">
        <v>146</v>
      </c>
      <c r="G173" s="15" t="str">
        <f t="shared" si="1"/>
        <v>Justin Pham</v>
      </c>
    </row>
    <row r="174" ht="14.25" customHeight="1">
      <c r="A174" s="7" t="s">
        <v>765</v>
      </c>
      <c r="B174" s="7" t="s">
        <v>766</v>
      </c>
      <c r="C174" s="7" t="s">
        <v>767</v>
      </c>
      <c r="D174" s="7" t="s">
        <v>144</v>
      </c>
      <c r="E174" s="19" t="s">
        <v>147</v>
      </c>
      <c r="F174" s="19" t="s">
        <v>146</v>
      </c>
      <c r="G174" s="15" t="str">
        <f t="shared" si="1"/>
        <v>Linda Castellanos-Torres</v>
      </c>
    </row>
    <row r="175" ht="14.25" customHeight="1">
      <c r="A175" s="7" t="s">
        <v>759</v>
      </c>
      <c r="B175" s="7" t="s">
        <v>670</v>
      </c>
      <c r="C175" s="7" t="s">
        <v>768</v>
      </c>
      <c r="D175" s="7" t="s">
        <v>151</v>
      </c>
      <c r="E175" s="19" t="s">
        <v>154</v>
      </c>
      <c r="F175" s="19" t="s">
        <v>153</v>
      </c>
      <c r="G175" s="15" t="str">
        <f t="shared" si="1"/>
        <v>Jonathan Mendoza</v>
      </c>
    </row>
    <row r="176" ht="14.25" customHeight="1">
      <c r="A176" s="7" t="s">
        <v>769</v>
      </c>
      <c r="B176" s="7" t="s">
        <v>770</v>
      </c>
      <c r="C176" s="7" t="s">
        <v>771</v>
      </c>
      <c r="D176" s="7" t="s">
        <v>151</v>
      </c>
      <c r="E176" s="19" t="s">
        <v>154</v>
      </c>
      <c r="F176" s="19" t="s">
        <v>153</v>
      </c>
      <c r="G176" s="15" t="str">
        <f t="shared" si="1"/>
        <v>Vienna Banez</v>
      </c>
    </row>
    <row r="177" ht="14.25" customHeight="1">
      <c r="A177" s="7" t="s">
        <v>772</v>
      </c>
      <c r="B177" s="7" t="s">
        <v>773</v>
      </c>
      <c r="C177" s="7" t="s">
        <v>774</v>
      </c>
      <c r="D177" s="7" t="s">
        <v>151</v>
      </c>
      <c r="E177" s="19" t="s">
        <v>154</v>
      </c>
      <c r="F177" s="19" t="s">
        <v>153</v>
      </c>
      <c r="G177" s="15" t="str">
        <f t="shared" si="1"/>
        <v>Wendy Ninomiya</v>
      </c>
    </row>
    <row r="178" ht="14.25" customHeight="1">
      <c r="A178" s="7" t="s">
        <v>775</v>
      </c>
      <c r="B178" s="7" t="s">
        <v>776</v>
      </c>
      <c r="C178" s="7" t="s">
        <v>777</v>
      </c>
      <c r="D178" s="7" t="s">
        <v>151</v>
      </c>
      <c r="E178" s="19" t="s">
        <v>154</v>
      </c>
      <c r="F178" s="19" t="s">
        <v>153</v>
      </c>
      <c r="G178" s="15" t="str">
        <f t="shared" si="1"/>
        <v>Yi Hao Xie</v>
      </c>
    </row>
    <row r="179" ht="14.25" customHeight="1">
      <c r="A179" s="7" t="s">
        <v>778</v>
      </c>
      <c r="B179" s="7" t="s">
        <v>779</v>
      </c>
      <c r="C179" s="7" t="s">
        <v>780</v>
      </c>
      <c r="D179" s="7" t="s">
        <v>159</v>
      </c>
      <c r="E179" s="19" t="s">
        <v>162</v>
      </c>
      <c r="F179" s="19" t="s">
        <v>161</v>
      </c>
      <c r="G179" s="15" t="str">
        <f t="shared" si="1"/>
        <v>Leonel Arvizu</v>
      </c>
    </row>
    <row r="180" ht="14.25" customHeight="1">
      <c r="A180" s="7" t="s">
        <v>781</v>
      </c>
      <c r="B180" s="7" t="s">
        <v>782</v>
      </c>
      <c r="C180" s="7" t="s">
        <v>783</v>
      </c>
      <c r="D180" s="7" t="s">
        <v>159</v>
      </c>
      <c r="E180" s="19" t="s">
        <v>162</v>
      </c>
      <c r="F180" s="19" t="s">
        <v>161</v>
      </c>
      <c r="G180" s="15" t="str">
        <f t="shared" si="1"/>
        <v>Charlotte Calvario</v>
      </c>
    </row>
    <row r="181" ht="14.25" customHeight="1">
      <c r="A181" s="7" t="s">
        <v>784</v>
      </c>
      <c r="B181" s="7" t="s">
        <v>785</v>
      </c>
      <c r="C181" s="7" t="s">
        <v>786</v>
      </c>
      <c r="D181" s="7" t="s">
        <v>159</v>
      </c>
      <c r="E181" s="19" t="s">
        <v>162</v>
      </c>
      <c r="F181" s="19" t="s">
        <v>161</v>
      </c>
      <c r="G181" s="15" t="str">
        <f t="shared" si="1"/>
        <v>Ismael Ontiveros</v>
      </c>
    </row>
    <row r="182" ht="14.25" customHeight="1">
      <c r="A182" s="7" t="s">
        <v>787</v>
      </c>
      <c r="B182" s="7" t="s">
        <v>788</v>
      </c>
      <c r="C182" s="7" t="s">
        <v>789</v>
      </c>
      <c r="D182" s="7" t="s">
        <v>159</v>
      </c>
      <c r="E182" s="19" t="s">
        <v>162</v>
      </c>
      <c r="F182" s="19" t="s">
        <v>161</v>
      </c>
      <c r="G182" s="15" t="str">
        <f t="shared" si="1"/>
        <v>Stephanie Segura</v>
      </c>
    </row>
    <row r="183" ht="14.25" customHeight="1">
      <c r="A183" s="7" t="s">
        <v>790</v>
      </c>
      <c r="B183" s="7" t="s">
        <v>425</v>
      </c>
      <c r="C183" s="7" t="s">
        <v>791</v>
      </c>
      <c r="D183" s="7" t="s">
        <v>165</v>
      </c>
      <c r="E183" s="19" t="s">
        <v>168</v>
      </c>
      <c r="F183" s="19" t="s">
        <v>167</v>
      </c>
      <c r="G183" s="15" t="str">
        <f t="shared" si="1"/>
        <v>Brooklyn James</v>
      </c>
    </row>
    <row r="184" ht="14.25" customHeight="1">
      <c r="A184" s="7" t="s">
        <v>787</v>
      </c>
      <c r="B184" s="7" t="s">
        <v>792</v>
      </c>
      <c r="C184" s="7" t="s">
        <v>793</v>
      </c>
      <c r="D184" s="7" t="s">
        <v>165</v>
      </c>
      <c r="E184" s="19" t="s">
        <v>168</v>
      </c>
      <c r="F184" s="19" t="s">
        <v>167</v>
      </c>
      <c r="G184" s="15" t="str">
        <f t="shared" si="1"/>
        <v>Stephanie Orozco</v>
      </c>
    </row>
    <row r="185" ht="14.25" customHeight="1">
      <c r="A185" s="7" t="s">
        <v>794</v>
      </c>
      <c r="B185" s="7" t="s">
        <v>795</v>
      </c>
      <c r="C185" s="7" t="s">
        <v>796</v>
      </c>
      <c r="D185" s="7" t="s">
        <v>165</v>
      </c>
      <c r="E185" s="19" t="s">
        <v>168</v>
      </c>
      <c r="F185" s="19" t="s">
        <v>167</v>
      </c>
      <c r="G185" s="15" t="str">
        <f t="shared" si="1"/>
        <v>Megan Pinkus</v>
      </c>
    </row>
    <row r="186" ht="14.25" customHeight="1">
      <c r="A186" s="7" t="s">
        <v>797</v>
      </c>
      <c r="B186" s="7" t="s">
        <v>798</v>
      </c>
      <c r="C186" s="7" t="s">
        <v>799</v>
      </c>
      <c r="D186" s="7" t="s">
        <v>171</v>
      </c>
      <c r="E186" s="19" t="s">
        <v>174</v>
      </c>
      <c r="F186" s="19" t="s">
        <v>173</v>
      </c>
      <c r="G186" s="15" t="str">
        <f t="shared" si="1"/>
        <v>Elaina Cavada</v>
      </c>
    </row>
    <row r="187" ht="14.25" customHeight="1">
      <c r="A187" s="7" t="s">
        <v>800</v>
      </c>
      <c r="B187" s="7" t="s">
        <v>801</v>
      </c>
      <c r="C187" s="7" t="s">
        <v>802</v>
      </c>
      <c r="D187" s="7" t="s">
        <v>171</v>
      </c>
      <c r="E187" s="19" t="s">
        <v>174</v>
      </c>
      <c r="F187" s="19" t="s">
        <v>173</v>
      </c>
      <c r="G187" s="15" t="str">
        <f t="shared" si="1"/>
        <v>Nefertari Marin</v>
      </c>
    </row>
    <row r="188" ht="14.25" customHeight="1">
      <c r="A188" s="7" t="s">
        <v>621</v>
      </c>
      <c r="B188" s="7" t="s">
        <v>803</v>
      </c>
      <c r="C188" s="7" t="s">
        <v>804</v>
      </c>
      <c r="D188" s="7" t="s">
        <v>171</v>
      </c>
      <c r="E188" s="19" t="s">
        <v>174</v>
      </c>
      <c r="F188" s="19" t="s">
        <v>173</v>
      </c>
      <c r="G188" s="15" t="str">
        <f t="shared" si="1"/>
        <v>Jesus Salas Hernandez</v>
      </c>
    </row>
    <row r="189" ht="14.25" customHeight="1">
      <c r="A189" s="7" t="s">
        <v>805</v>
      </c>
      <c r="B189" s="7" t="s">
        <v>806</v>
      </c>
      <c r="C189" s="7" t="s">
        <v>807</v>
      </c>
      <c r="D189" s="7" t="s">
        <v>171</v>
      </c>
      <c r="E189" s="19" t="s">
        <v>174</v>
      </c>
      <c r="F189" s="19" t="s">
        <v>173</v>
      </c>
      <c r="G189" s="15" t="str">
        <f t="shared" si="1"/>
        <v>Tasos Tentoglou</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84.75"/>
    <col customWidth="1" min="3" max="3" width="74.0"/>
    <col customWidth="1" min="4" max="4" width="13.75"/>
  </cols>
  <sheetData>
    <row r="1">
      <c r="A1" s="20" t="s">
        <v>14</v>
      </c>
      <c r="B1" s="20" t="s">
        <v>20</v>
      </c>
      <c r="C1" s="20" t="s">
        <v>808</v>
      </c>
      <c r="D1" s="20"/>
      <c r="E1" s="20"/>
      <c r="F1" s="20"/>
      <c r="G1" s="21"/>
      <c r="H1" s="21"/>
      <c r="I1" s="21"/>
      <c r="J1" s="21"/>
      <c r="K1" s="21"/>
      <c r="L1" s="21"/>
      <c r="M1" s="21"/>
      <c r="N1" s="21"/>
      <c r="O1" s="21"/>
      <c r="P1" s="21"/>
      <c r="Q1" s="21"/>
      <c r="R1" s="21"/>
      <c r="S1" s="21"/>
      <c r="T1" s="21"/>
      <c r="U1" s="21"/>
      <c r="V1" s="21"/>
      <c r="W1" s="21"/>
      <c r="X1" s="21"/>
      <c r="Y1" s="21"/>
      <c r="Z1" s="21"/>
      <c r="AA1" s="21"/>
    </row>
    <row r="2">
      <c r="A2" s="20" t="s">
        <v>21</v>
      </c>
      <c r="B2" s="20" t="s">
        <v>27</v>
      </c>
      <c r="C2" s="20" t="s">
        <v>809</v>
      </c>
      <c r="D2" s="20"/>
      <c r="E2" s="20"/>
      <c r="F2" s="20"/>
      <c r="G2" s="21"/>
      <c r="H2" s="21"/>
      <c r="I2" s="21"/>
      <c r="J2" s="21"/>
      <c r="K2" s="21"/>
      <c r="L2" s="21"/>
      <c r="M2" s="21"/>
      <c r="N2" s="21"/>
      <c r="O2" s="21"/>
      <c r="P2" s="21"/>
      <c r="Q2" s="21"/>
      <c r="R2" s="21"/>
      <c r="S2" s="21"/>
      <c r="T2" s="21"/>
      <c r="U2" s="21"/>
      <c r="V2" s="21"/>
      <c r="W2" s="21"/>
      <c r="X2" s="21"/>
      <c r="Y2" s="21"/>
      <c r="Z2" s="21"/>
      <c r="AA2" s="21"/>
    </row>
    <row r="3">
      <c r="A3" s="20" t="s">
        <v>28</v>
      </c>
      <c r="B3" s="20" t="s">
        <v>34</v>
      </c>
      <c r="C3" s="20" t="s">
        <v>810</v>
      </c>
      <c r="D3" s="20"/>
      <c r="E3" s="20"/>
      <c r="F3" s="20"/>
      <c r="G3" s="21"/>
      <c r="H3" s="21"/>
      <c r="I3" s="21"/>
      <c r="J3" s="21"/>
      <c r="K3" s="21"/>
      <c r="L3" s="21"/>
      <c r="M3" s="21"/>
      <c r="N3" s="21"/>
      <c r="O3" s="21"/>
      <c r="P3" s="21"/>
      <c r="Q3" s="21"/>
      <c r="R3" s="21"/>
      <c r="S3" s="21"/>
      <c r="T3" s="21"/>
      <c r="U3" s="21"/>
      <c r="V3" s="21"/>
      <c r="W3" s="21"/>
      <c r="X3" s="21"/>
      <c r="Y3" s="21"/>
      <c r="Z3" s="21"/>
      <c r="AA3" s="21"/>
    </row>
    <row r="4">
      <c r="A4" s="20" t="s">
        <v>35</v>
      </c>
      <c r="B4" s="20" t="s">
        <v>41</v>
      </c>
      <c r="C4" s="20" t="s">
        <v>811</v>
      </c>
      <c r="D4" s="20"/>
      <c r="E4" s="20"/>
      <c r="F4" s="20"/>
      <c r="G4" s="21"/>
      <c r="H4" s="21"/>
      <c r="I4" s="21"/>
      <c r="J4" s="21"/>
      <c r="K4" s="21"/>
      <c r="L4" s="21"/>
      <c r="M4" s="21"/>
      <c r="N4" s="21"/>
      <c r="O4" s="21"/>
      <c r="P4" s="21"/>
      <c r="Q4" s="21"/>
      <c r="R4" s="21"/>
      <c r="S4" s="21"/>
      <c r="T4" s="21"/>
      <c r="U4" s="21"/>
      <c r="V4" s="21"/>
      <c r="W4" s="21"/>
      <c r="X4" s="21"/>
      <c r="Y4" s="21"/>
      <c r="Z4" s="21"/>
      <c r="AA4" s="21"/>
    </row>
    <row r="5">
      <c r="A5" s="20" t="s">
        <v>42</v>
      </c>
      <c r="B5" s="20" t="s">
        <v>47</v>
      </c>
      <c r="C5" s="20" t="s">
        <v>812</v>
      </c>
      <c r="D5" s="20"/>
      <c r="E5" s="20"/>
      <c r="F5" s="20"/>
      <c r="G5" s="21"/>
      <c r="H5" s="21"/>
      <c r="I5" s="21"/>
      <c r="J5" s="21"/>
      <c r="K5" s="21"/>
      <c r="L5" s="21"/>
      <c r="M5" s="21"/>
      <c r="N5" s="21"/>
      <c r="O5" s="21"/>
      <c r="P5" s="21"/>
      <c r="Q5" s="21"/>
      <c r="R5" s="21"/>
      <c r="S5" s="21"/>
      <c r="T5" s="21"/>
      <c r="U5" s="21"/>
      <c r="V5" s="21"/>
      <c r="W5" s="21"/>
      <c r="X5" s="21"/>
      <c r="Y5" s="21"/>
      <c r="Z5" s="21"/>
      <c r="AA5" s="21"/>
    </row>
    <row r="6">
      <c r="A6" s="20" t="s">
        <v>48</v>
      </c>
      <c r="B6" s="20" t="s">
        <v>54</v>
      </c>
      <c r="C6" s="20" t="s">
        <v>813</v>
      </c>
      <c r="D6" s="20"/>
      <c r="E6" s="20"/>
      <c r="F6" s="20"/>
      <c r="G6" s="21"/>
      <c r="H6" s="21"/>
      <c r="I6" s="21"/>
      <c r="J6" s="21"/>
      <c r="K6" s="21"/>
      <c r="L6" s="21"/>
      <c r="M6" s="21"/>
      <c r="N6" s="21"/>
      <c r="O6" s="21"/>
      <c r="P6" s="21"/>
      <c r="Q6" s="21"/>
      <c r="R6" s="21"/>
      <c r="S6" s="21"/>
      <c r="T6" s="21"/>
      <c r="U6" s="21"/>
      <c r="V6" s="21"/>
      <c r="W6" s="21"/>
      <c r="X6" s="21"/>
      <c r="Y6" s="21"/>
      <c r="Z6" s="21"/>
      <c r="AA6" s="21"/>
    </row>
    <row r="7">
      <c r="A7" s="20" t="s">
        <v>55</v>
      </c>
      <c r="B7" s="20" t="s">
        <v>60</v>
      </c>
      <c r="C7" s="20" t="s">
        <v>814</v>
      </c>
      <c r="D7" s="20"/>
      <c r="E7" s="20"/>
      <c r="F7" s="20"/>
      <c r="G7" s="21"/>
      <c r="H7" s="21"/>
      <c r="I7" s="21"/>
      <c r="J7" s="21"/>
      <c r="K7" s="21"/>
      <c r="L7" s="21"/>
      <c r="M7" s="21"/>
      <c r="N7" s="21"/>
      <c r="O7" s="21"/>
      <c r="P7" s="21"/>
      <c r="Q7" s="21"/>
      <c r="R7" s="21"/>
      <c r="S7" s="21"/>
      <c r="T7" s="21"/>
      <c r="U7" s="21"/>
      <c r="V7" s="21"/>
      <c r="W7" s="21"/>
      <c r="X7" s="21"/>
      <c r="Y7" s="21"/>
      <c r="Z7" s="21"/>
      <c r="AA7" s="21"/>
    </row>
    <row r="8">
      <c r="A8" s="20" t="s">
        <v>61</v>
      </c>
      <c r="B8" s="20" t="s">
        <v>66</v>
      </c>
      <c r="C8" s="20" t="s">
        <v>815</v>
      </c>
      <c r="D8" s="20"/>
      <c r="E8" s="20"/>
      <c r="F8" s="20"/>
      <c r="G8" s="21"/>
      <c r="H8" s="21"/>
      <c r="I8" s="21"/>
      <c r="J8" s="21"/>
      <c r="K8" s="21"/>
      <c r="L8" s="21"/>
      <c r="M8" s="21"/>
      <c r="N8" s="21"/>
      <c r="O8" s="21"/>
      <c r="P8" s="21"/>
      <c r="Q8" s="21"/>
      <c r="R8" s="21"/>
      <c r="S8" s="21"/>
      <c r="T8" s="21"/>
      <c r="U8" s="21"/>
      <c r="V8" s="21"/>
      <c r="W8" s="21"/>
      <c r="X8" s="21"/>
      <c r="Y8" s="21"/>
      <c r="Z8" s="21"/>
      <c r="AA8" s="21"/>
    </row>
    <row r="9">
      <c r="A9" s="20" t="s">
        <v>67</v>
      </c>
      <c r="B9" s="20" t="s">
        <v>71</v>
      </c>
      <c r="C9" s="20" t="s">
        <v>816</v>
      </c>
      <c r="D9" s="20"/>
      <c r="E9" s="20"/>
      <c r="F9" s="20"/>
      <c r="G9" s="21"/>
      <c r="H9" s="21"/>
      <c r="I9" s="21"/>
      <c r="J9" s="21"/>
      <c r="K9" s="21"/>
      <c r="L9" s="21"/>
      <c r="M9" s="21"/>
      <c r="N9" s="21"/>
      <c r="O9" s="21"/>
      <c r="P9" s="21"/>
      <c r="Q9" s="21"/>
      <c r="R9" s="21"/>
      <c r="S9" s="21"/>
      <c r="T9" s="21"/>
      <c r="U9" s="21"/>
      <c r="V9" s="21"/>
      <c r="W9" s="21"/>
      <c r="X9" s="21"/>
      <c r="Y9" s="21"/>
      <c r="Z9" s="21"/>
      <c r="AA9" s="21"/>
    </row>
    <row r="10">
      <c r="A10" s="20" t="s">
        <v>72</v>
      </c>
      <c r="B10" s="20" t="s">
        <v>77</v>
      </c>
      <c r="C10" s="20" t="s">
        <v>817</v>
      </c>
      <c r="D10" s="20"/>
      <c r="E10" s="20"/>
      <c r="F10" s="20"/>
      <c r="G10" s="21"/>
      <c r="H10" s="21"/>
      <c r="I10" s="21"/>
      <c r="J10" s="21"/>
      <c r="K10" s="21"/>
      <c r="L10" s="21"/>
      <c r="M10" s="21"/>
      <c r="N10" s="21"/>
      <c r="O10" s="21"/>
      <c r="P10" s="21"/>
      <c r="Q10" s="21"/>
      <c r="R10" s="21"/>
      <c r="S10" s="21"/>
      <c r="T10" s="21"/>
      <c r="U10" s="21"/>
      <c r="V10" s="21"/>
      <c r="W10" s="21"/>
      <c r="X10" s="21"/>
      <c r="Y10" s="21"/>
      <c r="Z10" s="21"/>
      <c r="AA10" s="21"/>
    </row>
    <row r="11">
      <c r="A11" s="20" t="s">
        <v>78</v>
      </c>
      <c r="B11" s="20" t="s">
        <v>83</v>
      </c>
      <c r="C11" s="20" t="s">
        <v>818</v>
      </c>
      <c r="D11" s="20"/>
      <c r="E11" s="20"/>
      <c r="F11" s="20"/>
      <c r="G11" s="21"/>
      <c r="H11" s="21"/>
      <c r="I11" s="21"/>
      <c r="J11" s="21"/>
      <c r="K11" s="21"/>
      <c r="L11" s="21"/>
      <c r="M11" s="21"/>
      <c r="N11" s="21"/>
      <c r="O11" s="21"/>
      <c r="P11" s="21"/>
      <c r="Q11" s="21"/>
      <c r="R11" s="21"/>
      <c r="S11" s="21"/>
      <c r="T11" s="21"/>
      <c r="U11" s="21"/>
      <c r="V11" s="21"/>
      <c r="W11" s="21"/>
      <c r="X11" s="21"/>
      <c r="Y11" s="21"/>
      <c r="Z11" s="21"/>
      <c r="AA11" s="21"/>
    </row>
    <row r="12">
      <c r="A12" s="20" t="s">
        <v>84</v>
      </c>
      <c r="B12" s="20" t="s">
        <v>90</v>
      </c>
      <c r="C12" s="20" t="s">
        <v>819</v>
      </c>
      <c r="D12" s="20"/>
      <c r="E12" s="20"/>
      <c r="F12" s="20"/>
      <c r="G12" s="21"/>
      <c r="H12" s="21"/>
      <c r="I12" s="21"/>
      <c r="J12" s="21"/>
      <c r="K12" s="21"/>
      <c r="L12" s="21"/>
      <c r="M12" s="21"/>
      <c r="N12" s="21"/>
      <c r="O12" s="21"/>
      <c r="P12" s="21"/>
      <c r="Q12" s="21"/>
      <c r="R12" s="21"/>
      <c r="S12" s="21"/>
      <c r="T12" s="21"/>
      <c r="U12" s="21"/>
      <c r="V12" s="21"/>
      <c r="W12" s="21"/>
      <c r="X12" s="21"/>
      <c r="Y12" s="21"/>
      <c r="Z12" s="21"/>
      <c r="AA12" s="21"/>
    </row>
    <row r="13">
      <c r="A13" s="20" t="s">
        <v>91</v>
      </c>
      <c r="B13" s="20" t="s">
        <v>96</v>
      </c>
      <c r="C13" s="20" t="s">
        <v>820</v>
      </c>
      <c r="D13" s="20"/>
      <c r="E13" s="20"/>
      <c r="F13" s="20"/>
      <c r="G13" s="21"/>
      <c r="H13" s="21"/>
      <c r="I13" s="21"/>
      <c r="J13" s="21"/>
      <c r="K13" s="21"/>
      <c r="L13" s="21"/>
      <c r="M13" s="21"/>
      <c r="N13" s="21"/>
      <c r="O13" s="21"/>
      <c r="P13" s="21"/>
      <c r="Q13" s="21"/>
      <c r="R13" s="21"/>
      <c r="S13" s="21"/>
      <c r="T13" s="21"/>
      <c r="U13" s="21"/>
      <c r="V13" s="21"/>
      <c r="W13" s="21"/>
      <c r="X13" s="21"/>
      <c r="Y13" s="21"/>
      <c r="Z13" s="21"/>
      <c r="AA13" s="21"/>
    </row>
    <row r="14">
      <c r="A14" s="20" t="s">
        <v>97</v>
      </c>
      <c r="B14" s="20" t="s">
        <v>102</v>
      </c>
      <c r="C14" s="20" t="s">
        <v>821</v>
      </c>
      <c r="D14" s="20"/>
      <c r="E14" s="20"/>
      <c r="F14" s="20"/>
      <c r="G14" s="21"/>
      <c r="H14" s="21"/>
      <c r="I14" s="21"/>
      <c r="J14" s="21"/>
      <c r="K14" s="21"/>
      <c r="L14" s="21"/>
      <c r="M14" s="21"/>
      <c r="N14" s="21"/>
      <c r="O14" s="21"/>
      <c r="P14" s="21"/>
      <c r="Q14" s="21"/>
      <c r="R14" s="21"/>
      <c r="S14" s="21"/>
      <c r="T14" s="21"/>
      <c r="U14" s="21"/>
      <c r="V14" s="21"/>
      <c r="W14" s="21"/>
      <c r="X14" s="21"/>
      <c r="Y14" s="21"/>
      <c r="Z14" s="21"/>
      <c r="AA14" s="21"/>
    </row>
    <row r="15">
      <c r="A15" s="20" t="s">
        <v>103</v>
      </c>
      <c r="B15" s="20" t="s">
        <v>108</v>
      </c>
      <c r="C15" s="20" t="s">
        <v>822</v>
      </c>
      <c r="D15" s="20"/>
      <c r="E15" s="20"/>
      <c r="F15" s="20"/>
      <c r="G15" s="21"/>
      <c r="H15" s="21"/>
      <c r="I15" s="21"/>
      <c r="J15" s="21"/>
      <c r="K15" s="21"/>
      <c r="L15" s="21"/>
      <c r="M15" s="21"/>
      <c r="N15" s="21"/>
      <c r="O15" s="21"/>
      <c r="P15" s="21"/>
      <c r="Q15" s="21"/>
      <c r="R15" s="21"/>
      <c r="S15" s="21"/>
      <c r="T15" s="21"/>
      <c r="U15" s="21"/>
      <c r="V15" s="21"/>
      <c r="W15" s="21"/>
      <c r="X15" s="21"/>
      <c r="Y15" s="21"/>
      <c r="Z15" s="21"/>
      <c r="AA15" s="21"/>
    </row>
    <row r="16">
      <c r="A16" s="20" t="s">
        <v>109</v>
      </c>
      <c r="B16" s="20" t="s">
        <v>114</v>
      </c>
      <c r="C16" s="20" t="s">
        <v>823</v>
      </c>
      <c r="D16" s="20"/>
      <c r="E16" s="20"/>
      <c r="F16" s="20"/>
      <c r="G16" s="21"/>
      <c r="H16" s="21"/>
      <c r="I16" s="21"/>
      <c r="J16" s="21"/>
      <c r="K16" s="21"/>
      <c r="L16" s="21"/>
      <c r="M16" s="21"/>
      <c r="N16" s="21"/>
      <c r="O16" s="21"/>
      <c r="P16" s="21"/>
      <c r="Q16" s="21"/>
      <c r="R16" s="21"/>
      <c r="S16" s="21"/>
      <c r="T16" s="21"/>
      <c r="U16" s="21"/>
      <c r="V16" s="21"/>
      <c r="W16" s="21"/>
      <c r="X16" s="21"/>
      <c r="Y16" s="21"/>
      <c r="Z16" s="21"/>
      <c r="AA16" s="21"/>
    </row>
    <row r="17">
      <c r="A17" s="20" t="s">
        <v>115</v>
      </c>
      <c r="B17" s="20" t="s">
        <v>120</v>
      </c>
      <c r="C17" s="20" t="s">
        <v>824</v>
      </c>
      <c r="D17" s="20"/>
      <c r="E17" s="20"/>
      <c r="F17" s="20"/>
      <c r="G17" s="21"/>
      <c r="H17" s="21"/>
      <c r="I17" s="21"/>
      <c r="J17" s="21"/>
      <c r="K17" s="21"/>
      <c r="L17" s="21"/>
      <c r="M17" s="21"/>
      <c r="N17" s="21"/>
      <c r="O17" s="21"/>
      <c r="P17" s="21"/>
      <c r="Q17" s="21"/>
      <c r="R17" s="21"/>
      <c r="S17" s="21"/>
      <c r="T17" s="21"/>
      <c r="U17" s="21"/>
      <c r="V17" s="21"/>
      <c r="W17" s="21"/>
      <c r="X17" s="21"/>
      <c r="Y17" s="21"/>
      <c r="Z17" s="21"/>
      <c r="AA17" s="21"/>
    </row>
    <row r="18">
      <c r="A18" s="20" t="s">
        <v>121</v>
      </c>
      <c r="B18" s="20" t="s">
        <v>126</v>
      </c>
      <c r="C18" s="20" t="s">
        <v>825</v>
      </c>
      <c r="D18" s="20"/>
      <c r="E18" s="20"/>
      <c r="F18" s="20"/>
      <c r="G18" s="21"/>
      <c r="H18" s="21"/>
      <c r="I18" s="21"/>
      <c r="J18" s="21"/>
      <c r="K18" s="21"/>
      <c r="L18" s="21"/>
      <c r="M18" s="21"/>
      <c r="N18" s="21"/>
      <c r="O18" s="21"/>
      <c r="P18" s="21"/>
      <c r="Q18" s="21"/>
      <c r="R18" s="21"/>
      <c r="S18" s="21"/>
      <c r="T18" s="21"/>
      <c r="U18" s="21"/>
      <c r="V18" s="21"/>
      <c r="W18" s="21"/>
      <c r="X18" s="21"/>
      <c r="Y18" s="21"/>
      <c r="Z18" s="21"/>
      <c r="AA18" s="21"/>
    </row>
    <row r="19">
      <c r="A19" s="20" t="s">
        <v>127</v>
      </c>
      <c r="B19" s="20" t="s">
        <v>131</v>
      </c>
      <c r="C19" s="20" t="s">
        <v>826</v>
      </c>
      <c r="D19" s="20"/>
      <c r="E19" s="20"/>
      <c r="F19" s="20"/>
      <c r="G19" s="21"/>
      <c r="H19" s="21"/>
      <c r="I19" s="21"/>
      <c r="J19" s="21"/>
      <c r="K19" s="21"/>
      <c r="L19" s="21"/>
      <c r="M19" s="21"/>
      <c r="N19" s="21"/>
      <c r="O19" s="21"/>
      <c r="P19" s="21"/>
      <c r="Q19" s="21"/>
      <c r="R19" s="21"/>
      <c r="S19" s="21"/>
      <c r="T19" s="21"/>
      <c r="U19" s="21"/>
      <c r="V19" s="21"/>
      <c r="W19" s="21"/>
      <c r="X19" s="21"/>
      <c r="Y19" s="21"/>
      <c r="Z19" s="21"/>
      <c r="AA19" s="21"/>
    </row>
    <row r="20">
      <c r="A20" s="20" t="s">
        <v>132</v>
      </c>
      <c r="B20" s="20" t="s">
        <v>137</v>
      </c>
      <c r="C20" s="20" t="s">
        <v>827</v>
      </c>
      <c r="D20" s="20"/>
      <c r="E20" s="20"/>
      <c r="F20" s="20"/>
      <c r="G20" s="21"/>
      <c r="H20" s="21"/>
      <c r="I20" s="21"/>
      <c r="J20" s="21"/>
      <c r="K20" s="21"/>
      <c r="L20" s="21"/>
      <c r="M20" s="21"/>
      <c r="N20" s="21"/>
      <c r="O20" s="21"/>
      <c r="P20" s="21"/>
      <c r="Q20" s="21"/>
      <c r="R20" s="21"/>
      <c r="S20" s="21"/>
      <c r="T20" s="21"/>
      <c r="U20" s="21"/>
      <c r="V20" s="21"/>
      <c r="W20" s="21"/>
      <c r="X20" s="21"/>
      <c r="Y20" s="21"/>
      <c r="Z20" s="21"/>
      <c r="AA20" s="21"/>
    </row>
    <row r="21">
      <c r="A21" s="20" t="s">
        <v>138</v>
      </c>
      <c r="B21" s="20" t="s">
        <v>143</v>
      </c>
      <c r="C21" s="20" t="s">
        <v>828</v>
      </c>
      <c r="D21" s="20"/>
      <c r="E21" s="20"/>
      <c r="F21" s="20"/>
      <c r="G21" s="21"/>
      <c r="H21" s="21"/>
      <c r="I21" s="21"/>
      <c r="J21" s="21"/>
      <c r="K21" s="21"/>
      <c r="L21" s="21"/>
      <c r="M21" s="21"/>
      <c r="N21" s="21"/>
      <c r="O21" s="21"/>
      <c r="P21" s="21"/>
      <c r="Q21" s="21"/>
      <c r="R21" s="21"/>
      <c r="S21" s="21"/>
      <c r="T21" s="21"/>
      <c r="U21" s="21"/>
      <c r="V21" s="21"/>
      <c r="W21" s="21"/>
      <c r="X21" s="21"/>
      <c r="Y21" s="21"/>
      <c r="Z21" s="21"/>
      <c r="AA21" s="21"/>
    </row>
    <row r="22">
      <c r="A22" s="20" t="s">
        <v>144</v>
      </c>
      <c r="B22" s="20" t="s">
        <v>150</v>
      </c>
      <c r="C22" s="20" t="s">
        <v>829</v>
      </c>
      <c r="D22" s="20"/>
      <c r="E22" s="20"/>
      <c r="F22" s="20"/>
      <c r="G22" s="21"/>
      <c r="H22" s="21"/>
      <c r="I22" s="21"/>
      <c r="J22" s="21"/>
      <c r="K22" s="21"/>
      <c r="L22" s="21"/>
      <c r="M22" s="21"/>
      <c r="N22" s="21"/>
      <c r="O22" s="21"/>
      <c r="P22" s="21"/>
      <c r="Q22" s="21"/>
      <c r="R22" s="21"/>
      <c r="S22" s="21"/>
      <c r="T22" s="21"/>
      <c r="U22" s="21"/>
      <c r="V22" s="21"/>
      <c r="W22" s="21"/>
      <c r="X22" s="21"/>
      <c r="Y22" s="21"/>
      <c r="Z22" s="21"/>
      <c r="AA22" s="21"/>
    </row>
    <row r="23">
      <c r="A23" s="20" t="s">
        <v>151</v>
      </c>
      <c r="B23" s="20" t="s">
        <v>156</v>
      </c>
      <c r="C23" s="20" t="s">
        <v>830</v>
      </c>
      <c r="D23" s="20"/>
      <c r="E23" s="20"/>
      <c r="F23" s="20"/>
      <c r="G23" s="21"/>
      <c r="H23" s="21"/>
      <c r="I23" s="21"/>
      <c r="J23" s="21"/>
      <c r="K23" s="21"/>
      <c r="L23" s="21"/>
      <c r="M23" s="21"/>
      <c r="N23" s="21"/>
      <c r="O23" s="21"/>
      <c r="P23" s="21"/>
      <c r="Q23" s="21"/>
      <c r="R23" s="21"/>
      <c r="S23" s="21"/>
      <c r="T23" s="21"/>
      <c r="U23" s="21"/>
      <c r="V23" s="21"/>
      <c r="W23" s="21"/>
      <c r="X23" s="21"/>
      <c r="Y23" s="21"/>
      <c r="Z23" s="21"/>
      <c r="AA23" s="21"/>
    </row>
    <row r="24">
      <c r="A24" s="20" t="s">
        <v>159</v>
      </c>
      <c r="B24" s="20" t="s">
        <v>164</v>
      </c>
      <c r="C24" s="22"/>
      <c r="D24" s="22"/>
      <c r="E24" s="21"/>
      <c r="F24" s="21"/>
      <c r="G24" s="21"/>
      <c r="H24" s="21"/>
      <c r="I24" s="21"/>
      <c r="J24" s="21"/>
      <c r="K24" s="21"/>
      <c r="L24" s="21"/>
      <c r="M24" s="21"/>
      <c r="N24" s="21"/>
      <c r="O24" s="21"/>
      <c r="P24" s="21"/>
      <c r="Q24" s="21"/>
      <c r="R24" s="21"/>
      <c r="S24" s="21"/>
      <c r="T24" s="21"/>
      <c r="U24" s="21"/>
      <c r="V24" s="21"/>
      <c r="W24" s="21"/>
      <c r="X24" s="21"/>
      <c r="Y24" s="21"/>
      <c r="Z24" s="21"/>
      <c r="AA24" s="21"/>
    </row>
    <row r="25">
      <c r="A25" s="20" t="s">
        <v>165</v>
      </c>
      <c r="B25" s="20" t="s">
        <v>170</v>
      </c>
      <c r="C25" s="22"/>
      <c r="D25" s="22"/>
      <c r="E25" s="21"/>
      <c r="F25" s="21"/>
      <c r="G25" s="21"/>
      <c r="H25" s="21"/>
      <c r="I25" s="21"/>
      <c r="J25" s="21"/>
      <c r="K25" s="21"/>
      <c r="L25" s="21"/>
      <c r="M25" s="21"/>
      <c r="N25" s="21"/>
      <c r="O25" s="21"/>
      <c r="P25" s="21"/>
      <c r="Q25" s="21"/>
      <c r="R25" s="21"/>
      <c r="S25" s="21"/>
      <c r="T25" s="21"/>
      <c r="U25" s="21"/>
      <c r="V25" s="21"/>
      <c r="W25" s="21"/>
      <c r="X25" s="21"/>
      <c r="Y25" s="21"/>
      <c r="Z25" s="21"/>
      <c r="AA25" s="21"/>
    </row>
    <row r="26">
      <c r="A26" s="20" t="s">
        <v>171</v>
      </c>
      <c r="B26" s="20" t="s">
        <v>177</v>
      </c>
      <c r="C26" s="22"/>
      <c r="D26" s="22"/>
      <c r="E26" s="21"/>
      <c r="F26" s="21"/>
      <c r="G26" s="21"/>
      <c r="H26" s="21"/>
      <c r="I26" s="21"/>
      <c r="J26" s="21"/>
      <c r="K26" s="21"/>
      <c r="L26" s="21"/>
      <c r="M26" s="21"/>
      <c r="N26" s="21"/>
      <c r="O26" s="21"/>
      <c r="P26" s="21"/>
      <c r="Q26" s="21"/>
      <c r="R26" s="21"/>
      <c r="S26" s="21"/>
      <c r="T26" s="21"/>
      <c r="U26" s="21"/>
      <c r="V26" s="21"/>
      <c r="W26" s="21"/>
      <c r="X26" s="21"/>
      <c r="Y26" s="21"/>
      <c r="Z26" s="21"/>
      <c r="AA26" s="21"/>
    </row>
    <row r="27">
      <c r="A27" s="20" t="s">
        <v>180</v>
      </c>
      <c r="B27" s="20" t="s">
        <v>186</v>
      </c>
      <c r="C27" s="20" t="s">
        <v>831</v>
      </c>
      <c r="D27" s="22"/>
      <c r="E27" s="21"/>
      <c r="F27" s="21"/>
      <c r="G27" s="21"/>
      <c r="H27" s="21"/>
      <c r="I27" s="21"/>
      <c r="J27" s="21"/>
      <c r="K27" s="21"/>
      <c r="L27" s="21"/>
      <c r="M27" s="21"/>
      <c r="N27" s="21"/>
      <c r="O27" s="21"/>
      <c r="P27" s="21"/>
      <c r="Q27" s="21"/>
      <c r="R27" s="21"/>
      <c r="S27" s="21"/>
      <c r="T27" s="21"/>
      <c r="U27" s="21"/>
      <c r="V27" s="21"/>
      <c r="W27" s="21"/>
      <c r="X27" s="21"/>
      <c r="Y27" s="21"/>
      <c r="Z27" s="21"/>
      <c r="AA27" s="21"/>
    </row>
    <row r="28">
      <c r="A28" s="20" t="s">
        <v>187</v>
      </c>
      <c r="B28" s="20" t="s">
        <v>190</v>
      </c>
      <c r="C28" s="20" t="s">
        <v>832</v>
      </c>
      <c r="D28" s="22"/>
      <c r="E28" s="21"/>
      <c r="F28" s="21"/>
      <c r="G28" s="21"/>
      <c r="H28" s="21"/>
      <c r="I28" s="21"/>
      <c r="J28" s="21"/>
      <c r="K28" s="21"/>
      <c r="L28" s="21"/>
      <c r="M28" s="21"/>
      <c r="N28" s="21"/>
      <c r="O28" s="21"/>
      <c r="P28" s="21"/>
      <c r="Q28" s="21"/>
      <c r="R28" s="21"/>
      <c r="S28" s="21"/>
      <c r="T28" s="21"/>
      <c r="U28" s="21"/>
      <c r="V28" s="21"/>
      <c r="W28" s="21"/>
      <c r="X28" s="21"/>
      <c r="Y28" s="21"/>
      <c r="Z28" s="21"/>
      <c r="AA28" s="21"/>
    </row>
    <row r="29">
      <c r="A29" s="20" t="s">
        <v>191</v>
      </c>
      <c r="B29" s="20" t="s">
        <v>195</v>
      </c>
      <c r="C29" s="20" t="s">
        <v>833</v>
      </c>
      <c r="D29" s="22"/>
      <c r="E29" s="21"/>
      <c r="F29" s="21"/>
      <c r="G29" s="21"/>
      <c r="H29" s="21"/>
      <c r="I29" s="21"/>
      <c r="J29" s="21"/>
      <c r="K29" s="21"/>
      <c r="L29" s="21"/>
      <c r="M29" s="21"/>
      <c r="N29" s="21"/>
      <c r="O29" s="21"/>
      <c r="P29" s="21"/>
      <c r="Q29" s="21"/>
      <c r="R29" s="21"/>
      <c r="S29" s="21"/>
      <c r="T29" s="21"/>
      <c r="U29" s="21"/>
      <c r="V29" s="21"/>
      <c r="W29" s="21"/>
      <c r="X29" s="21"/>
      <c r="Y29" s="21"/>
      <c r="Z29" s="21"/>
      <c r="AA29" s="21"/>
    </row>
    <row r="30">
      <c r="A30" s="20" t="s">
        <v>196</v>
      </c>
      <c r="B30" s="20" t="s">
        <v>199</v>
      </c>
      <c r="C30" s="20" t="s">
        <v>834</v>
      </c>
      <c r="D30" s="22"/>
      <c r="E30" s="21"/>
      <c r="F30" s="21"/>
      <c r="G30" s="21"/>
      <c r="H30" s="21"/>
      <c r="I30" s="21"/>
      <c r="J30" s="21"/>
      <c r="K30" s="21"/>
      <c r="L30" s="21"/>
      <c r="M30" s="21"/>
      <c r="N30" s="21"/>
      <c r="O30" s="21"/>
      <c r="P30" s="21"/>
      <c r="Q30" s="21"/>
      <c r="R30" s="21"/>
      <c r="S30" s="21"/>
      <c r="T30" s="21"/>
      <c r="U30" s="21"/>
      <c r="V30" s="21"/>
      <c r="W30" s="21"/>
      <c r="X30" s="21"/>
      <c r="Y30" s="21"/>
      <c r="Z30" s="21"/>
      <c r="AA30" s="21"/>
    </row>
    <row r="31">
      <c r="A31" s="20" t="s">
        <v>200</v>
      </c>
      <c r="B31" s="20" t="s">
        <v>203</v>
      </c>
      <c r="C31" s="20" t="s">
        <v>835</v>
      </c>
      <c r="D31" s="22"/>
      <c r="E31" s="21"/>
      <c r="F31" s="21"/>
      <c r="G31" s="21"/>
      <c r="H31" s="21"/>
      <c r="I31" s="21"/>
      <c r="J31" s="21"/>
      <c r="K31" s="21"/>
      <c r="L31" s="21"/>
      <c r="M31" s="21"/>
      <c r="N31" s="21"/>
      <c r="O31" s="21"/>
      <c r="P31" s="21"/>
      <c r="Q31" s="21"/>
      <c r="R31" s="21"/>
      <c r="S31" s="21"/>
      <c r="T31" s="21"/>
      <c r="U31" s="21"/>
      <c r="V31" s="21"/>
      <c r="W31" s="21"/>
      <c r="X31" s="21"/>
      <c r="Y31" s="21"/>
      <c r="Z31" s="21"/>
      <c r="AA31" s="21"/>
    </row>
    <row r="32">
      <c r="A32" s="20" t="s">
        <v>204</v>
      </c>
      <c r="B32" s="20" t="s">
        <v>208</v>
      </c>
      <c r="C32" s="20" t="s">
        <v>836</v>
      </c>
      <c r="D32" s="22"/>
      <c r="E32" s="21"/>
      <c r="F32" s="21"/>
      <c r="G32" s="21"/>
      <c r="H32" s="21"/>
      <c r="I32" s="21"/>
      <c r="J32" s="21"/>
      <c r="K32" s="21"/>
      <c r="L32" s="21"/>
      <c r="M32" s="21"/>
      <c r="N32" s="21"/>
      <c r="O32" s="21"/>
      <c r="P32" s="21"/>
      <c r="Q32" s="21"/>
      <c r="R32" s="21"/>
      <c r="S32" s="21"/>
      <c r="T32" s="21"/>
      <c r="U32" s="21"/>
      <c r="V32" s="21"/>
      <c r="W32" s="21"/>
      <c r="X32" s="21"/>
      <c r="Y32" s="21"/>
      <c r="Z32" s="21"/>
      <c r="AA32" s="21"/>
    </row>
    <row r="33">
      <c r="A33" s="20" t="s">
        <v>209</v>
      </c>
      <c r="B33" s="20" t="s">
        <v>212</v>
      </c>
      <c r="C33" s="20" t="s">
        <v>837</v>
      </c>
      <c r="D33" s="22"/>
      <c r="E33" s="21"/>
      <c r="F33" s="21"/>
      <c r="G33" s="21"/>
      <c r="H33" s="21"/>
      <c r="I33" s="21"/>
      <c r="J33" s="21"/>
      <c r="K33" s="21"/>
      <c r="L33" s="21"/>
      <c r="M33" s="21"/>
      <c r="N33" s="21"/>
      <c r="O33" s="21"/>
      <c r="P33" s="21"/>
      <c r="Q33" s="21"/>
      <c r="R33" s="21"/>
      <c r="S33" s="21"/>
      <c r="T33" s="21"/>
      <c r="U33" s="21"/>
      <c r="V33" s="21"/>
      <c r="W33" s="21"/>
      <c r="X33" s="21"/>
      <c r="Y33" s="21"/>
      <c r="Z33" s="21"/>
      <c r="AA33" s="21"/>
    </row>
    <row r="34">
      <c r="A34" s="20" t="s">
        <v>213</v>
      </c>
      <c r="B34" s="20" t="s">
        <v>219</v>
      </c>
      <c r="C34" s="20" t="s">
        <v>838</v>
      </c>
      <c r="D34" s="22"/>
      <c r="E34" s="21"/>
      <c r="F34" s="21"/>
      <c r="G34" s="21"/>
      <c r="H34" s="21"/>
      <c r="I34" s="21"/>
      <c r="J34" s="21"/>
      <c r="K34" s="21"/>
      <c r="L34" s="21"/>
      <c r="M34" s="21"/>
      <c r="N34" s="21"/>
      <c r="O34" s="21"/>
      <c r="P34" s="21"/>
      <c r="Q34" s="21"/>
      <c r="R34" s="21"/>
      <c r="S34" s="21"/>
      <c r="T34" s="21"/>
      <c r="U34" s="21"/>
      <c r="V34" s="21"/>
      <c r="W34" s="21"/>
      <c r="X34" s="21"/>
      <c r="Y34" s="21"/>
      <c r="Z34" s="21"/>
      <c r="AA34" s="21"/>
    </row>
    <row r="35">
      <c r="A35" s="20" t="s">
        <v>220</v>
      </c>
      <c r="B35" s="20" t="s">
        <v>223</v>
      </c>
      <c r="C35" s="20" t="s">
        <v>839</v>
      </c>
      <c r="D35" s="22"/>
      <c r="E35" s="21"/>
      <c r="F35" s="21"/>
      <c r="G35" s="21"/>
      <c r="H35" s="21"/>
      <c r="I35" s="21"/>
      <c r="J35" s="21"/>
      <c r="K35" s="21"/>
      <c r="L35" s="21"/>
      <c r="M35" s="21"/>
      <c r="N35" s="21"/>
      <c r="O35" s="21"/>
      <c r="P35" s="21"/>
      <c r="Q35" s="21"/>
      <c r="R35" s="21"/>
      <c r="S35" s="21"/>
      <c r="T35" s="21"/>
      <c r="U35" s="21"/>
      <c r="V35" s="21"/>
      <c r="W35" s="21"/>
      <c r="X35" s="21"/>
      <c r="Y35" s="21"/>
      <c r="Z35" s="21"/>
      <c r="AA35" s="21"/>
    </row>
    <row r="36">
      <c r="A36" s="20" t="s">
        <v>224</v>
      </c>
      <c r="B36" s="20" t="s">
        <v>228</v>
      </c>
      <c r="C36" s="20" t="s">
        <v>840</v>
      </c>
      <c r="D36" s="22"/>
      <c r="E36" s="21"/>
      <c r="F36" s="21"/>
      <c r="G36" s="21"/>
      <c r="H36" s="21"/>
      <c r="I36" s="21"/>
      <c r="J36" s="21"/>
      <c r="K36" s="21"/>
      <c r="L36" s="21"/>
      <c r="M36" s="21"/>
      <c r="N36" s="21"/>
      <c r="O36" s="21"/>
      <c r="P36" s="21"/>
      <c r="Q36" s="21"/>
      <c r="R36" s="21"/>
      <c r="S36" s="21"/>
      <c r="T36" s="21"/>
      <c r="U36" s="21"/>
      <c r="V36" s="21"/>
      <c r="W36" s="21"/>
      <c r="X36" s="21"/>
      <c r="Y36" s="21"/>
      <c r="Z36" s="21"/>
      <c r="AA36" s="21"/>
    </row>
    <row r="37">
      <c r="A37" s="20" t="s">
        <v>229</v>
      </c>
      <c r="B37" s="20" t="s">
        <v>232</v>
      </c>
      <c r="C37" s="20" t="s">
        <v>841</v>
      </c>
      <c r="D37" s="22"/>
      <c r="E37" s="21"/>
      <c r="F37" s="21"/>
      <c r="G37" s="21"/>
      <c r="H37" s="21"/>
      <c r="I37" s="21"/>
      <c r="J37" s="21"/>
      <c r="K37" s="21"/>
      <c r="L37" s="21"/>
      <c r="M37" s="21"/>
      <c r="N37" s="21"/>
      <c r="O37" s="21"/>
      <c r="P37" s="21"/>
      <c r="Q37" s="21"/>
      <c r="R37" s="21"/>
      <c r="S37" s="21"/>
      <c r="T37" s="21"/>
      <c r="U37" s="21"/>
      <c r="V37" s="21"/>
      <c r="W37" s="21"/>
      <c r="X37" s="21"/>
      <c r="Y37" s="21"/>
      <c r="Z37" s="21"/>
      <c r="AA37" s="21"/>
    </row>
    <row r="38">
      <c r="A38" s="20" t="s">
        <v>233</v>
      </c>
      <c r="B38" s="20" t="s">
        <v>237</v>
      </c>
      <c r="C38" s="20" t="s">
        <v>842</v>
      </c>
      <c r="D38" s="22"/>
      <c r="E38" s="21"/>
      <c r="F38" s="21"/>
      <c r="G38" s="21"/>
      <c r="H38" s="21"/>
      <c r="I38" s="21"/>
      <c r="J38" s="21"/>
      <c r="K38" s="21"/>
      <c r="L38" s="21"/>
      <c r="M38" s="21"/>
      <c r="N38" s="21"/>
      <c r="O38" s="21"/>
      <c r="P38" s="21"/>
      <c r="Q38" s="21"/>
      <c r="R38" s="21"/>
      <c r="S38" s="21"/>
      <c r="T38" s="21"/>
      <c r="U38" s="21"/>
      <c r="V38" s="21"/>
      <c r="W38" s="21"/>
      <c r="X38" s="21"/>
      <c r="Y38" s="21"/>
      <c r="Z38" s="21"/>
      <c r="AA38" s="21"/>
    </row>
    <row r="39">
      <c r="A39" s="20" t="s">
        <v>238</v>
      </c>
      <c r="B39" s="20" t="s">
        <v>243</v>
      </c>
      <c r="C39" s="20" t="s">
        <v>843</v>
      </c>
      <c r="D39" s="22"/>
      <c r="E39" s="21"/>
      <c r="F39" s="21"/>
      <c r="G39" s="21"/>
      <c r="H39" s="21"/>
      <c r="I39" s="21"/>
      <c r="J39" s="21"/>
      <c r="K39" s="21"/>
      <c r="L39" s="21"/>
      <c r="M39" s="21"/>
      <c r="N39" s="21"/>
      <c r="O39" s="21"/>
      <c r="P39" s="21"/>
      <c r="Q39" s="21"/>
      <c r="R39" s="21"/>
      <c r="S39" s="21"/>
      <c r="T39" s="21"/>
      <c r="U39" s="21"/>
      <c r="V39" s="21"/>
      <c r="W39" s="21"/>
      <c r="X39" s="21"/>
      <c r="Y39" s="21"/>
      <c r="Z39" s="21"/>
      <c r="AA39" s="21"/>
    </row>
    <row r="40">
      <c r="A40" s="20" t="s">
        <v>244</v>
      </c>
      <c r="B40" s="20" t="s">
        <v>247</v>
      </c>
      <c r="C40" s="20" t="s">
        <v>844</v>
      </c>
      <c r="D40" s="22"/>
      <c r="E40" s="21"/>
      <c r="F40" s="21"/>
      <c r="G40" s="21"/>
      <c r="H40" s="21"/>
      <c r="I40" s="21"/>
      <c r="J40" s="21"/>
      <c r="K40" s="21"/>
      <c r="L40" s="21"/>
      <c r="M40" s="21"/>
      <c r="N40" s="21"/>
      <c r="O40" s="21"/>
      <c r="P40" s="21"/>
      <c r="Q40" s="21"/>
      <c r="R40" s="21"/>
      <c r="S40" s="21"/>
      <c r="T40" s="21"/>
      <c r="U40" s="21"/>
      <c r="V40" s="21"/>
      <c r="W40" s="21"/>
      <c r="X40" s="21"/>
      <c r="Y40" s="21"/>
      <c r="Z40" s="21"/>
      <c r="AA40" s="21"/>
    </row>
    <row r="41">
      <c r="A41" s="20" t="s">
        <v>248</v>
      </c>
      <c r="B41" s="20" t="s">
        <v>253</v>
      </c>
      <c r="C41" s="20" t="s">
        <v>845</v>
      </c>
      <c r="D41" s="22"/>
      <c r="E41" s="21"/>
      <c r="F41" s="21"/>
      <c r="G41" s="21"/>
      <c r="H41" s="21"/>
      <c r="I41" s="21"/>
      <c r="J41" s="21"/>
      <c r="K41" s="21"/>
      <c r="L41" s="21"/>
      <c r="M41" s="21"/>
      <c r="N41" s="21"/>
      <c r="O41" s="21"/>
      <c r="P41" s="21"/>
      <c r="Q41" s="21"/>
      <c r="R41" s="21"/>
      <c r="S41" s="21"/>
      <c r="T41" s="21"/>
      <c r="U41" s="21"/>
      <c r="V41" s="21"/>
      <c r="W41" s="21"/>
      <c r="X41" s="21"/>
      <c r="Y41" s="21"/>
      <c r="Z41" s="21"/>
      <c r="AA41" s="21"/>
    </row>
    <row r="42">
      <c r="A42" s="20" t="s">
        <v>254</v>
      </c>
      <c r="B42" s="20" t="s">
        <v>257</v>
      </c>
      <c r="C42" s="20" t="s">
        <v>846</v>
      </c>
      <c r="D42" s="22"/>
      <c r="E42" s="21"/>
      <c r="F42" s="21"/>
      <c r="G42" s="21"/>
      <c r="H42" s="21"/>
      <c r="I42" s="21"/>
      <c r="J42" s="21"/>
      <c r="K42" s="21"/>
      <c r="L42" s="21"/>
      <c r="M42" s="21"/>
      <c r="N42" s="21"/>
      <c r="O42" s="21"/>
      <c r="P42" s="21"/>
      <c r="Q42" s="21"/>
      <c r="R42" s="21"/>
      <c r="S42" s="21"/>
      <c r="T42" s="21"/>
      <c r="U42" s="21"/>
      <c r="V42" s="21"/>
      <c r="W42" s="21"/>
      <c r="X42" s="21"/>
      <c r="Y42" s="21"/>
      <c r="Z42" s="21"/>
      <c r="AA42" s="21"/>
    </row>
    <row r="43">
      <c r="A43" s="20" t="s">
        <v>258</v>
      </c>
      <c r="B43" s="20" t="s">
        <v>264</v>
      </c>
      <c r="C43" s="20" t="s">
        <v>847</v>
      </c>
      <c r="D43" s="22"/>
      <c r="E43" s="21"/>
      <c r="F43" s="21"/>
      <c r="G43" s="21"/>
      <c r="H43" s="21"/>
      <c r="I43" s="21"/>
      <c r="J43" s="21"/>
      <c r="K43" s="21"/>
      <c r="L43" s="21"/>
      <c r="M43" s="21"/>
      <c r="N43" s="21"/>
      <c r="O43" s="21"/>
      <c r="P43" s="21"/>
      <c r="Q43" s="21"/>
      <c r="R43" s="21"/>
      <c r="S43" s="21"/>
      <c r="T43" s="21"/>
      <c r="U43" s="21"/>
      <c r="V43" s="21"/>
      <c r="W43" s="21"/>
      <c r="X43" s="21"/>
      <c r="Y43" s="21"/>
      <c r="Z43" s="21"/>
      <c r="AA43" s="21"/>
    </row>
    <row r="44">
      <c r="A44" s="20" t="s">
        <v>265</v>
      </c>
      <c r="B44" s="20" t="s">
        <v>268</v>
      </c>
      <c r="C44" s="20" t="s">
        <v>848</v>
      </c>
      <c r="D44" s="22"/>
      <c r="E44" s="21"/>
      <c r="F44" s="21"/>
      <c r="G44" s="21"/>
      <c r="H44" s="21"/>
      <c r="I44" s="21"/>
      <c r="J44" s="21"/>
      <c r="K44" s="21"/>
      <c r="L44" s="21"/>
      <c r="M44" s="21"/>
      <c r="N44" s="21"/>
      <c r="O44" s="21"/>
      <c r="P44" s="21"/>
      <c r="Q44" s="21"/>
      <c r="R44" s="21"/>
      <c r="S44" s="21"/>
      <c r="T44" s="21"/>
      <c r="U44" s="21"/>
      <c r="V44" s="21"/>
      <c r="W44" s="21"/>
      <c r="X44" s="21"/>
      <c r="Y44" s="21"/>
      <c r="Z44" s="21"/>
      <c r="AA44" s="21"/>
    </row>
    <row r="45">
      <c r="A45" s="20" t="s">
        <v>269</v>
      </c>
      <c r="B45" s="20" t="s">
        <v>275</v>
      </c>
      <c r="C45" s="20" t="s">
        <v>849</v>
      </c>
      <c r="D45" s="22"/>
      <c r="E45" s="21"/>
      <c r="F45" s="21"/>
      <c r="G45" s="21"/>
      <c r="H45" s="21"/>
      <c r="I45" s="21"/>
      <c r="J45" s="21"/>
      <c r="K45" s="21"/>
      <c r="L45" s="21"/>
      <c r="M45" s="21"/>
      <c r="N45" s="21"/>
      <c r="O45" s="21"/>
      <c r="P45" s="21"/>
      <c r="Q45" s="21"/>
      <c r="R45" s="21"/>
      <c r="S45" s="21"/>
      <c r="T45" s="21"/>
      <c r="U45" s="21"/>
      <c r="V45" s="21"/>
      <c r="W45" s="21"/>
      <c r="X45" s="21"/>
      <c r="Y45" s="21"/>
      <c r="Z45" s="21"/>
      <c r="AA45" s="21"/>
    </row>
    <row r="46">
      <c r="A46" s="20" t="s">
        <v>276</v>
      </c>
      <c r="B46" s="20" t="s">
        <v>280</v>
      </c>
      <c r="C46" s="20" t="s">
        <v>850</v>
      </c>
      <c r="D46" s="22"/>
      <c r="E46" s="21"/>
      <c r="F46" s="21"/>
      <c r="G46" s="21"/>
      <c r="H46" s="21"/>
      <c r="I46" s="21"/>
      <c r="J46" s="21"/>
      <c r="K46" s="21"/>
      <c r="L46" s="21"/>
      <c r="M46" s="21"/>
      <c r="N46" s="21"/>
      <c r="O46" s="21"/>
      <c r="P46" s="21"/>
      <c r="Q46" s="21"/>
      <c r="R46" s="21"/>
      <c r="S46" s="21"/>
      <c r="T46" s="21"/>
      <c r="U46" s="21"/>
      <c r="V46" s="21"/>
      <c r="W46" s="21"/>
      <c r="X46" s="21"/>
      <c r="Y46" s="21"/>
      <c r="Z46" s="21"/>
      <c r="AA46"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38"/>
  </cols>
  <sheetData>
    <row r="1">
      <c r="A1" s="23" t="s">
        <v>851</v>
      </c>
      <c r="B1" s="23" t="s">
        <v>852</v>
      </c>
      <c r="C1" s="24"/>
      <c r="D1" s="24"/>
      <c r="E1" s="24"/>
      <c r="F1" s="24"/>
      <c r="G1" s="24"/>
      <c r="H1" s="24"/>
      <c r="I1" s="24"/>
      <c r="J1" s="24"/>
      <c r="K1" s="24"/>
      <c r="L1" s="24"/>
      <c r="M1" s="24"/>
      <c r="N1" s="24"/>
      <c r="O1" s="24"/>
      <c r="P1" s="24"/>
      <c r="Q1" s="24"/>
      <c r="R1" s="24"/>
      <c r="S1" s="24"/>
      <c r="T1" s="24"/>
      <c r="U1" s="24"/>
      <c r="V1" s="24"/>
      <c r="W1" s="24"/>
      <c r="X1" s="24"/>
      <c r="Y1" s="24"/>
      <c r="Z1" s="24"/>
    </row>
    <row r="2">
      <c r="A2" s="23" t="s">
        <v>853</v>
      </c>
      <c r="B2" s="23" t="s">
        <v>854</v>
      </c>
      <c r="C2" s="24"/>
      <c r="D2" s="24"/>
      <c r="E2" s="24"/>
      <c r="F2" s="24"/>
      <c r="G2" s="24"/>
      <c r="H2" s="24"/>
      <c r="I2" s="24"/>
      <c r="J2" s="24"/>
      <c r="K2" s="24"/>
      <c r="L2" s="24"/>
      <c r="M2" s="24"/>
      <c r="N2" s="24"/>
      <c r="O2" s="24"/>
      <c r="P2" s="24"/>
      <c r="Q2" s="24"/>
      <c r="R2" s="24"/>
      <c r="S2" s="24"/>
      <c r="T2" s="24"/>
      <c r="U2" s="24"/>
      <c r="V2" s="24"/>
      <c r="W2" s="24"/>
      <c r="X2" s="24"/>
      <c r="Y2" s="24"/>
      <c r="Z2" s="24"/>
    </row>
    <row r="3">
      <c r="A3" s="23"/>
      <c r="B3" s="25"/>
      <c r="C3" s="24"/>
      <c r="D3" s="24"/>
      <c r="E3" s="24"/>
      <c r="F3" s="24"/>
      <c r="G3" s="24"/>
      <c r="H3" s="24"/>
      <c r="I3" s="24"/>
      <c r="J3" s="24"/>
      <c r="K3" s="24"/>
      <c r="L3" s="24"/>
      <c r="M3" s="24"/>
      <c r="N3" s="24"/>
      <c r="O3" s="24"/>
      <c r="P3" s="24"/>
      <c r="Q3" s="24"/>
      <c r="R3" s="24"/>
      <c r="S3" s="24"/>
      <c r="T3" s="24"/>
      <c r="U3" s="24"/>
      <c r="V3" s="24"/>
      <c r="W3" s="24"/>
      <c r="X3" s="24"/>
      <c r="Y3" s="24"/>
      <c r="Z3" s="24"/>
    </row>
    <row r="4">
      <c r="A4" s="23" t="s">
        <v>851</v>
      </c>
      <c r="B4" s="23" t="s">
        <v>852</v>
      </c>
      <c r="C4" s="24"/>
      <c r="D4" s="24"/>
      <c r="E4" s="24"/>
      <c r="F4" s="24"/>
      <c r="G4" s="24"/>
      <c r="H4" s="24"/>
      <c r="I4" s="24"/>
      <c r="J4" s="24"/>
      <c r="K4" s="24"/>
      <c r="L4" s="24"/>
      <c r="M4" s="24"/>
      <c r="N4" s="24"/>
      <c r="O4" s="24"/>
      <c r="P4" s="24"/>
      <c r="Q4" s="24"/>
      <c r="R4" s="24"/>
      <c r="S4" s="24"/>
      <c r="T4" s="24"/>
      <c r="U4" s="24"/>
      <c r="V4" s="24"/>
      <c r="W4" s="24"/>
      <c r="X4" s="24"/>
      <c r="Y4" s="24"/>
      <c r="Z4" s="24"/>
    </row>
    <row r="5">
      <c r="A5" s="23" t="s">
        <v>853</v>
      </c>
      <c r="B5" s="23" t="s">
        <v>854</v>
      </c>
      <c r="C5" s="24"/>
      <c r="D5" s="24"/>
      <c r="E5" s="24"/>
      <c r="F5" s="24"/>
      <c r="G5" s="24"/>
      <c r="H5" s="24"/>
      <c r="I5" s="24"/>
      <c r="J5" s="24"/>
      <c r="K5" s="24"/>
      <c r="L5" s="24"/>
      <c r="M5" s="24"/>
      <c r="N5" s="24"/>
      <c r="O5" s="24"/>
      <c r="P5" s="24"/>
      <c r="Q5" s="24"/>
      <c r="R5" s="24"/>
      <c r="S5" s="24"/>
      <c r="T5" s="24"/>
      <c r="U5" s="24"/>
      <c r="V5" s="24"/>
      <c r="W5" s="24"/>
      <c r="X5" s="24"/>
      <c r="Y5" s="24"/>
      <c r="Z5" s="24"/>
    </row>
    <row r="6">
      <c r="A6" s="26"/>
      <c r="B6" s="26"/>
      <c r="C6" s="26"/>
      <c r="D6" s="26"/>
      <c r="E6" s="26"/>
      <c r="F6" s="26"/>
      <c r="G6" s="26"/>
      <c r="H6" s="26"/>
      <c r="I6" s="26"/>
      <c r="J6" s="26"/>
      <c r="K6" s="26"/>
      <c r="L6" s="26"/>
      <c r="M6" s="24"/>
      <c r="N6" s="24"/>
      <c r="O6" s="24"/>
      <c r="P6" s="24"/>
      <c r="Q6" s="24"/>
      <c r="R6" s="24"/>
      <c r="S6" s="24"/>
      <c r="T6" s="24"/>
      <c r="U6" s="24"/>
      <c r="V6" s="24"/>
      <c r="W6" s="24"/>
      <c r="X6" s="24"/>
      <c r="Y6" s="24"/>
      <c r="Z6" s="24"/>
    </row>
    <row r="7">
      <c r="A7" s="26"/>
      <c r="B7" s="26"/>
      <c r="C7" s="26"/>
      <c r="D7" s="26"/>
      <c r="E7" s="26"/>
      <c r="F7" s="26"/>
      <c r="G7" s="26"/>
      <c r="H7" s="26"/>
      <c r="I7" s="26"/>
      <c r="J7" s="26"/>
      <c r="K7" s="26"/>
      <c r="L7" s="26"/>
      <c r="M7" s="24"/>
      <c r="N7" s="24"/>
      <c r="O7" s="24"/>
      <c r="P7" s="24"/>
      <c r="Q7" s="24"/>
      <c r="R7" s="24"/>
      <c r="S7" s="24"/>
      <c r="T7" s="24"/>
      <c r="U7" s="24"/>
      <c r="V7" s="24"/>
      <c r="W7" s="24"/>
      <c r="X7" s="24"/>
      <c r="Y7" s="24"/>
      <c r="Z7" s="24"/>
    </row>
    <row r="8">
      <c r="A8" s="23" t="str">
        <f t="shared" ref="A8:A71" si="1">"Team: " &amp; B8 &amp; "  -  Project: " &amp; C8</f>
        <v>Team: Team Name  -  Project: Project Title </v>
      </c>
      <c r="B8" s="24" t="s">
        <v>5</v>
      </c>
      <c r="C8" s="24" t="s">
        <v>855</v>
      </c>
      <c r="D8" s="24"/>
      <c r="E8" s="24"/>
      <c r="F8" s="24"/>
      <c r="G8" s="24"/>
      <c r="H8" s="24"/>
      <c r="I8" s="24"/>
      <c r="J8" s="24"/>
      <c r="K8" s="24"/>
      <c r="L8" s="24"/>
      <c r="M8" s="24"/>
      <c r="N8" s="24"/>
      <c r="O8" s="24"/>
      <c r="P8" s="24"/>
      <c r="Q8" s="24"/>
      <c r="R8" s="24"/>
      <c r="S8" s="24"/>
      <c r="T8" s="24"/>
      <c r="U8" s="24"/>
      <c r="V8" s="24"/>
      <c r="W8" s="24"/>
      <c r="X8" s="24"/>
      <c r="Y8" s="24"/>
      <c r="Z8" s="24"/>
    </row>
    <row r="9">
      <c r="A9" s="23" t="str">
        <f t="shared" si="1"/>
        <v>Team: Windrow  -  Project: Automated Compost Turner</v>
      </c>
      <c r="B9" s="25" t="s">
        <v>856</v>
      </c>
      <c r="C9" s="25" t="s">
        <v>857</v>
      </c>
      <c r="D9" s="24"/>
      <c r="E9" s="24"/>
      <c r="F9" s="24"/>
      <c r="G9" s="24"/>
      <c r="H9" s="24"/>
      <c r="I9" s="24"/>
      <c r="J9" s="24"/>
      <c r="K9" s="24"/>
      <c r="L9" s="24"/>
      <c r="M9" s="24"/>
      <c r="N9" s="24"/>
      <c r="O9" s="24"/>
      <c r="P9" s="24"/>
      <c r="Q9" s="24"/>
      <c r="R9" s="24"/>
      <c r="S9" s="24"/>
      <c r="T9" s="24"/>
      <c r="U9" s="24"/>
      <c r="V9" s="24"/>
      <c r="W9" s="24"/>
      <c r="X9" s="24"/>
      <c r="Y9" s="24"/>
      <c r="Z9" s="24"/>
    </row>
    <row r="10">
      <c r="A10" s="23" t="str">
        <f t="shared" si="1"/>
        <v>Team: Tomato Recovery Team  -  Project: Capturing Tomatoes from Rock Removal System</v>
      </c>
      <c r="B10" s="25" t="s">
        <v>858</v>
      </c>
      <c r="C10" s="25" t="s">
        <v>859</v>
      </c>
      <c r="D10" s="24"/>
      <c r="E10" s="24"/>
      <c r="F10" s="24"/>
      <c r="G10" s="24"/>
      <c r="H10" s="24"/>
      <c r="I10" s="24"/>
      <c r="J10" s="24"/>
      <c r="K10" s="24"/>
      <c r="L10" s="24"/>
      <c r="M10" s="24"/>
      <c r="N10" s="24"/>
      <c r="O10" s="24"/>
      <c r="P10" s="24"/>
      <c r="Q10" s="24"/>
      <c r="R10" s="24"/>
      <c r="S10" s="24"/>
      <c r="T10" s="24"/>
      <c r="U10" s="24"/>
      <c r="V10" s="24"/>
      <c r="W10" s="24"/>
      <c r="X10" s="24"/>
      <c r="Y10" s="24"/>
      <c r="Z10" s="24"/>
    </row>
    <row r="11">
      <c r="A11" s="23" t="str">
        <f t="shared" si="1"/>
        <v>Team: Tomato Feeder MOT Removal  -  Project: Removing Sand and Silt from Tomato Flume</v>
      </c>
      <c r="B11" s="25" t="s">
        <v>860</v>
      </c>
      <c r="C11" s="25" t="s">
        <v>861</v>
      </c>
      <c r="D11" s="24"/>
      <c r="E11" s="24"/>
      <c r="F11" s="24"/>
      <c r="G11" s="24"/>
      <c r="H11" s="24"/>
      <c r="I11" s="24"/>
      <c r="J11" s="24"/>
      <c r="K11" s="24"/>
      <c r="L11" s="24"/>
      <c r="M11" s="24"/>
      <c r="N11" s="24"/>
      <c r="O11" s="24"/>
      <c r="P11" s="24"/>
      <c r="Q11" s="24"/>
      <c r="R11" s="24"/>
      <c r="S11" s="24"/>
      <c r="T11" s="24"/>
      <c r="U11" s="24"/>
      <c r="V11" s="24"/>
      <c r="W11" s="24"/>
      <c r="X11" s="24"/>
      <c r="Y11" s="24"/>
      <c r="Z11" s="24"/>
    </row>
    <row r="12">
      <c r="A12" s="23" t="str">
        <f t="shared" si="1"/>
        <v>Team: MOT Busters  -  Project: Removing Light Materials-Other-Than-Tomatoes (MOT) from the Tomato Flume Transport System</v>
      </c>
      <c r="B12" s="25" t="s">
        <v>862</v>
      </c>
      <c r="C12" s="25" t="s">
        <v>863</v>
      </c>
      <c r="D12" s="24"/>
      <c r="E12" s="24"/>
      <c r="F12" s="24"/>
      <c r="G12" s="24"/>
      <c r="H12" s="24"/>
      <c r="I12" s="24"/>
      <c r="J12" s="24"/>
      <c r="K12" s="24"/>
      <c r="L12" s="24"/>
      <c r="M12" s="24"/>
      <c r="N12" s="24"/>
      <c r="O12" s="24"/>
      <c r="P12" s="24"/>
      <c r="Q12" s="24"/>
      <c r="R12" s="24"/>
      <c r="S12" s="24"/>
      <c r="T12" s="24"/>
      <c r="U12" s="24"/>
      <c r="V12" s="24"/>
      <c r="W12" s="24"/>
      <c r="X12" s="24"/>
      <c r="Y12" s="24"/>
      <c r="Z12" s="24"/>
    </row>
    <row r="13">
      <c r="A13" s="23" t="str">
        <f t="shared" si="1"/>
        <v>Team: Tomato-Tomato  -  Project: Reducing Finisher Screen Damage by Better Preparation of Tomato Pulp</v>
      </c>
      <c r="B13" s="25" t="s">
        <v>864</v>
      </c>
      <c r="C13" s="25" t="s">
        <v>865</v>
      </c>
      <c r="D13" s="24"/>
      <c r="E13" s="24"/>
      <c r="F13" s="24"/>
      <c r="G13" s="24"/>
      <c r="H13" s="24"/>
      <c r="I13" s="24"/>
      <c r="J13" s="24"/>
      <c r="K13" s="24"/>
      <c r="L13" s="24"/>
      <c r="M13" s="24"/>
      <c r="N13" s="24"/>
      <c r="O13" s="24"/>
      <c r="P13" s="24"/>
      <c r="Q13" s="24"/>
      <c r="R13" s="24"/>
      <c r="S13" s="24"/>
      <c r="T13" s="24"/>
      <c r="U13" s="24"/>
      <c r="V13" s="24"/>
      <c r="W13" s="24"/>
      <c r="X13" s="24"/>
      <c r="Y13" s="24"/>
      <c r="Z13" s="24"/>
    </row>
    <row r="14">
      <c r="A14" s="23" t="str">
        <f t="shared" si="1"/>
        <v>Team: Tomato Town Droppers  -  Project: Tomato Harvester Self-Cleaning Kit</v>
      </c>
      <c r="B14" s="25" t="s">
        <v>866</v>
      </c>
      <c r="C14" s="25" t="s">
        <v>867</v>
      </c>
      <c r="D14" s="24"/>
      <c r="E14" s="24"/>
      <c r="F14" s="24"/>
      <c r="G14" s="24"/>
      <c r="H14" s="24"/>
      <c r="I14" s="24"/>
      <c r="J14" s="24"/>
      <c r="K14" s="24"/>
      <c r="L14" s="24"/>
      <c r="M14" s="24"/>
      <c r="N14" s="24"/>
      <c r="O14" s="24"/>
      <c r="P14" s="24"/>
      <c r="Q14" s="24"/>
      <c r="R14" s="24"/>
      <c r="S14" s="24"/>
      <c r="T14" s="24"/>
      <c r="U14" s="24"/>
      <c r="V14" s="24"/>
      <c r="W14" s="24"/>
      <c r="X14" s="24"/>
      <c r="Y14" s="24"/>
      <c r="Z14" s="24"/>
    </row>
    <row r="15">
      <c r="A15" s="23" t="str">
        <f t="shared" si="1"/>
        <v>Team: Pomodoro Salato  -  Project: Controlling Sodium Levels in Topping Juice</v>
      </c>
      <c r="B15" s="25" t="s">
        <v>868</v>
      </c>
      <c r="C15" s="25" t="s">
        <v>869</v>
      </c>
      <c r="D15" s="24"/>
      <c r="E15" s="24"/>
      <c r="F15" s="24"/>
      <c r="G15" s="24"/>
      <c r="H15" s="24"/>
      <c r="I15" s="24"/>
      <c r="J15" s="24"/>
      <c r="K15" s="24"/>
      <c r="L15" s="24"/>
      <c r="M15" s="24"/>
      <c r="N15" s="24"/>
      <c r="O15" s="24"/>
      <c r="P15" s="24"/>
      <c r="Q15" s="24"/>
      <c r="R15" s="24"/>
      <c r="S15" s="24"/>
      <c r="T15" s="24"/>
      <c r="U15" s="24"/>
      <c r="V15" s="24"/>
      <c r="W15" s="24"/>
      <c r="X15" s="24"/>
      <c r="Y15" s="24"/>
      <c r="Z15" s="24"/>
    </row>
    <row r="16">
      <c r="A16" s="23" t="str">
        <f t="shared" si="1"/>
        <v>Team: Team Roast  -  Project: Small Scale Vegetable Roasting</v>
      </c>
      <c r="B16" s="25" t="s">
        <v>870</v>
      </c>
      <c r="C16" s="25" t="s">
        <v>871</v>
      </c>
      <c r="D16" s="24"/>
      <c r="E16" s="24"/>
      <c r="F16" s="24"/>
      <c r="G16" s="24"/>
      <c r="H16" s="24"/>
      <c r="I16" s="24"/>
      <c r="J16" s="24"/>
      <c r="K16" s="24"/>
      <c r="L16" s="24"/>
      <c r="M16" s="24"/>
      <c r="N16" s="24"/>
      <c r="O16" s="24"/>
      <c r="P16" s="24"/>
      <c r="Q16" s="24"/>
      <c r="R16" s="24"/>
      <c r="S16" s="24"/>
      <c r="T16" s="24"/>
      <c r="U16" s="24"/>
      <c r="V16" s="24"/>
      <c r="W16" s="24"/>
      <c r="X16" s="24"/>
      <c r="Y16" s="24"/>
      <c r="Z16" s="24"/>
    </row>
    <row r="17">
      <c r="A17" s="23" t="str">
        <f t="shared" si="1"/>
        <v>Team: Getting a Grip  -  Project: Agriculture Grasping</v>
      </c>
      <c r="B17" s="25" t="s">
        <v>872</v>
      </c>
      <c r="C17" s="25" t="s">
        <v>873</v>
      </c>
      <c r="D17" s="24"/>
      <c r="E17" s="24"/>
      <c r="F17" s="24"/>
      <c r="G17" s="24"/>
      <c r="H17" s="24"/>
      <c r="I17" s="24"/>
      <c r="J17" s="24"/>
      <c r="K17" s="24"/>
      <c r="L17" s="24"/>
      <c r="M17" s="24"/>
      <c r="N17" s="24"/>
      <c r="O17" s="24"/>
      <c r="P17" s="24"/>
      <c r="Q17" s="24"/>
      <c r="R17" s="24"/>
      <c r="S17" s="24"/>
      <c r="T17" s="24"/>
      <c r="U17" s="24"/>
      <c r="V17" s="24"/>
      <c r="W17" s="24"/>
      <c r="X17" s="24"/>
      <c r="Y17" s="24"/>
      <c r="Z17" s="24"/>
    </row>
    <row r="18">
      <c r="A18" s="23" t="str">
        <f t="shared" si="1"/>
        <v>Team: Simple Made Difficult  -  Project: Vehicle Door Open/Closing Test Device</v>
      </c>
      <c r="B18" s="25" t="s">
        <v>874</v>
      </c>
      <c r="C18" s="25" t="s">
        <v>875</v>
      </c>
      <c r="D18" s="24"/>
      <c r="E18" s="24"/>
      <c r="F18" s="24"/>
      <c r="G18" s="24"/>
      <c r="H18" s="24"/>
      <c r="I18" s="24"/>
      <c r="J18" s="24"/>
      <c r="K18" s="24"/>
      <c r="L18" s="24"/>
      <c r="M18" s="24"/>
      <c r="N18" s="24"/>
      <c r="O18" s="24"/>
      <c r="P18" s="24"/>
      <c r="Q18" s="24"/>
      <c r="R18" s="24"/>
      <c r="S18" s="24"/>
      <c r="T18" s="24"/>
      <c r="U18" s="24"/>
      <c r="V18" s="24"/>
      <c r="W18" s="24"/>
      <c r="X18" s="24"/>
      <c r="Y18" s="24"/>
      <c r="Z18" s="24"/>
    </row>
    <row r="19">
      <c r="A19" s="23" t="str">
        <f t="shared" si="1"/>
        <v>Team: Squirrel'd Away  -  Project: Down the Squirrel Hole</v>
      </c>
      <c r="B19" s="25" t="s">
        <v>876</v>
      </c>
      <c r="C19" s="25" t="s">
        <v>877</v>
      </c>
      <c r="D19" s="24"/>
      <c r="E19" s="24"/>
      <c r="F19" s="24"/>
      <c r="G19" s="24"/>
      <c r="H19" s="24"/>
      <c r="I19" s="24"/>
      <c r="J19" s="24"/>
      <c r="K19" s="24"/>
      <c r="L19" s="24"/>
      <c r="M19" s="24"/>
      <c r="N19" s="24"/>
      <c r="O19" s="24"/>
      <c r="P19" s="24"/>
      <c r="Q19" s="24"/>
      <c r="R19" s="24"/>
      <c r="S19" s="24"/>
      <c r="T19" s="24"/>
      <c r="U19" s="24"/>
      <c r="V19" s="24"/>
      <c r="W19" s="24"/>
      <c r="X19" s="24"/>
      <c r="Y19" s="24"/>
      <c r="Z19" s="24"/>
    </row>
    <row r="20">
      <c r="A20" s="23" t="str">
        <f t="shared" si="1"/>
        <v>Team: Patient Assistant Logger  -  Project: Patient logger reporting</v>
      </c>
      <c r="B20" s="25" t="s">
        <v>878</v>
      </c>
      <c r="C20" s="25" t="s">
        <v>879</v>
      </c>
      <c r="D20" s="24"/>
      <c r="E20" s="24"/>
      <c r="F20" s="24"/>
      <c r="G20" s="24"/>
      <c r="H20" s="24"/>
      <c r="I20" s="24"/>
      <c r="J20" s="24"/>
      <c r="K20" s="24"/>
      <c r="L20" s="24"/>
      <c r="M20" s="24"/>
      <c r="N20" s="24"/>
      <c r="O20" s="24"/>
      <c r="P20" s="24"/>
      <c r="Q20" s="24"/>
      <c r="R20" s="24"/>
      <c r="S20" s="24"/>
      <c r="T20" s="24"/>
      <c r="U20" s="24"/>
      <c r="V20" s="24"/>
      <c r="W20" s="24"/>
      <c r="X20" s="24"/>
      <c r="Y20" s="24"/>
      <c r="Z20" s="24"/>
    </row>
    <row r="21">
      <c r="A21" s="23" t="str">
        <f t="shared" si="1"/>
        <v>Team: Cow Bound  -  Project: Virtual Livestock Fence</v>
      </c>
      <c r="B21" s="25" t="s">
        <v>880</v>
      </c>
      <c r="C21" s="25" t="s">
        <v>881</v>
      </c>
      <c r="D21" s="24"/>
      <c r="E21" s="24"/>
      <c r="F21" s="24"/>
      <c r="G21" s="24"/>
      <c r="H21" s="24"/>
      <c r="I21" s="24"/>
      <c r="J21" s="24"/>
      <c r="K21" s="24"/>
      <c r="L21" s="24"/>
      <c r="M21" s="24"/>
      <c r="N21" s="24"/>
      <c r="O21" s="24"/>
      <c r="P21" s="24"/>
      <c r="Q21" s="24"/>
      <c r="R21" s="24"/>
      <c r="S21" s="24"/>
      <c r="T21" s="24"/>
      <c r="U21" s="24"/>
      <c r="V21" s="24"/>
      <c r="W21" s="24"/>
      <c r="X21" s="24"/>
      <c r="Y21" s="24"/>
      <c r="Z21" s="24"/>
    </row>
    <row r="22">
      <c r="A22" s="23" t="str">
        <f t="shared" si="1"/>
        <v>Team: EcoHub Design  -  Project: Sustainable Transit Facility Design</v>
      </c>
      <c r="B22" s="25" t="s">
        <v>882</v>
      </c>
      <c r="C22" s="25" t="s">
        <v>883</v>
      </c>
      <c r="D22" s="24"/>
      <c r="E22" s="24"/>
      <c r="F22" s="24"/>
      <c r="G22" s="24"/>
      <c r="H22" s="24"/>
      <c r="I22" s="24"/>
      <c r="J22" s="24"/>
      <c r="K22" s="24"/>
      <c r="L22" s="24"/>
      <c r="M22" s="24"/>
      <c r="N22" s="24"/>
      <c r="O22" s="24"/>
      <c r="P22" s="24"/>
      <c r="Q22" s="24"/>
      <c r="R22" s="24"/>
      <c r="S22" s="24"/>
      <c r="T22" s="24"/>
      <c r="U22" s="24"/>
      <c r="V22" s="24"/>
      <c r="W22" s="24"/>
      <c r="X22" s="24"/>
      <c r="Y22" s="24"/>
      <c r="Z22" s="24"/>
    </row>
    <row r="23">
      <c r="A23" s="23" t="str">
        <f t="shared" si="1"/>
        <v>Team: Burning Bad  -  Project: Biochar Oxidation</v>
      </c>
      <c r="B23" s="25" t="s">
        <v>884</v>
      </c>
      <c r="C23" s="25" t="s">
        <v>885</v>
      </c>
      <c r="D23" s="24"/>
      <c r="E23" s="24"/>
      <c r="F23" s="24"/>
      <c r="G23" s="24"/>
      <c r="H23" s="24"/>
      <c r="I23" s="24"/>
      <c r="J23" s="24"/>
      <c r="K23" s="24"/>
      <c r="L23" s="24"/>
      <c r="M23" s="24"/>
      <c r="N23" s="24"/>
      <c r="O23" s="24"/>
      <c r="P23" s="24"/>
      <c r="Q23" s="24"/>
      <c r="R23" s="24"/>
      <c r="S23" s="24"/>
      <c r="T23" s="24"/>
      <c r="U23" s="24"/>
      <c r="V23" s="24"/>
      <c r="W23" s="24"/>
      <c r="X23" s="24"/>
      <c r="Y23" s="24"/>
      <c r="Z23" s="24"/>
    </row>
    <row r="24">
      <c r="A24" s="23" t="str">
        <f t="shared" si="1"/>
        <v>Team: U-Power  -  Project: Renewable Smart Power Brick Phase 2</v>
      </c>
      <c r="B24" s="25" t="s">
        <v>886</v>
      </c>
      <c r="C24" s="25" t="s">
        <v>887</v>
      </c>
      <c r="D24" s="24"/>
      <c r="E24" s="24"/>
      <c r="F24" s="24"/>
      <c r="G24" s="24"/>
      <c r="H24" s="24"/>
      <c r="I24" s="24"/>
      <c r="J24" s="24"/>
      <c r="K24" s="24"/>
      <c r="L24" s="24"/>
      <c r="M24" s="24"/>
      <c r="N24" s="24"/>
      <c r="O24" s="24"/>
      <c r="P24" s="24"/>
      <c r="Q24" s="24"/>
      <c r="R24" s="24"/>
      <c r="S24" s="24"/>
      <c r="T24" s="24"/>
      <c r="U24" s="24"/>
      <c r="V24" s="24"/>
      <c r="W24" s="24"/>
      <c r="X24" s="24"/>
      <c r="Y24" s="24"/>
      <c r="Z24" s="24"/>
    </row>
    <row r="25">
      <c r="A25" s="23" t="str">
        <f t="shared" si="1"/>
        <v>Team: A-Team  -  Project: Tubular Drag Conveyor Cleaning System</v>
      </c>
      <c r="B25" s="25" t="s">
        <v>888</v>
      </c>
      <c r="C25" s="25" t="s">
        <v>44</v>
      </c>
      <c r="D25" s="24"/>
      <c r="E25" s="24"/>
      <c r="F25" s="24"/>
      <c r="G25" s="24"/>
      <c r="H25" s="24"/>
      <c r="I25" s="24"/>
      <c r="J25" s="24"/>
      <c r="K25" s="24"/>
      <c r="L25" s="24"/>
      <c r="M25" s="24"/>
      <c r="N25" s="24"/>
      <c r="O25" s="24"/>
      <c r="P25" s="24"/>
      <c r="Q25" s="24"/>
      <c r="R25" s="24"/>
      <c r="S25" s="24"/>
      <c r="T25" s="24"/>
      <c r="U25" s="24"/>
      <c r="V25" s="24"/>
      <c r="W25" s="24"/>
      <c r="X25" s="24"/>
      <c r="Y25" s="24"/>
      <c r="Z25" s="24"/>
    </row>
    <row r="26">
      <c r="A26" s="23" t="str">
        <f t="shared" si="1"/>
        <v>Team: Algae Busters  -  Project: Clean Dairy Water Trough Design</v>
      </c>
      <c r="B26" s="25" t="s">
        <v>889</v>
      </c>
      <c r="C26" s="25" t="s">
        <v>153</v>
      </c>
      <c r="D26" s="24"/>
      <c r="E26" s="24"/>
      <c r="F26" s="24"/>
      <c r="G26" s="24"/>
      <c r="H26" s="24"/>
      <c r="I26" s="24"/>
      <c r="J26" s="24"/>
      <c r="K26" s="24"/>
      <c r="L26" s="24"/>
      <c r="M26" s="24"/>
      <c r="N26" s="24"/>
      <c r="O26" s="24"/>
      <c r="P26" s="24"/>
      <c r="Q26" s="24"/>
      <c r="R26" s="24"/>
      <c r="S26" s="24"/>
      <c r="T26" s="24"/>
      <c r="U26" s="24"/>
      <c r="V26" s="24"/>
      <c r="W26" s="24"/>
      <c r="X26" s="24"/>
      <c r="Y26" s="24"/>
      <c r="Z26" s="24"/>
    </row>
    <row r="27">
      <c r="A27" s="23" t="str">
        <f t="shared" si="1"/>
        <v>Team: Dust Exhausters  -  Project: Dust Control Utilizing Fluid Dynamics</v>
      </c>
      <c r="B27" s="25" t="s">
        <v>890</v>
      </c>
      <c r="C27" s="25" t="s">
        <v>891</v>
      </c>
      <c r="D27" s="24"/>
      <c r="E27" s="24"/>
      <c r="F27" s="24"/>
      <c r="G27" s="24"/>
      <c r="H27" s="24"/>
      <c r="I27" s="24"/>
      <c r="J27" s="24"/>
      <c r="K27" s="24"/>
      <c r="L27" s="24"/>
      <c r="M27" s="24"/>
      <c r="N27" s="24"/>
      <c r="O27" s="24"/>
      <c r="P27" s="24"/>
      <c r="Q27" s="24"/>
      <c r="R27" s="24"/>
      <c r="S27" s="24"/>
      <c r="T27" s="24"/>
      <c r="U27" s="24"/>
      <c r="V27" s="24"/>
      <c r="W27" s="24"/>
      <c r="X27" s="24"/>
      <c r="Y27" s="24"/>
      <c r="Z27" s="24"/>
    </row>
    <row r="28">
      <c r="A28" s="23" t="str">
        <f t="shared" si="1"/>
        <v>Team: Lightweight  -  Project: Ballast Lift Assist</v>
      </c>
      <c r="B28" s="25" t="s">
        <v>892</v>
      </c>
      <c r="C28" s="25" t="s">
        <v>893</v>
      </c>
      <c r="D28" s="24"/>
      <c r="E28" s="24"/>
      <c r="F28" s="24"/>
      <c r="G28" s="24"/>
      <c r="H28" s="24"/>
      <c r="I28" s="24"/>
      <c r="J28" s="24"/>
      <c r="K28" s="24"/>
      <c r="L28" s="24"/>
      <c r="M28" s="24"/>
      <c r="N28" s="24"/>
      <c r="O28" s="24"/>
      <c r="P28" s="24"/>
      <c r="Q28" s="24"/>
      <c r="R28" s="24"/>
      <c r="S28" s="24"/>
      <c r="T28" s="24"/>
      <c r="U28" s="24"/>
      <c r="V28" s="24"/>
      <c r="W28" s="24"/>
      <c r="X28" s="24"/>
      <c r="Y28" s="24"/>
      <c r="Z28" s="24"/>
    </row>
    <row r="29">
      <c r="A29" s="23" t="str">
        <f t="shared" si="1"/>
        <v>Team: Who Caught Roger Rabbit  -  Project: Down the Squirrel Hole</v>
      </c>
      <c r="B29" s="25" t="s">
        <v>894</v>
      </c>
      <c r="C29" s="25" t="s">
        <v>877</v>
      </c>
      <c r="D29" s="24"/>
      <c r="E29" s="24"/>
      <c r="F29" s="24"/>
      <c r="G29" s="24"/>
      <c r="H29" s="24"/>
      <c r="I29" s="24"/>
      <c r="J29" s="24"/>
      <c r="K29" s="24"/>
      <c r="L29" s="24"/>
      <c r="M29" s="24"/>
      <c r="N29" s="24"/>
      <c r="O29" s="24"/>
      <c r="P29" s="24"/>
      <c r="Q29" s="24"/>
      <c r="R29" s="24"/>
      <c r="S29" s="24"/>
      <c r="T29" s="24"/>
      <c r="U29" s="24"/>
      <c r="V29" s="24"/>
      <c r="W29" s="24"/>
      <c r="X29" s="24"/>
      <c r="Y29" s="24"/>
      <c r="Z29" s="24"/>
    </row>
    <row r="30">
      <c r="A30" s="23" t="str">
        <f t="shared" si="1"/>
        <v>Team: PLR  -  Project: Patient logger reporting</v>
      </c>
      <c r="B30" s="25" t="s">
        <v>895</v>
      </c>
      <c r="C30" s="25" t="s">
        <v>879</v>
      </c>
      <c r="D30" s="24"/>
      <c r="E30" s="24"/>
      <c r="F30" s="24"/>
      <c r="G30" s="24"/>
      <c r="H30" s="24"/>
      <c r="I30" s="24"/>
      <c r="J30" s="24"/>
      <c r="K30" s="24"/>
      <c r="L30" s="24"/>
      <c r="M30" s="24"/>
      <c r="N30" s="24"/>
      <c r="O30" s="24"/>
      <c r="P30" s="24"/>
      <c r="Q30" s="24"/>
      <c r="R30" s="24"/>
      <c r="S30" s="24"/>
      <c r="T30" s="24"/>
      <c r="U30" s="24"/>
      <c r="V30" s="24"/>
      <c r="W30" s="24"/>
      <c r="X30" s="24"/>
      <c r="Y30" s="24"/>
      <c r="Z30" s="24"/>
    </row>
    <row r="31">
      <c r="A31" s="23" t="str">
        <f t="shared" si="1"/>
        <v>Team: Virtual Barriers  -  Project: Virtual Livestock Fence</v>
      </c>
      <c r="B31" s="25" t="s">
        <v>896</v>
      </c>
      <c r="C31" s="25" t="s">
        <v>881</v>
      </c>
      <c r="D31" s="24"/>
      <c r="E31" s="24"/>
      <c r="F31" s="24"/>
      <c r="G31" s="24"/>
      <c r="H31" s="24"/>
      <c r="I31" s="24"/>
      <c r="J31" s="24"/>
      <c r="K31" s="24"/>
      <c r="L31" s="24"/>
      <c r="M31" s="24"/>
      <c r="N31" s="24"/>
      <c r="O31" s="24"/>
      <c r="P31" s="24"/>
      <c r="Q31" s="24"/>
      <c r="R31" s="24"/>
      <c r="S31" s="24"/>
      <c r="T31" s="24"/>
      <c r="U31" s="24"/>
      <c r="V31" s="24"/>
      <c r="W31" s="24"/>
      <c r="X31" s="24"/>
      <c r="Y31" s="24"/>
      <c r="Z31" s="24"/>
    </row>
    <row r="32">
      <c r="A32" s="23" t="str">
        <f t="shared" si="1"/>
        <v>Team: Next Step Bobcats  -  Project: Sustainable Transit Facility Design</v>
      </c>
      <c r="B32" s="25" t="s">
        <v>897</v>
      </c>
      <c r="C32" s="25" t="s">
        <v>883</v>
      </c>
      <c r="D32" s="24"/>
      <c r="E32" s="24"/>
      <c r="F32" s="24"/>
      <c r="G32" s="24"/>
      <c r="H32" s="24"/>
      <c r="I32" s="24"/>
      <c r="J32" s="24"/>
      <c r="K32" s="24"/>
      <c r="L32" s="24"/>
      <c r="M32" s="24"/>
      <c r="N32" s="24"/>
      <c r="O32" s="24"/>
      <c r="P32" s="24"/>
      <c r="Q32" s="24"/>
      <c r="R32" s="24"/>
      <c r="S32" s="24"/>
      <c r="T32" s="24"/>
      <c r="U32" s="24"/>
      <c r="V32" s="24"/>
      <c r="W32" s="24"/>
      <c r="X32" s="24"/>
      <c r="Y32" s="24"/>
      <c r="Z32" s="24"/>
    </row>
    <row r="33">
      <c r="A33" s="23" t="str">
        <f t="shared" si="1"/>
        <v>Team: Biochar  -  Project: Biochar Oxidation</v>
      </c>
      <c r="B33" s="25" t="s">
        <v>898</v>
      </c>
      <c r="C33" s="25" t="s">
        <v>885</v>
      </c>
      <c r="D33" s="24"/>
      <c r="E33" s="24"/>
      <c r="F33" s="24"/>
      <c r="G33" s="24"/>
      <c r="H33" s="24"/>
      <c r="I33" s="24"/>
      <c r="J33" s="24"/>
      <c r="K33" s="24"/>
      <c r="L33" s="24"/>
      <c r="M33" s="24"/>
      <c r="N33" s="24"/>
      <c r="O33" s="24"/>
      <c r="P33" s="24"/>
      <c r="Q33" s="24"/>
      <c r="R33" s="24"/>
      <c r="S33" s="24"/>
      <c r="T33" s="24"/>
      <c r="U33" s="24"/>
      <c r="V33" s="24"/>
      <c r="W33" s="24"/>
      <c r="X33" s="24"/>
      <c r="Y33" s="24"/>
      <c r="Z33" s="24"/>
    </row>
    <row r="34">
      <c r="A34" s="23" t="str">
        <f t="shared" si="1"/>
        <v>Team: Rough Riders  -  Project: Adjustable Mountain Bike Seat</v>
      </c>
      <c r="B34" s="25" t="s">
        <v>899</v>
      </c>
      <c r="C34" s="25" t="s">
        <v>900</v>
      </c>
      <c r="D34" s="24"/>
      <c r="E34" s="24"/>
      <c r="F34" s="24"/>
      <c r="G34" s="24"/>
      <c r="H34" s="24"/>
      <c r="I34" s="24"/>
      <c r="J34" s="24"/>
      <c r="K34" s="24"/>
      <c r="L34" s="24"/>
      <c r="M34" s="24"/>
      <c r="N34" s="24"/>
      <c r="O34" s="24"/>
      <c r="P34" s="24"/>
      <c r="Q34" s="24"/>
      <c r="R34" s="24"/>
      <c r="S34" s="24"/>
      <c r="T34" s="24"/>
      <c r="U34" s="24"/>
      <c r="V34" s="24"/>
      <c r="W34" s="24"/>
      <c r="X34" s="24"/>
      <c r="Y34" s="24"/>
      <c r="Z34" s="24"/>
    </row>
    <row r="35">
      <c r="A35" s="23" t="str">
        <f t="shared" si="1"/>
        <v>Team: Keg lifters  -  Project: Cornelius Keg Storage Ergonomic Improvement</v>
      </c>
      <c r="B35" s="25" t="s">
        <v>901</v>
      </c>
      <c r="C35" s="25" t="s">
        <v>902</v>
      </c>
      <c r="D35" s="24"/>
      <c r="E35" s="24"/>
      <c r="F35" s="24"/>
      <c r="G35" s="24"/>
      <c r="H35" s="24"/>
      <c r="I35" s="24"/>
      <c r="J35" s="24"/>
      <c r="K35" s="24"/>
      <c r="L35" s="24"/>
      <c r="M35" s="24"/>
      <c r="N35" s="24"/>
      <c r="O35" s="24"/>
      <c r="P35" s="24"/>
      <c r="Q35" s="24"/>
      <c r="R35" s="24"/>
      <c r="S35" s="24"/>
      <c r="T35" s="24"/>
      <c r="U35" s="24"/>
      <c r="V35" s="24"/>
      <c r="W35" s="24"/>
      <c r="X35" s="24"/>
      <c r="Y35" s="24"/>
      <c r="Z35" s="24"/>
    </row>
    <row r="36">
      <c r="A36" s="23" t="str">
        <f t="shared" si="1"/>
        <v>Team: The Flow Co.  -  Project: Mesh Network Leak Detection in Drip Lines/Emission Devices</v>
      </c>
      <c r="B36" s="25" t="s">
        <v>903</v>
      </c>
      <c r="C36" s="25" t="s">
        <v>904</v>
      </c>
      <c r="D36" s="24"/>
      <c r="E36" s="24"/>
      <c r="F36" s="24"/>
      <c r="G36" s="24"/>
      <c r="H36" s="24"/>
      <c r="I36" s="24"/>
      <c r="J36" s="24"/>
      <c r="K36" s="24"/>
      <c r="L36" s="24"/>
      <c r="M36" s="24"/>
      <c r="N36" s="24"/>
      <c r="O36" s="24"/>
      <c r="P36" s="24"/>
      <c r="Q36" s="24"/>
      <c r="R36" s="24"/>
      <c r="S36" s="24"/>
      <c r="T36" s="24"/>
      <c r="U36" s="24"/>
      <c r="V36" s="24"/>
      <c r="W36" s="24"/>
      <c r="X36" s="24"/>
      <c r="Y36" s="24"/>
      <c r="Z36" s="24"/>
    </row>
    <row r="37">
      <c r="A37" s="23" t="str">
        <f t="shared" si="1"/>
        <v>Team: Pellet Containment  -  Project: Pallet containment and handling</v>
      </c>
      <c r="B37" s="25" t="s">
        <v>905</v>
      </c>
      <c r="C37" s="25" t="s">
        <v>906</v>
      </c>
      <c r="D37" s="24"/>
      <c r="E37" s="24"/>
      <c r="F37" s="24"/>
      <c r="G37" s="24"/>
      <c r="H37" s="24"/>
      <c r="I37" s="24"/>
      <c r="J37" s="24"/>
      <c r="K37" s="24"/>
      <c r="L37" s="24"/>
      <c r="M37" s="24"/>
      <c r="N37" s="24"/>
      <c r="O37" s="24"/>
      <c r="P37" s="24"/>
      <c r="Q37" s="24"/>
      <c r="R37" s="24"/>
      <c r="S37" s="24"/>
      <c r="T37" s="24"/>
      <c r="U37" s="24"/>
      <c r="V37" s="24"/>
      <c r="W37" s="24"/>
      <c r="X37" s="24"/>
      <c r="Y37" s="24"/>
      <c r="Z37" s="24"/>
    </row>
    <row r="38">
      <c r="A38" s="23" t="str">
        <f t="shared" si="1"/>
        <v>Team: Accel Solutions  -  Project: Test Bench for Sensors &amp; Harnesses</v>
      </c>
      <c r="B38" s="25" t="s">
        <v>907</v>
      </c>
      <c r="C38" s="25" t="s">
        <v>908</v>
      </c>
      <c r="D38" s="24"/>
      <c r="E38" s="24"/>
      <c r="F38" s="24"/>
      <c r="G38" s="24"/>
      <c r="H38" s="24"/>
      <c r="I38" s="24"/>
      <c r="J38" s="24"/>
      <c r="K38" s="24"/>
      <c r="L38" s="24"/>
      <c r="M38" s="24"/>
      <c r="N38" s="24"/>
      <c r="O38" s="24"/>
      <c r="P38" s="24"/>
      <c r="Q38" s="24"/>
      <c r="R38" s="24"/>
      <c r="S38" s="24"/>
      <c r="T38" s="24"/>
      <c r="U38" s="24"/>
      <c r="V38" s="24"/>
      <c r="W38" s="24"/>
      <c r="X38" s="24"/>
      <c r="Y38" s="24"/>
      <c r="Z38" s="24"/>
    </row>
    <row r="39">
      <c r="A39" s="23" t="str">
        <f t="shared" si="1"/>
        <v>Team: Hay There  -  Project: Feeding the Animals</v>
      </c>
      <c r="B39" s="25" t="s">
        <v>909</v>
      </c>
      <c r="C39" s="25" t="s">
        <v>910</v>
      </c>
      <c r="D39" s="24"/>
      <c r="E39" s="24"/>
      <c r="F39" s="24"/>
      <c r="G39" s="24"/>
      <c r="H39" s="24"/>
      <c r="I39" s="24"/>
      <c r="J39" s="24"/>
      <c r="K39" s="24"/>
      <c r="L39" s="24"/>
      <c r="M39" s="24"/>
      <c r="N39" s="24"/>
      <c r="O39" s="24"/>
      <c r="P39" s="24"/>
      <c r="Q39" s="24"/>
      <c r="R39" s="24"/>
      <c r="S39" s="24"/>
      <c r="T39" s="24"/>
      <c r="U39" s="24"/>
      <c r="V39" s="24"/>
      <c r="W39" s="24"/>
      <c r="X39" s="24"/>
      <c r="Y39" s="24"/>
      <c r="Z39" s="24"/>
    </row>
    <row r="40">
      <c r="A40" s="23" t="str">
        <f t="shared" si="1"/>
        <v>Team: #1 Team  -  Project: Cardboard Box to Cloud</v>
      </c>
      <c r="B40" s="25" t="s">
        <v>911</v>
      </c>
      <c r="C40" s="25" t="s">
        <v>912</v>
      </c>
      <c r="D40" s="24"/>
      <c r="E40" s="24"/>
      <c r="F40" s="24"/>
      <c r="G40" s="24"/>
      <c r="H40" s="24"/>
      <c r="I40" s="24"/>
      <c r="J40" s="24"/>
      <c r="K40" s="24"/>
      <c r="L40" s="24"/>
      <c r="M40" s="24"/>
      <c r="N40" s="24"/>
      <c r="O40" s="24"/>
      <c r="P40" s="24"/>
      <c r="Q40" s="24"/>
      <c r="R40" s="24"/>
      <c r="S40" s="24"/>
      <c r="T40" s="24"/>
      <c r="U40" s="24"/>
      <c r="V40" s="24"/>
      <c r="W40" s="24"/>
      <c r="X40" s="24"/>
      <c r="Y40" s="24"/>
      <c r="Z40" s="24"/>
    </row>
    <row r="41">
      <c r="A41" s="23" t="str">
        <f t="shared" si="1"/>
        <v>Team: B2C  -  Project: Cardboard Box to Cloud</v>
      </c>
      <c r="B41" s="25" t="s">
        <v>913</v>
      </c>
      <c r="C41" s="25" t="s">
        <v>912</v>
      </c>
      <c r="D41" s="24"/>
      <c r="E41" s="24"/>
      <c r="F41" s="24"/>
      <c r="G41" s="24"/>
      <c r="H41" s="24"/>
      <c r="I41" s="24"/>
      <c r="J41" s="24"/>
      <c r="K41" s="24"/>
      <c r="L41" s="24"/>
      <c r="M41" s="24"/>
      <c r="N41" s="24"/>
      <c r="O41" s="24"/>
      <c r="P41" s="24"/>
      <c r="Q41" s="24"/>
      <c r="R41" s="24"/>
      <c r="S41" s="24"/>
      <c r="T41" s="24"/>
      <c r="U41" s="24"/>
      <c r="V41" s="24"/>
      <c r="W41" s="24"/>
      <c r="X41" s="24"/>
      <c r="Y41" s="24"/>
      <c r="Z41" s="24"/>
    </row>
    <row r="42">
      <c r="A42" s="23" t="str">
        <f t="shared" si="1"/>
        <v>Team: BOXerBois  -  Project: Cardboard Box to Cloud</v>
      </c>
      <c r="B42" s="25" t="s">
        <v>914</v>
      </c>
      <c r="C42" s="25" t="s">
        <v>912</v>
      </c>
      <c r="D42" s="24"/>
      <c r="E42" s="24"/>
      <c r="F42" s="24"/>
      <c r="G42" s="24"/>
      <c r="H42" s="24"/>
      <c r="I42" s="24"/>
      <c r="J42" s="24"/>
      <c r="K42" s="24"/>
      <c r="L42" s="24"/>
      <c r="M42" s="24"/>
      <c r="N42" s="24"/>
      <c r="O42" s="24"/>
      <c r="P42" s="24"/>
      <c r="Q42" s="24"/>
      <c r="R42" s="24"/>
      <c r="S42" s="24"/>
      <c r="T42" s="24"/>
      <c r="U42" s="24"/>
      <c r="V42" s="24"/>
      <c r="W42" s="24"/>
      <c r="X42" s="24"/>
      <c r="Y42" s="24"/>
      <c r="Z42" s="24"/>
    </row>
    <row r="43">
      <c r="A43" s="23" t="str">
        <f t="shared" si="1"/>
        <v>Team: Aggy  -  Project: Pest Control Reporting</v>
      </c>
      <c r="B43" s="25" t="s">
        <v>915</v>
      </c>
      <c r="C43" s="25" t="s">
        <v>916</v>
      </c>
      <c r="D43" s="24"/>
      <c r="E43" s="24"/>
      <c r="F43" s="24"/>
      <c r="G43" s="24"/>
      <c r="H43" s="24"/>
      <c r="I43" s="24"/>
      <c r="J43" s="24"/>
      <c r="K43" s="24"/>
      <c r="L43" s="24"/>
      <c r="M43" s="24"/>
      <c r="N43" s="24"/>
      <c r="O43" s="24"/>
      <c r="P43" s="24"/>
      <c r="Q43" s="24"/>
      <c r="R43" s="24"/>
      <c r="S43" s="24"/>
      <c r="T43" s="24"/>
      <c r="U43" s="24"/>
      <c r="V43" s="24"/>
      <c r="W43" s="24"/>
      <c r="X43" s="24"/>
      <c r="Y43" s="24"/>
      <c r="Z43" s="24"/>
    </row>
    <row r="44">
      <c r="A44" s="23" t="str">
        <f t="shared" si="1"/>
        <v>Team: Verminators  -  Project: Pest Control Reporting</v>
      </c>
      <c r="B44" s="25" t="s">
        <v>917</v>
      </c>
      <c r="C44" s="25" t="s">
        <v>916</v>
      </c>
      <c r="D44" s="24"/>
      <c r="E44" s="24"/>
      <c r="F44" s="24"/>
      <c r="G44" s="24"/>
      <c r="H44" s="24"/>
      <c r="I44" s="24"/>
      <c r="J44" s="24"/>
      <c r="K44" s="24"/>
      <c r="L44" s="24"/>
      <c r="M44" s="24"/>
      <c r="N44" s="24"/>
      <c r="O44" s="24"/>
      <c r="P44" s="24"/>
      <c r="Q44" s="24"/>
      <c r="R44" s="24"/>
      <c r="S44" s="24"/>
      <c r="T44" s="24"/>
      <c r="U44" s="24"/>
      <c r="V44" s="24"/>
      <c r="W44" s="24"/>
      <c r="X44" s="24"/>
      <c r="Y44" s="24"/>
      <c r="Z44" s="24"/>
    </row>
    <row r="45">
      <c r="A45" s="23" t="str">
        <f t="shared" si="1"/>
        <v>Team: r/HydroHomies  -  Project: Water Treatment Monitoring</v>
      </c>
      <c r="B45" s="25" t="s">
        <v>918</v>
      </c>
      <c r="C45" s="25" t="s">
        <v>240</v>
      </c>
      <c r="D45" s="24"/>
      <c r="E45" s="24"/>
      <c r="F45" s="24"/>
      <c r="G45" s="24"/>
      <c r="H45" s="24"/>
      <c r="I45" s="24"/>
      <c r="J45" s="24"/>
      <c r="K45" s="24"/>
      <c r="L45" s="24"/>
      <c r="M45" s="24"/>
      <c r="N45" s="24"/>
      <c r="O45" s="24"/>
      <c r="P45" s="24"/>
      <c r="Q45" s="24"/>
      <c r="R45" s="24"/>
      <c r="S45" s="24"/>
      <c r="T45" s="24"/>
      <c r="U45" s="24"/>
      <c r="V45" s="24"/>
      <c r="W45" s="24"/>
      <c r="X45" s="24"/>
      <c r="Y45" s="24"/>
      <c r="Z45" s="24"/>
    </row>
    <row r="46">
      <c r="A46" s="23" t="str">
        <f t="shared" si="1"/>
        <v>Team: Water Boys  -  Project: Water Treatment Monitoring</v>
      </c>
      <c r="B46" s="25" t="s">
        <v>919</v>
      </c>
      <c r="C46" s="25" t="s">
        <v>240</v>
      </c>
      <c r="D46" s="24"/>
      <c r="E46" s="24"/>
      <c r="F46" s="24"/>
      <c r="G46" s="24"/>
      <c r="H46" s="24"/>
      <c r="I46" s="24"/>
      <c r="J46" s="24"/>
      <c r="K46" s="24"/>
      <c r="L46" s="24"/>
      <c r="M46" s="24"/>
      <c r="N46" s="24"/>
      <c r="O46" s="24"/>
      <c r="P46" s="24"/>
      <c r="Q46" s="24"/>
      <c r="R46" s="24"/>
      <c r="S46" s="24"/>
      <c r="T46" s="24"/>
      <c r="U46" s="24"/>
      <c r="V46" s="24"/>
      <c r="W46" s="24"/>
      <c r="X46" s="24"/>
      <c r="Y46" s="24"/>
      <c r="Z46" s="24"/>
    </row>
    <row r="47">
      <c r="A47" s="23" t="str">
        <f t="shared" si="1"/>
        <v>Team: RobotWatch  -  Project: Service Reminder Application for Industrial and Mobile Robots</v>
      </c>
      <c r="B47" s="25" t="s">
        <v>920</v>
      </c>
      <c r="C47" s="25" t="s">
        <v>921</v>
      </c>
      <c r="D47" s="24"/>
      <c r="E47" s="24"/>
      <c r="F47" s="24"/>
      <c r="G47" s="24"/>
      <c r="H47" s="24"/>
      <c r="I47" s="24"/>
      <c r="J47" s="24"/>
      <c r="K47" s="24"/>
      <c r="L47" s="24"/>
      <c r="M47" s="24"/>
      <c r="N47" s="24"/>
      <c r="O47" s="24"/>
      <c r="P47" s="24"/>
      <c r="Q47" s="24"/>
      <c r="R47" s="24"/>
      <c r="S47" s="24"/>
      <c r="T47" s="24"/>
      <c r="U47" s="24"/>
      <c r="V47" s="24"/>
      <c r="W47" s="24"/>
      <c r="X47" s="24"/>
      <c r="Y47" s="24"/>
      <c r="Z47" s="24"/>
    </row>
    <row r="48">
      <c r="A48" s="23" t="str">
        <f t="shared" si="1"/>
        <v>Team: Pit Stop  -  Project: Service Reminder Application for Industrial and Mobile Robots</v>
      </c>
      <c r="B48" s="25" t="s">
        <v>922</v>
      </c>
      <c r="C48" s="25" t="s">
        <v>921</v>
      </c>
      <c r="D48" s="24"/>
      <c r="E48" s="24"/>
      <c r="F48" s="24"/>
      <c r="G48" s="24"/>
      <c r="H48" s="24"/>
      <c r="I48" s="24"/>
      <c r="J48" s="24"/>
      <c r="K48" s="24"/>
      <c r="L48" s="24"/>
      <c r="M48" s="24"/>
      <c r="N48" s="24"/>
      <c r="O48" s="24"/>
      <c r="P48" s="24"/>
      <c r="Q48" s="24"/>
      <c r="R48" s="24"/>
      <c r="S48" s="24"/>
      <c r="T48" s="24"/>
      <c r="U48" s="24"/>
      <c r="V48" s="24"/>
      <c r="W48" s="24"/>
      <c r="X48" s="24"/>
      <c r="Y48" s="24"/>
      <c r="Z48" s="24"/>
    </row>
    <row r="49">
      <c r="A49" s="23" t="str">
        <f t="shared" si="1"/>
        <v>Team: At Your Service  -  Project: Service Reminder Application for Industrial and Mobile Robots</v>
      </c>
      <c r="B49" s="25" t="s">
        <v>923</v>
      </c>
      <c r="C49" s="25" t="s">
        <v>921</v>
      </c>
      <c r="D49" s="24"/>
      <c r="E49" s="24"/>
      <c r="F49" s="24"/>
      <c r="G49" s="24"/>
      <c r="H49" s="24"/>
      <c r="I49" s="24"/>
      <c r="J49" s="24"/>
      <c r="K49" s="24"/>
      <c r="L49" s="24"/>
      <c r="M49" s="24"/>
      <c r="N49" s="24"/>
      <c r="O49" s="24"/>
      <c r="P49" s="24"/>
      <c r="Q49" s="24"/>
      <c r="R49" s="24"/>
      <c r="S49" s="24"/>
      <c r="T49" s="24"/>
      <c r="U49" s="24"/>
      <c r="V49" s="24"/>
      <c r="W49" s="24"/>
      <c r="X49" s="24"/>
      <c r="Y49" s="24"/>
      <c r="Z49" s="24"/>
    </row>
    <row r="50">
      <c r="A50" s="23" t="str">
        <f t="shared" si="1"/>
        <v>Team: Agri Tab  -  Project: Customizable Views of Ag-gregated Data</v>
      </c>
      <c r="B50" s="25" t="s">
        <v>924</v>
      </c>
      <c r="C50" s="25" t="s">
        <v>925</v>
      </c>
      <c r="D50" s="24"/>
      <c r="E50" s="24"/>
      <c r="F50" s="24"/>
      <c r="G50" s="24"/>
      <c r="H50" s="24"/>
      <c r="I50" s="24"/>
      <c r="J50" s="24"/>
      <c r="K50" s="24"/>
      <c r="L50" s="24"/>
      <c r="M50" s="24"/>
      <c r="N50" s="24"/>
      <c r="O50" s="24"/>
      <c r="P50" s="24"/>
      <c r="Q50" s="24"/>
      <c r="R50" s="24"/>
      <c r="S50" s="24"/>
      <c r="T50" s="24"/>
      <c r="U50" s="24"/>
      <c r="V50" s="24"/>
      <c r="W50" s="24"/>
      <c r="X50" s="24"/>
      <c r="Y50" s="24"/>
      <c r="Z50" s="24"/>
    </row>
    <row r="51">
      <c r="A51" s="23" t="str">
        <f t="shared" si="1"/>
        <v>Team: BLART (BListeringly fAst Rendered Tables)  -  Project: Customizable Views of Ag-gregated Data</v>
      </c>
      <c r="B51" s="25" t="s">
        <v>926</v>
      </c>
      <c r="C51" s="25" t="s">
        <v>925</v>
      </c>
      <c r="D51" s="24"/>
      <c r="E51" s="24"/>
      <c r="F51" s="24"/>
      <c r="G51" s="24"/>
      <c r="H51" s="24"/>
      <c r="I51" s="24"/>
      <c r="J51" s="24"/>
      <c r="K51" s="24"/>
      <c r="L51" s="24"/>
      <c r="M51" s="24"/>
      <c r="N51" s="24"/>
      <c r="O51" s="24"/>
      <c r="P51" s="24"/>
      <c r="Q51" s="24"/>
      <c r="R51" s="24"/>
      <c r="S51" s="24"/>
      <c r="T51" s="24"/>
      <c r="U51" s="24"/>
      <c r="V51" s="24"/>
      <c r="W51" s="24"/>
      <c r="X51" s="24"/>
      <c r="Y51" s="24"/>
      <c r="Z51" s="24"/>
    </row>
    <row r="52">
      <c r="A52" s="23" t="str">
        <f t="shared" si="1"/>
        <v>Team: DataFarm  -  Project: Customizable Views of Ag-gregated Data</v>
      </c>
      <c r="B52" s="25" t="s">
        <v>927</v>
      </c>
      <c r="C52" s="25" t="s">
        <v>925</v>
      </c>
      <c r="D52" s="24"/>
      <c r="E52" s="24"/>
      <c r="F52" s="24"/>
      <c r="G52" s="24"/>
      <c r="H52" s="24"/>
      <c r="I52" s="24"/>
      <c r="J52" s="24"/>
      <c r="K52" s="24"/>
      <c r="L52" s="24"/>
      <c r="M52" s="24"/>
      <c r="N52" s="24"/>
      <c r="O52" s="24"/>
      <c r="P52" s="24"/>
      <c r="Q52" s="24"/>
      <c r="R52" s="24"/>
      <c r="S52" s="24"/>
      <c r="T52" s="24"/>
      <c r="U52" s="24"/>
      <c r="V52" s="24"/>
      <c r="W52" s="24"/>
      <c r="X52" s="24"/>
      <c r="Y52" s="24"/>
      <c r="Z52" s="24"/>
    </row>
    <row r="53">
      <c r="A53" s="23" t="str">
        <f t="shared" si="1"/>
        <v>Team: Volunteer Hero  -  Project: UWMC's Volunteer Here</v>
      </c>
      <c r="B53" s="25" t="s">
        <v>928</v>
      </c>
      <c r="C53" s="25" t="s">
        <v>929</v>
      </c>
      <c r="D53" s="24"/>
      <c r="E53" s="24"/>
      <c r="F53" s="24"/>
      <c r="G53" s="24"/>
      <c r="H53" s="24"/>
      <c r="I53" s="24"/>
      <c r="J53" s="24"/>
      <c r="K53" s="24"/>
      <c r="L53" s="24"/>
      <c r="M53" s="24"/>
      <c r="N53" s="24"/>
      <c r="O53" s="24"/>
      <c r="P53" s="24"/>
      <c r="Q53" s="24"/>
      <c r="R53" s="24"/>
      <c r="S53" s="24"/>
      <c r="T53" s="24"/>
      <c r="U53" s="24"/>
      <c r="V53" s="24"/>
      <c r="W53" s="24"/>
      <c r="X53" s="24"/>
      <c r="Y53" s="24"/>
      <c r="Z53" s="24"/>
    </row>
    <row r="54">
      <c r="A54" s="23" t="str">
        <f t="shared" si="1"/>
        <v>Team: Discover Help  -  Project: UWMC's Volunteer Here</v>
      </c>
      <c r="B54" s="25" t="s">
        <v>930</v>
      </c>
      <c r="C54" s="25" t="s">
        <v>929</v>
      </c>
      <c r="D54" s="24"/>
      <c r="E54" s="24"/>
      <c r="F54" s="24"/>
      <c r="G54" s="24"/>
      <c r="H54" s="24"/>
      <c r="I54" s="24"/>
      <c r="J54" s="24"/>
      <c r="K54" s="24"/>
      <c r="L54" s="24"/>
      <c r="M54" s="24"/>
      <c r="N54" s="24"/>
      <c r="O54" s="24"/>
      <c r="P54" s="24"/>
      <c r="Q54" s="24"/>
      <c r="R54" s="24"/>
      <c r="S54" s="24"/>
      <c r="T54" s="24"/>
      <c r="U54" s="24"/>
      <c r="V54" s="24"/>
      <c r="W54" s="24"/>
      <c r="X54" s="24"/>
      <c r="Y54" s="24"/>
      <c r="Z54" s="24"/>
    </row>
    <row r="55">
      <c r="A55" s="23" t="str">
        <f t="shared" si="1"/>
        <v>Team: I2V  -  Project: UWMC's Volunteer Here</v>
      </c>
      <c r="B55" s="25" t="s">
        <v>931</v>
      </c>
      <c r="C55" s="25" t="s">
        <v>929</v>
      </c>
      <c r="D55" s="24"/>
      <c r="E55" s="24"/>
      <c r="F55" s="24"/>
      <c r="G55" s="24"/>
      <c r="H55" s="24"/>
      <c r="I55" s="24"/>
      <c r="J55" s="24"/>
      <c r="K55" s="24"/>
      <c r="L55" s="24"/>
      <c r="M55" s="24"/>
      <c r="N55" s="24"/>
      <c r="O55" s="24"/>
      <c r="P55" s="24"/>
      <c r="Q55" s="24"/>
      <c r="R55" s="24"/>
      <c r="S55" s="24"/>
      <c r="T55" s="24"/>
      <c r="U55" s="24"/>
      <c r="V55" s="24"/>
      <c r="W55" s="24"/>
      <c r="X55" s="24"/>
      <c r="Y55" s="24"/>
      <c r="Z55" s="24"/>
    </row>
    <row r="56">
      <c r="A56" s="23" t="str">
        <f t="shared" si="1"/>
        <v>Team: Bart Central Valley Express  -  Project: Virtual Substation</v>
      </c>
      <c r="B56" s="25" t="s">
        <v>932</v>
      </c>
      <c r="C56" s="25" t="s">
        <v>933</v>
      </c>
      <c r="D56" s="24"/>
      <c r="E56" s="24"/>
      <c r="F56" s="24"/>
      <c r="G56" s="24"/>
      <c r="H56" s="24"/>
      <c r="I56" s="24"/>
      <c r="J56" s="24"/>
      <c r="K56" s="24"/>
      <c r="L56" s="24"/>
      <c r="M56" s="24"/>
      <c r="N56" s="24"/>
      <c r="O56" s="24"/>
      <c r="P56" s="24"/>
      <c r="Q56" s="24"/>
      <c r="R56" s="24"/>
      <c r="S56" s="24"/>
      <c r="T56" s="24"/>
      <c r="U56" s="24"/>
      <c r="V56" s="24"/>
      <c r="W56" s="24"/>
      <c r="X56" s="24"/>
      <c r="Y56" s="24"/>
      <c r="Z56" s="24"/>
    </row>
    <row r="57">
      <c r="A57" s="23" t="str">
        <f t="shared" si="1"/>
        <v>Team: Over 9000 Amps  -  Project: Virtual Substation</v>
      </c>
      <c r="B57" s="25" t="s">
        <v>934</v>
      </c>
      <c r="C57" s="25" t="s">
        <v>933</v>
      </c>
      <c r="D57" s="24"/>
      <c r="E57" s="24"/>
      <c r="F57" s="24"/>
      <c r="G57" s="24"/>
      <c r="H57" s="24"/>
      <c r="I57" s="24"/>
      <c r="J57" s="24"/>
      <c r="K57" s="24"/>
      <c r="L57" s="24"/>
      <c r="M57" s="24"/>
      <c r="N57" s="24"/>
      <c r="O57" s="24"/>
      <c r="P57" s="24"/>
      <c r="Q57" s="24"/>
      <c r="R57" s="24"/>
      <c r="S57" s="24"/>
      <c r="T57" s="24"/>
      <c r="U57" s="24"/>
      <c r="V57" s="24"/>
      <c r="W57" s="24"/>
      <c r="X57" s="24"/>
      <c r="Y57" s="24"/>
      <c r="Z57" s="24"/>
    </row>
    <row r="58">
      <c r="A58" s="23" t="str">
        <f t="shared" si="1"/>
        <v>Team: Battery Guys  -  Project: Automated Battery Monitoring for Life Safety Assets</v>
      </c>
      <c r="B58" s="25" t="s">
        <v>935</v>
      </c>
      <c r="C58" s="25" t="s">
        <v>936</v>
      </c>
      <c r="D58" s="24"/>
      <c r="E58" s="24"/>
      <c r="F58" s="24"/>
      <c r="G58" s="24"/>
      <c r="H58" s="24"/>
      <c r="I58" s="24"/>
      <c r="J58" s="24"/>
      <c r="K58" s="24"/>
      <c r="L58" s="24"/>
      <c r="M58" s="24"/>
      <c r="N58" s="24"/>
      <c r="O58" s="24"/>
      <c r="P58" s="24"/>
      <c r="Q58" s="24"/>
      <c r="R58" s="24"/>
      <c r="S58" s="24"/>
      <c r="T58" s="24"/>
      <c r="U58" s="24"/>
      <c r="V58" s="24"/>
      <c r="W58" s="24"/>
      <c r="X58" s="24"/>
      <c r="Y58" s="24"/>
      <c r="Z58" s="24"/>
    </row>
    <row r="59">
      <c r="A59" s="23" t="str">
        <f t="shared" si="1"/>
        <v>Team: Batteryzilla  -  Project: Automated Battery Monitoring for Life Safety Assets</v>
      </c>
      <c r="B59" s="25" t="s">
        <v>937</v>
      </c>
      <c r="C59" s="25" t="s">
        <v>936</v>
      </c>
      <c r="D59" s="24"/>
      <c r="E59" s="24"/>
      <c r="F59" s="24"/>
      <c r="G59" s="24"/>
      <c r="H59" s="24"/>
      <c r="I59" s="24"/>
      <c r="J59" s="24"/>
      <c r="K59" s="24"/>
      <c r="L59" s="24"/>
      <c r="M59" s="24"/>
      <c r="N59" s="24"/>
      <c r="O59" s="24"/>
      <c r="P59" s="24"/>
      <c r="Q59" s="24"/>
      <c r="R59" s="24"/>
      <c r="S59" s="24"/>
      <c r="T59" s="24"/>
      <c r="U59" s="24"/>
      <c r="V59" s="24"/>
      <c r="W59" s="24"/>
      <c r="X59" s="24"/>
      <c r="Y59" s="24"/>
      <c r="Z59" s="24"/>
    </row>
    <row r="60">
      <c r="A60" s="23" t="str">
        <f t="shared" si="1"/>
        <v>Team: Spark De Triomphe  -  Project: Automated Battery Monitoring for Life Safety Assets</v>
      </c>
      <c r="B60" s="25" t="s">
        <v>938</v>
      </c>
      <c r="C60" s="25" t="s">
        <v>936</v>
      </c>
      <c r="D60" s="24"/>
      <c r="E60" s="24"/>
      <c r="F60" s="24"/>
      <c r="G60" s="24"/>
      <c r="H60" s="24"/>
      <c r="I60" s="24"/>
      <c r="J60" s="24"/>
      <c r="K60" s="24"/>
      <c r="L60" s="24"/>
      <c r="M60" s="24"/>
      <c r="N60" s="24"/>
      <c r="O60" s="24"/>
      <c r="P60" s="24"/>
      <c r="Q60" s="24"/>
      <c r="R60" s="24"/>
      <c r="S60" s="24"/>
      <c r="T60" s="24"/>
      <c r="U60" s="24"/>
      <c r="V60" s="24"/>
      <c r="W60" s="24"/>
      <c r="X60" s="24"/>
      <c r="Y60" s="24"/>
      <c r="Z60" s="24"/>
    </row>
    <row r="61">
      <c r="A61" s="23" t="str">
        <f t="shared" si="1"/>
        <v>Team: Team GGs  -  Project: Patient logger environment</v>
      </c>
      <c r="B61" s="25" t="s">
        <v>939</v>
      </c>
      <c r="C61" s="25" t="s">
        <v>940</v>
      </c>
      <c r="D61" s="24"/>
      <c r="E61" s="24"/>
      <c r="F61" s="24"/>
      <c r="G61" s="24"/>
      <c r="H61" s="24"/>
      <c r="I61" s="24"/>
      <c r="J61" s="24"/>
      <c r="K61" s="24"/>
      <c r="L61" s="24"/>
      <c r="M61" s="24"/>
      <c r="N61" s="24"/>
      <c r="O61" s="24"/>
      <c r="P61" s="24"/>
      <c r="Q61" s="24"/>
      <c r="R61" s="24"/>
      <c r="S61" s="24"/>
      <c r="T61" s="24"/>
      <c r="U61" s="24"/>
      <c r="V61" s="24"/>
      <c r="W61" s="24"/>
      <c r="X61" s="24"/>
      <c r="Y61" s="24"/>
      <c r="Z61" s="24"/>
    </row>
    <row r="62">
      <c r="A62" s="23" t="str">
        <f t="shared" si="1"/>
        <v>Team: PatientLog  -  Project: Patient logger environment</v>
      </c>
      <c r="B62" s="25" t="s">
        <v>941</v>
      </c>
      <c r="C62" s="25" t="s">
        <v>940</v>
      </c>
      <c r="D62" s="24"/>
      <c r="E62" s="24"/>
      <c r="F62" s="24"/>
      <c r="G62" s="24"/>
      <c r="H62" s="24"/>
      <c r="I62" s="24"/>
      <c r="J62" s="24"/>
      <c r="K62" s="24"/>
      <c r="L62" s="24"/>
      <c r="M62" s="24"/>
      <c r="N62" s="24"/>
      <c r="O62" s="24"/>
      <c r="P62" s="24"/>
      <c r="Q62" s="24"/>
      <c r="R62" s="24"/>
      <c r="S62" s="24"/>
      <c r="T62" s="24"/>
      <c r="U62" s="24"/>
      <c r="V62" s="24"/>
      <c r="W62" s="24"/>
      <c r="X62" s="24"/>
      <c r="Y62" s="24"/>
      <c r="Z62" s="24"/>
    </row>
    <row r="63">
      <c r="A63" s="23" t="str">
        <f t="shared" si="1"/>
        <v>Team: Glide Away  -  Project: Docker Based On-Premises Modbus/Bacnet Server</v>
      </c>
      <c r="B63" s="25" t="s">
        <v>942</v>
      </c>
      <c r="C63" s="25" t="s">
        <v>943</v>
      </c>
      <c r="D63" s="24"/>
      <c r="E63" s="24"/>
      <c r="F63" s="24"/>
      <c r="G63" s="24"/>
      <c r="H63" s="24"/>
      <c r="I63" s="24"/>
      <c r="J63" s="24"/>
      <c r="K63" s="24"/>
      <c r="L63" s="24"/>
      <c r="M63" s="24"/>
      <c r="N63" s="24"/>
      <c r="O63" s="24"/>
      <c r="P63" s="24"/>
      <c r="Q63" s="24"/>
      <c r="R63" s="24"/>
      <c r="S63" s="24"/>
      <c r="T63" s="24"/>
      <c r="U63" s="24"/>
      <c r="V63" s="24"/>
      <c r="W63" s="24"/>
      <c r="X63" s="24"/>
      <c r="Y63" s="24"/>
      <c r="Z63" s="24"/>
    </row>
    <row r="64">
      <c r="A64" s="23" t="str">
        <f t="shared" si="1"/>
        <v>Team: Docker Crew  -  Project: Docker Based On-Premises Modbus/Bacnet Server</v>
      </c>
      <c r="B64" s="25" t="s">
        <v>944</v>
      </c>
      <c r="C64" s="25" t="s">
        <v>943</v>
      </c>
      <c r="D64" s="24"/>
      <c r="E64" s="24"/>
      <c r="F64" s="24"/>
      <c r="G64" s="24"/>
      <c r="H64" s="24"/>
      <c r="I64" s="24"/>
      <c r="J64" s="24"/>
      <c r="K64" s="24"/>
      <c r="L64" s="24"/>
      <c r="M64" s="24"/>
      <c r="N64" s="24"/>
      <c r="O64" s="24"/>
      <c r="P64" s="24"/>
      <c r="Q64" s="24"/>
      <c r="R64" s="24"/>
      <c r="S64" s="24"/>
      <c r="T64" s="24"/>
      <c r="U64" s="24"/>
      <c r="V64" s="24"/>
      <c r="W64" s="24"/>
      <c r="X64" s="24"/>
      <c r="Y64" s="24"/>
      <c r="Z64" s="24"/>
    </row>
    <row r="65">
      <c r="A65" s="23" t="str">
        <f t="shared" si="1"/>
        <v>Team: Sweep Store  -  Project: Secure Realtime DB Import Desktop App</v>
      </c>
      <c r="B65" s="25" t="s">
        <v>945</v>
      </c>
      <c r="C65" s="25" t="s">
        <v>946</v>
      </c>
      <c r="D65" s="24"/>
      <c r="E65" s="24"/>
      <c r="F65" s="24"/>
      <c r="G65" s="24"/>
      <c r="H65" s="24"/>
      <c r="I65" s="24"/>
      <c r="J65" s="24"/>
      <c r="K65" s="24"/>
      <c r="L65" s="24"/>
      <c r="M65" s="24"/>
      <c r="N65" s="24"/>
      <c r="O65" s="24"/>
      <c r="P65" s="24"/>
      <c r="Q65" s="24"/>
      <c r="R65" s="24"/>
      <c r="S65" s="24"/>
      <c r="T65" s="24"/>
      <c r="U65" s="24"/>
      <c r="V65" s="24"/>
      <c r="W65" s="24"/>
      <c r="X65" s="24"/>
      <c r="Y65" s="24"/>
      <c r="Z65" s="24"/>
    </row>
    <row r="66">
      <c r="A66" s="23" t="str">
        <f t="shared" si="1"/>
        <v>Team: Proton Import  -  Project: Secure Realtime DB Import Desktop App</v>
      </c>
      <c r="B66" s="25" t="s">
        <v>947</v>
      </c>
      <c r="C66" s="25" t="s">
        <v>946</v>
      </c>
      <c r="D66" s="24"/>
      <c r="E66" s="24"/>
      <c r="F66" s="24"/>
      <c r="G66" s="24"/>
      <c r="H66" s="24"/>
      <c r="I66" s="24"/>
      <c r="J66" s="24"/>
      <c r="K66" s="24"/>
      <c r="L66" s="24"/>
      <c r="M66" s="24"/>
      <c r="N66" s="24"/>
      <c r="O66" s="24"/>
      <c r="P66" s="24"/>
      <c r="Q66" s="24"/>
      <c r="R66" s="24"/>
      <c r="S66" s="24"/>
      <c r="T66" s="24"/>
      <c r="U66" s="24"/>
      <c r="V66" s="24"/>
      <c r="W66" s="24"/>
      <c r="X66" s="24"/>
      <c r="Y66" s="24"/>
      <c r="Z66" s="24"/>
    </row>
    <row r="67">
      <c r="A67" s="23" t="str">
        <f t="shared" si="1"/>
        <v>Team: Italian Grey Wolves  -  Project: Database front-end app</v>
      </c>
      <c r="B67" s="25" t="s">
        <v>948</v>
      </c>
      <c r="C67" s="25" t="s">
        <v>949</v>
      </c>
      <c r="D67" s="24"/>
      <c r="E67" s="24"/>
      <c r="F67" s="24"/>
      <c r="G67" s="24"/>
      <c r="H67" s="24"/>
      <c r="I67" s="24"/>
      <c r="J67" s="24"/>
      <c r="K67" s="24"/>
      <c r="L67" s="24"/>
      <c r="M67" s="24"/>
      <c r="N67" s="24"/>
      <c r="O67" s="24"/>
      <c r="P67" s="24"/>
      <c r="Q67" s="24"/>
      <c r="R67" s="24"/>
      <c r="S67" s="24"/>
      <c r="T67" s="24"/>
      <c r="U67" s="24"/>
      <c r="V67" s="24"/>
      <c r="W67" s="24"/>
      <c r="X67" s="24"/>
      <c r="Y67" s="24"/>
      <c r="Z67" s="24"/>
    </row>
    <row r="68">
      <c r="A68" s="23" t="str">
        <f t="shared" si="1"/>
        <v>Team: DataStack  -  Project: Database front-end app</v>
      </c>
      <c r="B68" s="25" t="s">
        <v>950</v>
      </c>
      <c r="C68" s="25" t="s">
        <v>949</v>
      </c>
      <c r="D68" s="24"/>
      <c r="E68" s="24"/>
      <c r="F68" s="24"/>
      <c r="G68" s="24"/>
      <c r="H68" s="24"/>
      <c r="I68" s="24"/>
      <c r="J68" s="24"/>
      <c r="K68" s="24"/>
      <c r="L68" s="24"/>
      <c r="M68" s="24"/>
      <c r="N68" s="24"/>
      <c r="O68" s="24"/>
      <c r="P68" s="24"/>
      <c r="Q68" s="24"/>
      <c r="R68" s="24"/>
      <c r="S68" s="24"/>
      <c r="T68" s="24"/>
      <c r="U68" s="24"/>
      <c r="V68" s="24"/>
      <c r="W68" s="24"/>
      <c r="X68" s="24"/>
      <c r="Y68" s="24"/>
      <c r="Z68" s="24"/>
    </row>
    <row r="69">
      <c r="A69" s="23" t="str">
        <f t="shared" si="1"/>
        <v>Team: Wings  -  Project: Database front-end app</v>
      </c>
      <c r="B69" s="25" t="s">
        <v>951</v>
      </c>
      <c r="C69" s="25" t="s">
        <v>949</v>
      </c>
      <c r="D69" s="24"/>
      <c r="E69" s="24"/>
      <c r="F69" s="24"/>
      <c r="G69" s="24"/>
      <c r="H69" s="24"/>
      <c r="I69" s="24"/>
      <c r="J69" s="24"/>
      <c r="K69" s="24"/>
      <c r="L69" s="24"/>
      <c r="M69" s="24"/>
      <c r="N69" s="24"/>
      <c r="O69" s="24"/>
      <c r="P69" s="24"/>
      <c r="Q69" s="24"/>
      <c r="R69" s="24"/>
      <c r="S69" s="24"/>
      <c r="T69" s="24"/>
      <c r="U69" s="24"/>
      <c r="V69" s="24"/>
      <c r="W69" s="24"/>
      <c r="X69" s="24"/>
      <c r="Y69" s="24"/>
      <c r="Z69" s="24"/>
    </row>
    <row r="70">
      <c r="A70" s="23" t="str">
        <f t="shared" si="1"/>
        <v>Team: Permafrost  -  Project: Permafrost</v>
      </c>
      <c r="B70" s="25" t="s">
        <v>952</v>
      </c>
      <c r="C70" s="25" t="s">
        <v>952</v>
      </c>
      <c r="D70" s="24"/>
      <c r="E70" s="24"/>
      <c r="F70" s="24"/>
      <c r="G70" s="24"/>
      <c r="H70" s="24"/>
      <c r="I70" s="24"/>
      <c r="J70" s="24"/>
      <c r="K70" s="24"/>
      <c r="L70" s="24"/>
      <c r="M70" s="24"/>
      <c r="N70" s="24"/>
      <c r="O70" s="24"/>
      <c r="P70" s="24"/>
      <c r="Q70" s="24"/>
      <c r="R70" s="24"/>
      <c r="S70" s="24"/>
      <c r="T70" s="24"/>
      <c r="U70" s="24"/>
      <c r="V70" s="24"/>
      <c r="W70" s="24"/>
      <c r="X70" s="24"/>
      <c r="Y70" s="24"/>
      <c r="Z70" s="24"/>
    </row>
    <row r="71">
      <c r="A71" s="23" t="str">
        <f t="shared" si="1"/>
        <v>Team: Connecting Communities  -  Project: Connecting Communities</v>
      </c>
      <c r="B71" s="25" t="s">
        <v>953</v>
      </c>
      <c r="C71" s="25" t="s">
        <v>953</v>
      </c>
      <c r="D71" s="24"/>
      <c r="E71" s="24"/>
      <c r="F71" s="24"/>
      <c r="G71" s="24"/>
      <c r="H71" s="24"/>
      <c r="I71" s="24"/>
      <c r="J71" s="24"/>
      <c r="K71" s="24"/>
      <c r="L71" s="24"/>
      <c r="M71" s="24"/>
      <c r="N71" s="24"/>
      <c r="O71" s="24"/>
      <c r="P71" s="24"/>
      <c r="Q71" s="24"/>
      <c r="R71" s="24"/>
      <c r="S71" s="24"/>
      <c r="T71" s="24"/>
      <c r="U71" s="24"/>
      <c r="V71" s="24"/>
      <c r="W71" s="24"/>
      <c r="X71" s="24"/>
      <c r="Y71" s="24"/>
      <c r="Z71" s="24"/>
    </row>
    <row r="72">
      <c r="A72" s="23"/>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3"/>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3"/>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7.13"/>
    <col customWidth="1" min="3" max="3" width="38.38"/>
    <col customWidth="1" min="6" max="6" width="46.88"/>
  </cols>
  <sheetData>
    <row r="1">
      <c r="A1" s="27" t="s">
        <v>12</v>
      </c>
      <c r="B1" s="27">
        <v>101.0</v>
      </c>
      <c r="C1" s="27" t="s">
        <v>81</v>
      </c>
      <c r="D1" s="11"/>
      <c r="E1" s="11"/>
      <c r="F1" s="11"/>
      <c r="G1" s="11"/>
      <c r="H1" s="11"/>
      <c r="I1" s="11"/>
      <c r="J1" s="11"/>
      <c r="K1" s="11"/>
      <c r="L1" s="11"/>
      <c r="M1" s="11"/>
      <c r="N1" s="11"/>
      <c r="O1" s="11"/>
      <c r="P1" s="11"/>
      <c r="Q1" s="11"/>
      <c r="R1" s="11"/>
      <c r="S1" s="11"/>
      <c r="T1" s="11"/>
      <c r="U1" s="11"/>
      <c r="V1" s="11"/>
      <c r="W1" s="11"/>
      <c r="X1" s="11"/>
      <c r="Y1" s="11"/>
      <c r="Z1" s="11"/>
    </row>
    <row r="2">
      <c r="A2" s="27" t="s">
        <v>12</v>
      </c>
      <c r="B2" s="27">
        <v>102.0</v>
      </c>
      <c r="C2" s="27" t="s">
        <v>45</v>
      </c>
      <c r="D2" s="11"/>
      <c r="E2" s="11"/>
      <c r="F2" s="11"/>
      <c r="G2" s="11"/>
      <c r="H2" s="11"/>
      <c r="I2" s="11"/>
      <c r="J2" s="11"/>
      <c r="K2" s="11"/>
      <c r="L2" s="11"/>
      <c r="M2" s="11"/>
      <c r="N2" s="11"/>
      <c r="O2" s="11"/>
      <c r="P2" s="11"/>
      <c r="Q2" s="11"/>
      <c r="R2" s="11"/>
      <c r="S2" s="11"/>
      <c r="T2" s="11"/>
      <c r="U2" s="11"/>
      <c r="V2" s="11"/>
      <c r="W2" s="11"/>
      <c r="X2" s="11"/>
      <c r="Y2" s="11"/>
      <c r="Z2" s="11"/>
    </row>
    <row r="3">
      <c r="A3" s="27" t="s">
        <v>12</v>
      </c>
      <c r="B3" s="27">
        <v>103.0</v>
      </c>
      <c r="C3" s="27" t="s">
        <v>75</v>
      </c>
      <c r="D3" s="11"/>
      <c r="E3" s="11"/>
      <c r="F3" s="11"/>
      <c r="G3" s="11"/>
      <c r="H3" s="11"/>
      <c r="I3" s="11"/>
      <c r="J3" s="11"/>
      <c r="K3" s="11"/>
      <c r="L3" s="11"/>
      <c r="M3" s="11"/>
      <c r="N3" s="11"/>
      <c r="O3" s="11"/>
      <c r="P3" s="11"/>
      <c r="Q3" s="11"/>
      <c r="R3" s="11"/>
      <c r="S3" s="11"/>
      <c r="T3" s="11"/>
      <c r="U3" s="11"/>
      <c r="V3" s="11"/>
      <c r="W3" s="11"/>
      <c r="X3" s="11"/>
      <c r="Y3" s="11"/>
      <c r="Z3" s="11"/>
    </row>
    <row r="4">
      <c r="A4" s="27" t="s">
        <v>12</v>
      </c>
      <c r="B4" s="27">
        <v>104.0</v>
      </c>
      <c r="C4" s="27" t="s">
        <v>147</v>
      </c>
      <c r="D4" s="11"/>
      <c r="E4" s="11"/>
      <c r="F4" s="11"/>
      <c r="G4" s="11"/>
      <c r="H4" s="11"/>
      <c r="I4" s="11"/>
      <c r="J4" s="11"/>
      <c r="K4" s="11"/>
      <c r="L4" s="11"/>
      <c r="M4" s="11"/>
      <c r="N4" s="11"/>
      <c r="O4" s="11"/>
      <c r="P4" s="11"/>
      <c r="Q4" s="11"/>
      <c r="R4" s="11"/>
      <c r="S4" s="11"/>
      <c r="T4" s="11"/>
      <c r="U4" s="11"/>
      <c r="V4" s="11"/>
      <c r="W4" s="11"/>
      <c r="X4" s="11"/>
      <c r="Y4" s="11"/>
      <c r="Z4" s="11"/>
    </row>
    <row r="5">
      <c r="A5" s="27" t="s">
        <v>12</v>
      </c>
      <c r="B5" s="27">
        <v>105.0</v>
      </c>
      <c r="C5" s="27" t="s">
        <v>154</v>
      </c>
      <c r="D5" s="11"/>
      <c r="E5" s="11"/>
      <c r="F5" s="11"/>
      <c r="G5" s="11"/>
      <c r="H5" s="11"/>
      <c r="I5" s="11"/>
      <c r="J5" s="11"/>
      <c r="K5" s="11"/>
      <c r="L5" s="11"/>
      <c r="M5" s="11"/>
      <c r="N5" s="11"/>
      <c r="O5" s="11"/>
      <c r="P5" s="11"/>
      <c r="Q5" s="11"/>
      <c r="R5" s="11"/>
      <c r="S5" s="11"/>
      <c r="T5" s="11"/>
      <c r="U5" s="11"/>
      <c r="V5" s="11"/>
      <c r="W5" s="11"/>
      <c r="X5" s="11"/>
      <c r="Y5" s="11"/>
      <c r="Z5" s="11"/>
    </row>
    <row r="6">
      <c r="A6" s="27" t="s">
        <v>12</v>
      </c>
      <c r="B6" s="27">
        <v>106.0</v>
      </c>
      <c r="C6" s="27" t="s">
        <v>31</v>
      </c>
      <c r="D6" s="11"/>
      <c r="E6" s="11"/>
      <c r="F6" s="11"/>
      <c r="G6" s="11"/>
      <c r="H6" s="11"/>
      <c r="I6" s="11"/>
      <c r="J6" s="11"/>
      <c r="K6" s="11"/>
      <c r="L6" s="11"/>
      <c r="M6" s="11"/>
      <c r="N6" s="11"/>
      <c r="O6" s="11"/>
      <c r="P6" s="11"/>
      <c r="Q6" s="11"/>
      <c r="R6" s="11"/>
      <c r="S6" s="11"/>
      <c r="T6" s="11"/>
      <c r="U6" s="11"/>
      <c r="V6" s="11"/>
      <c r="W6" s="11"/>
      <c r="X6" s="11"/>
      <c r="Y6" s="11"/>
      <c r="Z6" s="11"/>
    </row>
    <row r="7">
      <c r="A7" s="27" t="s">
        <v>12</v>
      </c>
      <c r="B7" s="27">
        <v>107.0</v>
      </c>
      <c r="C7" s="27" t="s">
        <v>100</v>
      </c>
      <c r="D7" s="11"/>
      <c r="E7" s="11"/>
      <c r="F7" s="11"/>
      <c r="G7" s="11"/>
      <c r="H7" s="11"/>
      <c r="I7" s="11"/>
      <c r="J7" s="11"/>
      <c r="K7" s="11"/>
      <c r="L7" s="11"/>
      <c r="M7" s="11"/>
      <c r="N7" s="11"/>
      <c r="O7" s="11"/>
      <c r="P7" s="11"/>
      <c r="Q7" s="11"/>
      <c r="R7" s="11"/>
      <c r="S7" s="11"/>
      <c r="T7" s="11"/>
      <c r="U7" s="11"/>
      <c r="V7" s="11"/>
      <c r="W7" s="11"/>
      <c r="X7" s="11"/>
      <c r="Y7" s="11"/>
      <c r="Z7" s="11"/>
    </row>
    <row r="8">
      <c r="A8" s="27" t="s">
        <v>12</v>
      </c>
      <c r="B8" s="27">
        <v>108.0</v>
      </c>
      <c r="C8" s="27" t="s">
        <v>112</v>
      </c>
      <c r="D8" s="11"/>
      <c r="E8" s="11"/>
      <c r="F8" s="11"/>
      <c r="G8" s="11"/>
      <c r="H8" s="11"/>
      <c r="I8" s="11"/>
      <c r="J8" s="11"/>
      <c r="K8" s="11"/>
      <c r="L8" s="11"/>
      <c r="M8" s="11"/>
      <c r="N8" s="11"/>
      <c r="O8" s="11"/>
      <c r="P8" s="11"/>
      <c r="Q8" s="11"/>
      <c r="R8" s="11"/>
      <c r="S8" s="11"/>
      <c r="T8" s="11"/>
      <c r="U8" s="11"/>
      <c r="V8" s="11"/>
      <c r="W8" s="11"/>
      <c r="X8" s="11"/>
      <c r="Y8" s="11"/>
      <c r="Z8" s="11"/>
    </row>
    <row r="9">
      <c r="A9" s="27" t="s">
        <v>12</v>
      </c>
      <c r="B9" s="27">
        <v>109.0</v>
      </c>
      <c r="C9" s="27" t="s">
        <v>94</v>
      </c>
      <c r="D9" s="11"/>
      <c r="E9" s="11"/>
      <c r="F9" s="11"/>
      <c r="G9" s="11"/>
      <c r="H9" s="11"/>
      <c r="I9" s="11"/>
      <c r="J9" s="11"/>
      <c r="K9" s="11"/>
      <c r="L9" s="11"/>
      <c r="M9" s="11"/>
      <c r="N9" s="11"/>
      <c r="O9" s="11"/>
      <c r="P9" s="11"/>
      <c r="Q9" s="11"/>
      <c r="R9" s="11"/>
      <c r="S9" s="11"/>
      <c r="T9" s="11"/>
      <c r="U9" s="11"/>
      <c r="V9" s="11"/>
      <c r="W9" s="11"/>
      <c r="X9" s="11"/>
      <c r="Y9" s="11"/>
      <c r="Z9" s="11"/>
    </row>
    <row r="10">
      <c r="A10" s="27" t="s">
        <v>12</v>
      </c>
      <c r="B10" s="27">
        <v>110.0</v>
      </c>
      <c r="C10" s="27" t="s">
        <v>87</v>
      </c>
      <c r="D10" s="11"/>
      <c r="E10" s="11"/>
      <c r="F10" s="11"/>
      <c r="G10" s="11"/>
      <c r="H10" s="11"/>
      <c r="I10" s="11"/>
      <c r="J10" s="11"/>
      <c r="K10" s="11"/>
      <c r="L10" s="11"/>
      <c r="M10" s="11"/>
      <c r="N10" s="11"/>
      <c r="O10" s="11"/>
      <c r="P10" s="11"/>
      <c r="Q10" s="11"/>
      <c r="R10" s="11"/>
      <c r="S10" s="11"/>
      <c r="T10" s="11"/>
      <c r="U10" s="11"/>
      <c r="V10" s="11"/>
      <c r="W10" s="11"/>
      <c r="X10" s="11"/>
      <c r="Y10" s="11"/>
      <c r="Z10" s="11"/>
    </row>
    <row r="11">
      <c r="A11" s="27" t="s">
        <v>12</v>
      </c>
      <c r="B11" s="27">
        <v>111.0</v>
      </c>
      <c r="C11" s="27" t="s">
        <v>17</v>
      </c>
      <c r="D11" s="11"/>
      <c r="E11" s="11"/>
      <c r="F11" s="11"/>
      <c r="G11" s="11"/>
      <c r="H11" s="11"/>
      <c r="I11" s="11"/>
      <c r="J11" s="11"/>
      <c r="K11" s="11"/>
      <c r="L11" s="11"/>
      <c r="M11" s="11"/>
      <c r="N11" s="11"/>
      <c r="O11" s="11"/>
      <c r="P11" s="11"/>
      <c r="Q11" s="11"/>
      <c r="R11" s="11"/>
      <c r="S11" s="11"/>
      <c r="T11" s="11"/>
      <c r="U11" s="11"/>
      <c r="V11" s="11"/>
      <c r="W11" s="11"/>
      <c r="X11" s="11"/>
      <c r="Y11" s="11"/>
      <c r="Z11" s="11"/>
    </row>
    <row r="12">
      <c r="A12" s="27" t="s">
        <v>12</v>
      </c>
      <c r="B12" s="27">
        <v>112.0</v>
      </c>
      <c r="C12" s="27" t="s">
        <v>24</v>
      </c>
      <c r="D12" s="11"/>
      <c r="E12" s="11"/>
      <c r="F12" s="11"/>
      <c r="G12" s="11"/>
      <c r="H12" s="11"/>
      <c r="I12" s="11"/>
      <c r="J12" s="11"/>
      <c r="K12" s="11"/>
      <c r="L12" s="11"/>
      <c r="M12" s="11"/>
      <c r="N12" s="11"/>
      <c r="O12" s="11"/>
      <c r="P12" s="11"/>
      <c r="Q12" s="11"/>
      <c r="R12" s="11"/>
      <c r="S12" s="11"/>
      <c r="T12" s="11"/>
      <c r="U12" s="11"/>
      <c r="V12" s="11"/>
      <c r="W12" s="11"/>
      <c r="X12" s="11"/>
      <c r="Y12" s="11"/>
      <c r="Z12" s="11"/>
    </row>
    <row r="13">
      <c r="A13" s="27" t="s">
        <v>12</v>
      </c>
      <c r="B13" s="27">
        <v>113.0</v>
      </c>
      <c r="C13" s="27" t="s">
        <v>64</v>
      </c>
      <c r="D13" s="11"/>
      <c r="E13" s="11"/>
      <c r="F13" s="11"/>
      <c r="G13" s="11"/>
      <c r="H13" s="11"/>
      <c r="I13" s="11"/>
      <c r="J13" s="11"/>
      <c r="K13" s="11"/>
      <c r="L13" s="11"/>
      <c r="M13" s="11"/>
      <c r="N13" s="11"/>
      <c r="O13" s="11"/>
      <c r="P13" s="11"/>
      <c r="Q13" s="11"/>
      <c r="R13" s="11"/>
      <c r="S13" s="11"/>
      <c r="T13" s="11"/>
      <c r="U13" s="11"/>
      <c r="V13" s="11"/>
      <c r="W13" s="11"/>
      <c r="X13" s="11"/>
      <c r="Y13" s="11"/>
      <c r="Z13" s="11"/>
    </row>
    <row r="14">
      <c r="A14" s="27" t="s">
        <v>12</v>
      </c>
      <c r="B14" s="27">
        <v>114.0</v>
      </c>
      <c r="C14" s="27" t="s">
        <v>51</v>
      </c>
      <c r="D14" s="11"/>
      <c r="E14" s="11"/>
      <c r="F14" s="11"/>
      <c r="G14" s="11"/>
      <c r="H14" s="11"/>
      <c r="I14" s="11"/>
      <c r="J14" s="11"/>
      <c r="K14" s="11"/>
      <c r="L14" s="11"/>
      <c r="M14" s="11"/>
      <c r="N14" s="11"/>
      <c r="O14" s="11"/>
      <c r="P14" s="11"/>
      <c r="Q14" s="11"/>
      <c r="R14" s="11"/>
      <c r="S14" s="11"/>
      <c r="T14" s="11"/>
      <c r="U14" s="11"/>
      <c r="V14" s="11"/>
      <c r="W14" s="11"/>
      <c r="X14" s="11"/>
      <c r="Y14" s="11"/>
      <c r="Z14" s="11"/>
    </row>
    <row r="15">
      <c r="A15" s="27" t="s">
        <v>12</v>
      </c>
      <c r="B15" s="27">
        <v>115.0</v>
      </c>
      <c r="C15" s="27" t="s">
        <v>954</v>
      </c>
      <c r="D15" s="11"/>
      <c r="E15" s="11"/>
      <c r="F15" s="11"/>
      <c r="G15" s="11"/>
      <c r="H15" s="11"/>
      <c r="I15" s="11"/>
      <c r="J15" s="11"/>
      <c r="K15" s="11"/>
      <c r="L15" s="11"/>
      <c r="M15" s="11"/>
      <c r="N15" s="11"/>
      <c r="O15" s="11"/>
      <c r="P15" s="11"/>
      <c r="Q15" s="11"/>
      <c r="R15" s="11"/>
      <c r="S15" s="11"/>
      <c r="T15" s="11"/>
      <c r="U15" s="11"/>
      <c r="V15" s="11"/>
      <c r="W15" s="11"/>
      <c r="X15" s="11"/>
      <c r="Y15" s="11"/>
      <c r="Z15" s="11"/>
    </row>
    <row r="16">
      <c r="A16" s="27" t="s">
        <v>12</v>
      </c>
      <c r="B16" s="27">
        <v>116.0</v>
      </c>
      <c r="C16" s="27" t="s">
        <v>106</v>
      </c>
      <c r="D16" s="11"/>
      <c r="E16" s="11"/>
      <c r="F16" s="11"/>
      <c r="G16" s="11"/>
      <c r="H16" s="11"/>
      <c r="I16" s="11"/>
      <c r="J16" s="11"/>
      <c r="K16" s="11"/>
      <c r="L16" s="11"/>
      <c r="M16" s="11"/>
      <c r="N16" s="11"/>
      <c r="O16" s="11"/>
      <c r="P16" s="11"/>
      <c r="Q16" s="11"/>
      <c r="R16" s="11"/>
      <c r="S16" s="11"/>
      <c r="T16" s="11"/>
      <c r="U16" s="11"/>
      <c r="V16" s="11"/>
      <c r="W16" s="11"/>
      <c r="X16" s="11"/>
      <c r="Y16" s="11"/>
      <c r="Z16" s="11"/>
    </row>
    <row r="17">
      <c r="A17" s="27" t="s">
        <v>12</v>
      </c>
      <c r="B17" s="27">
        <v>117.0</v>
      </c>
      <c r="C17" s="27" t="s">
        <v>58</v>
      </c>
      <c r="D17" s="11"/>
      <c r="E17" s="11"/>
      <c r="F17" s="11"/>
      <c r="G17" s="11"/>
      <c r="H17" s="11"/>
      <c r="I17" s="11"/>
      <c r="J17" s="11"/>
      <c r="K17" s="11"/>
      <c r="L17" s="11"/>
      <c r="M17" s="11"/>
      <c r="N17" s="11"/>
      <c r="O17" s="11"/>
      <c r="P17" s="11"/>
      <c r="Q17" s="11"/>
      <c r="R17" s="11"/>
      <c r="S17" s="11"/>
      <c r="T17" s="11"/>
      <c r="U17" s="11"/>
      <c r="V17" s="11"/>
      <c r="W17" s="11"/>
      <c r="X17" s="11"/>
      <c r="Y17" s="11"/>
      <c r="Z17" s="11"/>
    </row>
    <row r="18">
      <c r="A18" s="27" t="s">
        <v>12</v>
      </c>
      <c r="B18" s="27">
        <v>118.0</v>
      </c>
      <c r="C18" s="27" t="s">
        <v>124</v>
      </c>
      <c r="D18" s="11"/>
      <c r="E18" s="11"/>
      <c r="F18" s="11"/>
      <c r="G18" s="11"/>
      <c r="H18" s="11"/>
      <c r="I18" s="11"/>
      <c r="J18" s="11"/>
      <c r="K18" s="11"/>
      <c r="L18" s="11"/>
      <c r="M18" s="11"/>
      <c r="N18" s="11"/>
      <c r="O18" s="11"/>
      <c r="P18" s="11"/>
      <c r="Q18" s="11"/>
      <c r="R18" s="11"/>
      <c r="S18" s="11"/>
      <c r="T18" s="11"/>
      <c r="U18" s="11"/>
      <c r="V18" s="11"/>
      <c r="W18" s="11"/>
      <c r="X18" s="11"/>
      <c r="Y18" s="11"/>
      <c r="Z18" s="11"/>
    </row>
    <row r="19">
      <c r="A19" s="27" t="s">
        <v>12</v>
      </c>
      <c r="B19" s="27">
        <v>119.0</v>
      </c>
      <c r="C19" s="27" t="s">
        <v>38</v>
      </c>
      <c r="D19" s="11"/>
      <c r="E19" s="11"/>
      <c r="F19" s="11"/>
      <c r="G19" s="11"/>
      <c r="H19" s="11"/>
      <c r="I19" s="11"/>
      <c r="J19" s="11"/>
      <c r="K19" s="11"/>
      <c r="L19" s="11"/>
      <c r="M19" s="11"/>
      <c r="N19" s="11"/>
      <c r="O19" s="11"/>
      <c r="P19" s="11"/>
      <c r="Q19" s="11"/>
      <c r="R19" s="11"/>
      <c r="S19" s="11"/>
      <c r="T19" s="11"/>
      <c r="U19" s="11"/>
      <c r="V19" s="11"/>
      <c r="W19" s="11"/>
      <c r="X19" s="11"/>
      <c r="Y19" s="11"/>
      <c r="Z19" s="11"/>
    </row>
    <row r="20">
      <c r="A20" s="27"/>
      <c r="B20" s="27">
        <v>150.0</v>
      </c>
      <c r="C20" s="27"/>
      <c r="D20" s="11"/>
      <c r="E20" s="11"/>
      <c r="F20" s="11"/>
      <c r="G20" s="11"/>
      <c r="H20" s="11"/>
      <c r="I20" s="11"/>
      <c r="J20" s="11"/>
      <c r="K20" s="11"/>
      <c r="L20" s="11"/>
      <c r="M20" s="11"/>
      <c r="N20" s="11"/>
      <c r="O20" s="11"/>
      <c r="P20" s="11"/>
      <c r="Q20" s="11"/>
      <c r="R20" s="11"/>
      <c r="S20" s="11"/>
      <c r="T20" s="11"/>
      <c r="U20" s="11"/>
      <c r="V20" s="11"/>
      <c r="W20" s="11"/>
      <c r="X20" s="11"/>
      <c r="Y20" s="11"/>
      <c r="Z20" s="11"/>
    </row>
    <row r="21">
      <c r="A21" s="27" t="s">
        <v>157</v>
      </c>
      <c r="B21" s="27">
        <v>201.0</v>
      </c>
      <c r="C21" s="28" t="s">
        <v>162</v>
      </c>
      <c r="D21" s="11"/>
      <c r="E21" s="11"/>
      <c r="F21" s="11"/>
      <c r="G21" s="11"/>
      <c r="H21" s="11"/>
      <c r="I21" s="11"/>
      <c r="J21" s="11"/>
      <c r="K21" s="11"/>
      <c r="L21" s="11"/>
      <c r="M21" s="11"/>
      <c r="N21" s="11"/>
      <c r="O21" s="11"/>
      <c r="P21" s="11"/>
      <c r="Q21" s="11"/>
      <c r="R21" s="11"/>
      <c r="S21" s="11"/>
      <c r="T21" s="11"/>
      <c r="U21" s="11"/>
      <c r="V21" s="11"/>
      <c r="W21" s="11"/>
      <c r="X21" s="11"/>
      <c r="Y21" s="11"/>
      <c r="Z21" s="11"/>
    </row>
    <row r="22">
      <c r="A22" s="27" t="s">
        <v>157</v>
      </c>
      <c r="B22" s="27">
        <v>202.0</v>
      </c>
      <c r="C22" s="29" t="s">
        <v>174</v>
      </c>
      <c r="D22" s="11"/>
      <c r="E22" s="11"/>
      <c r="F22" s="11"/>
      <c r="G22" s="11"/>
      <c r="H22" s="11"/>
      <c r="I22" s="11"/>
      <c r="J22" s="11"/>
      <c r="K22" s="11"/>
      <c r="L22" s="11"/>
      <c r="M22" s="11"/>
      <c r="N22" s="11"/>
      <c r="O22" s="11"/>
      <c r="P22" s="11"/>
      <c r="Q22" s="11"/>
      <c r="R22" s="11"/>
      <c r="S22" s="11"/>
      <c r="T22" s="11"/>
      <c r="U22" s="11"/>
      <c r="V22" s="11"/>
      <c r="W22" s="11"/>
      <c r="X22" s="11"/>
      <c r="Y22" s="11"/>
      <c r="Z22" s="11"/>
    </row>
    <row r="23">
      <c r="A23" s="27" t="s">
        <v>157</v>
      </c>
      <c r="B23" s="27">
        <v>203.0</v>
      </c>
      <c r="C23" s="28" t="s">
        <v>168</v>
      </c>
      <c r="D23" s="11"/>
      <c r="E23" s="11"/>
      <c r="F23" s="11"/>
      <c r="G23" s="11"/>
      <c r="H23" s="11"/>
      <c r="I23" s="11"/>
      <c r="J23" s="11"/>
      <c r="K23" s="11"/>
      <c r="L23" s="11"/>
      <c r="M23" s="11"/>
      <c r="N23" s="11"/>
      <c r="O23" s="11"/>
      <c r="P23" s="11"/>
      <c r="Q23" s="11"/>
      <c r="R23" s="11"/>
      <c r="S23" s="11"/>
      <c r="T23" s="11"/>
      <c r="U23" s="11"/>
      <c r="V23" s="11"/>
      <c r="W23" s="11"/>
      <c r="X23" s="11"/>
      <c r="Y23" s="11"/>
      <c r="Z23" s="11"/>
    </row>
    <row r="24">
      <c r="A24" s="27"/>
      <c r="B24" s="27">
        <v>250.0</v>
      </c>
      <c r="C24" s="27"/>
      <c r="D24" s="11"/>
      <c r="E24" s="11"/>
      <c r="F24" s="11"/>
      <c r="G24" s="11"/>
      <c r="H24" s="11"/>
      <c r="I24" s="11"/>
      <c r="J24" s="11"/>
      <c r="K24" s="11"/>
      <c r="L24" s="11"/>
      <c r="M24" s="11"/>
      <c r="N24" s="11"/>
      <c r="O24" s="11"/>
      <c r="P24" s="11"/>
      <c r="Q24" s="11"/>
      <c r="R24" s="11"/>
      <c r="S24" s="11"/>
      <c r="T24" s="11"/>
      <c r="U24" s="11"/>
      <c r="V24" s="11"/>
      <c r="W24" s="11"/>
      <c r="X24" s="11"/>
      <c r="Y24" s="11"/>
      <c r="Z24" s="11"/>
    </row>
    <row r="25">
      <c r="A25" s="27" t="s">
        <v>178</v>
      </c>
      <c r="B25" s="27">
        <v>301.0</v>
      </c>
      <c r="C25" s="27" t="s">
        <v>241</v>
      </c>
      <c r="D25" s="11"/>
      <c r="E25" s="11"/>
      <c r="F25" s="11"/>
      <c r="G25" s="11"/>
      <c r="H25" s="11"/>
      <c r="I25" s="11"/>
      <c r="J25" s="11"/>
      <c r="K25" s="11"/>
      <c r="L25" s="11"/>
      <c r="M25" s="11"/>
      <c r="N25" s="11"/>
      <c r="O25" s="11"/>
      <c r="P25" s="11"/>
      <c r="Q25" s="11"/>
      <c r="R25" s="11"/>
      <c r="S25" s="11"/>
      <c r="T25" s="11"/>
      <c r="U25" s="11"/>
      <c r="V25" s="11"/>
      <c r="W25" s="11"/>
      <c r="X25" s="11"/>
      <c r="Y25" s="11"/>
      <c r="Z25" s="11"/>
    </row>
    <row r="26">
      <c r="A26" s="27" t="s">
        <v>178</v>
      </c>
      <c r="B26" s="27">
        <v>302.0</v>
      </c>
      <c r="C26" s="27" t="s">
        <v>251</v>
      </c>
      <c r="D26" s="11"/>
      <c r="E26" s="11"/>
      <c r="F26" s="11"/>
      <c r="G26" s="11"/>
      <c r="H26" s="11"/>
      <c r="I26" s="11"/>
      <c r="J26" s="11"/>
      <c r="K26" s="11"/>
      <c r="L26" s="11"/>
      <c r="M26" s="11"/>
      <c r="N26" s="11"/>
      <c r="O26" s="11"/>
      <c r="P26" s="11"/>
      <c r="Q26" s="11"/>
      <c r="R26" s="11"/>
      <c r="S26" s="11"/>
      <c r="T26" s="11"/>
      <c r="U26" s="11"/>
      <c r="V26" s="11"/>
      <c r="W26" s="11"/>
      <c r="X26" s="11"/>
      <c r="Y26" s="11"/>
      <c r="Z26" s="11"/>
    </row>
    <row r="27">
      <c r="A27" s="27" t="s">
        <v>178</v>
      </c>
      <c r="B27" s="27">
        <v>303.0</v>
      </c>
      <c r="C27" s="27" t="s">
        <v>81</v>
      </c>
      <c r="D27" s="11"/>
      <c r="E27" s="11"/>
      <c r="F27" s="11"/>
      <c r="G27" s="11"/>
      <c r="H27" s="11"/>
      <c r="I27" s="11"/>
      <c r="J27" s="11"/>
      <c r="K27" s="11"/>
      <c r="L27" s="11"/>
      <c r="M27" s="11"/>
      <c r="N27" s="11"/>
      <c r="O27" s="11"/>
      <c r="P27" s="11"/>
      <c r="Q27" s="11"/>
      <c r="R27" s="11"/>
      <c r="S27" s="11"/>
      <c r="T27" s="11"/>
      <c r="U27" s="11"/>
      <c r="V27" s="11"/>
      <c r="W27" s="11"/>
      <c r="X27" s="11"/>
      <c r="Y27" s="11"/>
      <c r="Z27" s="11"/>
    </row>
    <row r="28">
      <c r="A28" s="27" t="s">
        <v>178</v>
      </c>
      <c r="B28" s="27">
        <v>304.0</v>
      </c>
      <c r="C28" s="27" t="s">
        <v>154</v>
      </c>
      <c r="D28" s="11"/>
      <c r="E28" s="11"/>
      <c r="F28" s="11"/>
      <c r="G28" s="11"/>
      <c r="H28" s="11"/>
      <c r="I28" s="11"/>
      <c r="J28" s="11"/>
      <c r="K28" s="11"/>
      <c r="L28" s="11"/>
      <c r="M28" s="11"/>
      <c r="N28" s="11"/>
      <c r="O28" s="11"/>
      <c r="P28" s="11"/>
      <c r="Q28" s="11"/>
      <c r="R28" s="11"/>
      <c r="S28" s="11"/>
      <c r="T28" s="11"/>
      <c r="U28" s="11"/>
      <c r="V28" s="11"/>
      <c r="W28" s="11"/>
      <c r="X28" s="11"/>
      <c r="Y28" s="11"/>
      <c r="Z28" s="11"/>
    </row>
    <row r="29">
      <c r="A29" s="27" t="s">
        <v>178</v>
      </c>
      <c r="B29" s="27">
        <v>305.0</v>
      </c>
      <c r="C29" s="27" t="s">
        <v>216</v>
      </c>
      <c r="D29" s="11"/>
      <c r="E29" s="11"/>
      <c r="F29" s="11"/>
      <c r="G29" s="11"/>
      <c r="H29" s="11"/>
      <c r="I29" s="11"/>
      <c r="J29" s="11"/>
      <c r="K29" s="11"/>
      <c r="L29" s="11"/>
      <c r="M29" s="11"/>
      <c r="N29" s="11"/>
      <c r="O29" s="11"/>
      <c r="P29" s="11"/>
      <c r="Q29" s="11"/>
      <c r="R29" s="11"/>
      <c r="S29" s="11"/>
      <c r="T29" s="11"/>
      <c r="U29" s="11"/>
      <c r="V29" s="11"/>
      <c r="W29" s="11"/>
      <c r="X29" s="11"/>
      <c r="Y29" s="11"/>
      <c r="Z29" s="11"/>
    </row>
    <row r="30">
      <c r="A30" s="27" t="s">
        <v>178</v>
      </c>
      <c r="B30" s="27">
        <v>306.0</v>
      </c>
      <c r="C30" s="27" t="s">
        <v>112</v>
      </c>
      <c r="D30" s="11"/>
      <c r="E30" s="11"/>
      <c r="F30" s="11"/>
      <c r="G30" s="11"/>
      <c r="H30" s="11"/>
      <c r="I30" s="11"/>
      <c r="J30" s="11"/>
      <c r="K30" s="11"/>
      <c r="L30" s="11"/>
      <c r="M30" s="11"/>
      <c r="N30" s="11"/>
      <c r="O30" s="11"/>
      <c r="P30" s="11"/>
      <c r="Q30" s="11"/>
      <c r="R30" s="11"/>
      <c r="S30" s="11"/>
      <c r="T30" s="11"/>
      <c r="U30" s="11"/>
      <c r="V30" s="11"/>
      <c r="W30" s="11"/>
      <c r="X30" s="11"/>
      <c r="Y30" s="11"/>
      <c r="Z30" s="11"/>
    </row>
    <row r="31">
      <c r="A31" s="27" t="s">
        <v>178</v>
      </c>
      <c r="B31" s="27">
        <v>307.0</v>
      </c>
      <c r="C31" s="27" t="s">
        <v>106</v>
      </c>
      <c r="D31" s="11"/>
      <c r="E31" s="11"/>
      <c r="F31" s="11"/>
      <c r="G31" s="11"/>
      <c r="H31" s="11"/>
      <c r="I31" s="11"/>
      <c r="J31" s="11"/>
      <c r="K31" s="11"/>
      <c r="L31" s="11"/>
      <c r="M31" s="11"/>
      <c r="N31" s="11"/>
      <c r="O31" s="11"/>
      <c r="P31" s="11"/>
      <c r="Q31" s="11"/>
      <c r="R31" s="11"/>
      <c r="S31" s="11"/>
      <c r="T31" s="11"/>
      <c r="U31" s="11"/>
      <c r="V31" s="11"/>
      <c r="W31" s="11"/>
      <c r="X31" s="11"/>
      <c r="Y31" s="11"/>
      <c r="Z31" s="11"/>
    </row>
    <row r="32">
      <c r="A32" s="27" t="s">
        <v>178</v>
      </c>
      <c r="B32" s="27">
        <v>308.0</v>
      </c>
      <c r="C32" s="27" t="s">
        <v>58</v>
      </c>
      <c r="D32" s="11"/>
      <c r="E32" s="11"/>
      <c r="F32" s="11"/>
      <c r="G32" s="11"/>
      <c r="H32" s="11"/>
      <c r="I32" s="11"/>
      <c r="J32" s="11"/>
      <c r="K32" s="11"/>
      <c r="L32" s="11"/>
      <c r="M32" s="11"/>
      <c r="N32" s="11"/>
      <c r="O32" s="11"/>
      <c r="P32" s="11"/>
      <c r="Q32" s="11"/>
      <c r="R32" s="11"/>
      <c r="S32" s="11"/>
      <c r="T32" s="11"/>
      <c r="U32" s="11"/>
      <c r="V32" s="11"/>
      <c r="W32" s="11"/>
      <c r="X32" s="11"/>
      <c r="Y32" s="11"/>
      <c r="Z32" s="11"/>
    </row>
    <row r="33">
      <c r="A33" s="27" t="s">
        <v>178</v>
      </c>
      <c r="B33" s="27">
        <v>309.0</v>
      </c>
      <c r="C33" s="27" t="s">
        <v>272</v>
      </c>
      <c r="D33" s="11"/>
      <c r="E33" s="11"/>
      <c r="F33" s="11"/>
      <c r="G33" s="11"/>
      <c r="H33" s="11"/>
      <c r="I33" s="11"/>
      <c r="J33" s="11"/>
      <c r="K33" s="11"/>
      <c r="L33" s="11"/>
      <c r="M33" s="11"/>
      <c r="N33" s="11"/>
      <c r="O33" s="11"/>
      <c r="P33" s="11"/>
      <c r="Q33" s="11"/>
      <c r="R33" s="11"/>
      <c r="S33" s="11"/>
      <c r="T33" s="11"/>
      <c r="U33" s="11"/>
      <c r="V33" s="11"/>
      <c r="W33" s="11"/>
      <c r="X33" s="11"/>
      <c r="Y33" s="11"/>
      <c r="Z33" s="11"/>
    </row>
    <row r="34">
      <c r="A34" s="27" t="s">
        <v>178</v>
      </c>
      <c r="B34" s="27">
        <v>310.0</v>
      </c>
      <c r="C34" s="27" t="s">
        <v>183</v>
      </c>
      <c r="D34" s="11"/>
      <c r="E34" s="11"/>
      <c r="F34" s="11"/>
      <c r="G34" s="11"/>
      <c r="H34" s="11"/>
      <c r="I34" s="11"/>
      <c r="J34" s="11"/>
      <c r="K34" s="11"/>
      <c r="L34" s="11"/>
      <c r="M34" s="11"/>
      <c r="N34" s="11"/>
      <c r="O34" s="11"/>
      <c r="P34" s="11"/>
      <c r="Q34" s="11"/>
      <c r="R34" s="11"/>
      <c r="S34" s="11"/>
      <c r="T34" s="11"/>
      <c r="U34" s="11"/>
      <c r="V34" s="11"/>
      <c r="W34" s="11"/>
      <c r="X34" s="11"/>
      <c r="Y34" s="11"/>
      <c r="Z34" s="11"/>
    </row>
    <row r="35">
      <c r="A35" s="27" t="s">
        <v>178</v>
      </c>
      <c r="B35" s="27">
        <v>311.0</v>
      </c>
      <c r="C35" s="27" t="s">
        <v>261</v>
      </c>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27">
        <v>350.0</v>
      </c>
      <c r="C36" s="27"/>
      <c r="D36" s="11"/>
      <c r="E36" s="11"/>
      <c r="F36" s="11"/>
      <c r="G36" s="11"/>
      <c r="H36" s="11"/>
      <c r="I36" s="11"/>
      <c r="J36" s="11"/>
      <c r="K36" s="11"/>
      <c r="L36" s="11"/>
      <c r="M36" s="11"/>
      <c r="N36" s="11"/>
      <c r="O36" s="11"/>
      <c r="P36" s="11"/>
      <c r="Q36" s="11"/>
      <c r="R36" s="11"/>
      <c r="S36" s="11"/>
      <c r="T36" s="11"/>
      <c r="U36" s="11"/>
      <c r="V36" s="11"/>
      <c r="W36" s="11"/>
      <c r="X36" s="11"/>
      <c r="Y36" s="11"/>
      <c r="Z36" s="11"/>
    </row>
    <row r="37">
      <c r="A37" s="27" t="s">
        <v>955</v>
      </c>
      <c r="B37" s="30">
        <v>501.0</v>
      </c>
      <c r="C37" s="27" t="s">
        <v>241</v>
      </c>
      <c r="D37" s="11"/>
      <c r="E37" s="11"/>
      <c r="F37" s="11"/>
      <c r="G37" s="11"/>
      <c r="H37" s="11"/>
      <c r="I37" s="11"/>
      <c r="J37" s="11"/>
      <c r="K37" s="11"/>
      <c r="L37" s="11"/>
      <c r="M37" s="11"/>
      <c r="N37" s="11"/>
      <c r="O37" s="11"/>
      <c r="P37" s="11"/>
      <c r="Q37" s="11"/>
      <c r="R37" s="11"/>
      <c r="S37" s="11"/>
      <c r="T37" s="11"/>
      <c r="U37" s="11"/>
      <c r="V37" s="11"/>
      <c r="W37" s="11"/>
      <c r="X37" s="11"/>
      <c r="Y37" s="11"/>
      <c r="Z37" s="11"/>
    </row>
    <row r="38">
      <c r="A38" s="27" t="s">
        <v>955</v>
      </c>
      <c r="B38" s="30">
        <v>502.0</v>
      </c>
      <c r="C38" s="30" t="s">
        <v>251</v>
      </c>
      <c r="D38" s="11"/>
      <c r="E38" s="11"/>
      <c r="F38" s="27"/>
      <c r="G38" s="11"/>
      <c r="H38" s="11"/>
      <c r="I38" s="11"/>
      <c r="J38" s="11"/>
      <c r="K38" s="11"/>
      <c r="L38" s="11"/>
      <c r="M38" s="11"/>
      <c r="N38" s="11"/>
      <c r="O38" s="11"/>
      <c r="P38" s="11"/>
      <c r="Q38" s="11"/>
      <c r="R38" s="11"/>
      <c r="S38" s="11"/>
      <c r="T38" s="11"/>
      <c r="U38" s="11"/>
      <c r="V38" s="11"/>
      <c r="W38" s="11"/>
      <c r="X38" s="11"/>
      <c r="Y38" s="11"/>
      <c r="Z38" s="11"/>
    </row>
    <row r="39">
      <c r="A39" s="27" t="s">
        <v>955</v>
      </c>
      <c r="B39" s="30">
        <v>503.0</v>
      </c>
      <c r="C39" s="30" t="s">
        <v>81</v>
      </c>
      <c r="D39" s="11"/>
      <c r="E39" s="11"/>
      <c r="F39" s="27"/>
      <c r="G39" s="11"/>
      <c r="H39" s="11"/>
      <c r="I39" s="11"/>
      <c r="J39" s="11"/>
      <c r="K39" s="11"/>
      <c r="L39" s="11"/>
      <c r="M39" s="11"/>
      <c r="N39" s="11"/>
      <c r="O39" s="11"/>
      <c r="P39" s="11"/>
      <c r="Q39" s="11"/>
      <c r="R39" s="11"/>
      <c r="S39" s="11"/>
      <c r="T39" s="11"/>
      <c r="U39" s="11"/>
      <c r="V39" s="11"/>
      <c r="W39" s="11"/>
      <c r="X39" s="11"/>
      <c r="Y39" s="11"/>
      <c r="Z39" s="11"/>
    </row>
    <row r="40">
      <c r="A40" s="27" t="s">
        <v>955</v>
      </c>
      <c r="B40" s="30">
        <v>504.0</v>
      </c>
      <c r="C40" s="30" t="s">
        <v>45</v>
      </c>
      <c r="D40" s="11"/>
      <c r="E40" s="11"/>
      <c r="F40" s="11"/>
      <c r="G40" s="11"/>
      <c r="H40" s="11"/>
      <c r="I40" s="11"/>
      <c r="J40" s="11"/>
      <c r="K40" s="11"/>
      <c r="L40" s="11"/>
      <c r="M40" s="11"/>
      <c r="N40" s="11"/>
      <c r="O40" s="11"/>
      <c r="P40" s="11"/>
      <c r="Q40" s="11"/>
      <c r="R40" s="11"/>
      <c r="S40" s="11"/>
      <c r="T40" s="11"/>
      <c r="U40" s="11"/>
      <c r="V40" s="11"/>
      <c r="W40" s="11"/>
      <c r="X40" s="11"/>
      <c r="Y40" s="11"/>
      <c r="Z40" s="11"/>
    </row>
    <row r="41">
      <c r="A41" s="27" t="s">
        <v>955</v>
      </c>
      <c r="B41" s="30">
        <v>505.0</v>
      </c>
      <c r="C41" s="30" t="s">
        <v>75</v>
      </c>
      <c r="D41" s="11"/>
      <c r="E41" s="11"/>
      <c r="F41" s="11"/>
      <c r="G41" s="11"/>
      <c r="H41" s="11"/>
      <c r="I41" s="11"/>
      <c r="J41" s="11"/>
      <c r="K41" s="11"/>
      <c r="L41" s="11"/>
      <c r="M41" s="11"/>
      <c r="N41" s="11"/>
      <c r="O41" s="11"/>
      <c r="P41" s="11"/>
      <c r="Q41" s="11"/>
      <c r="R41" s="11"/>
      <c r="S41" s="11"/>
      <c r="T41" s="11"/>
      <c r="U41" s="11"/>
      <c r="V41" s="11"/>
      <c r="W41" s="11"/>
      <c r="X41" s="11"/>
      <c r="Y41" s="11"/>
      <c r="Z41" s="11"/>
    </row>
    <row r="42">
      <c r="A42" s="27" t="s">
        <v>955</v>
      </c>
      <c r="B42" s="30">
        <v>506.0</v>
      </c>
      <c r="C42" s="11" t="s">
        <v>162</v>
      </c>
      <c r="D42" s="11"/>
      <c r="E42" s="11"/>
      <c r="F42" s="11"/>
      <c r="G42" s="11"/>
      <c r="H42" s="11"/>
      <c r="I42" s="11"/>
      <c r="J42" s="11"/>
      <c r="K42" s="11"/>
      <c r="L42" s="11"/>
      <c r="M42" s="11"/>
      <c r="N42" s="11"/>
      <c r="O42" s="11"/>
      <c r="P42" s="11"/>
      <c r="Q42" s="11"/>
      <c r="R42" s="11"/>
      <c r="S42" s="11"/>
      <c r="T42" s="11"/>
      <c r="U42" s="11"/>
      <c r="V42" s="11"/>
      <c r="W42" s="11"/>
      <c r="X42" s="11"/>
      <c r="Y42" s="11"/>
      <c r="Z42" s="11"/>
    </row>
    <row r="43">
      <c r="A43" s="27" t="s">
        <v>955</v>
      </c>
      <c r="B43" s="30">
        <v>507.0</v>
      </c>
      <c r="C43" s="30" t="s">
        <v>147</v>
      </c>
      <c r="D43" s="11"/>
      <c r="E43" s="11"/>
      <c r="F43" s="11"/>
      <c r="G43" s="11"/>
      <c r="H43" s="11"/>
      <c r="I43" s="11"/>
      <c r="J43" s="11"/>
      <c r="K43" s="11"/>
      <c r="L43" s="11"/>
      <c r="M43" s="11"/>
      <c r="N43" s="11"/>
      <c r="O43" s="11"/>
      <c r="P43" s="11"/>
      <c r="Q43" s="11"/>
      <c r="R43" s="11"/>
      <c r="S43" s="11"/>
      <c r="T43" s="11"/>
      <c r="U43" s="11"/>
      <c r="V43" s="11"/>
      <c r="W43" s="11"/>
      <c r="X43" s="11"/>
      <c r="Y43" s="11"/>
      <c r="Z43" s="11"/>
    </row>
    <row r="44">
      <c r="A44" s="27" t="s">
        <v>955</v>
      </c>
      <c r="B44" s="30">
        <v>508.0</v>
      </c>
      <c r="C44" s="30" t="s">
        <v>154</v>
      </c>
      <c r="D44" s="11"/>
      <c r="E44" s="11"/>
      <c r="F44" s="11"/>
      <c r="G44" s="11"/>
      <c r="H44" s="11"/>
      <c r="I44" s="11"/>
      <c r="J44" s="11"/>
      <c r="K44" s="11"/>
      <c r="L44" s="11"/>
      <c r="M44" s="11"/>
      <c r="N44" s="11"/>
      <c r="O44" s="11"/>
      <c r="P44" s="11"/>
      <c r="Q44" s="11"/>
      <c r="R44" s="11"/>
      <c r="S44" s="11"/>
      <c r="T44" s="11"/>
      <c r="U44" s="11"/>
      <c r="V44" s="11"/>
      <c r="W44" s="11"/>
      <c r="X44" s="11"/>
      <c r="Y44" s="11"/>
      <c r="Z44" s="11"/>
    </row>
    <row r="45">
      <c r="A45" s="27" t="s">
        <v>955</v>
      </c>
      <c r="B45" s="30">
        <v>509.0</v>
      </c>
      <c r="C45" s="30" t="s">
        <v>31</v>
      </c>
      <c r="D45" s="11"/>
      <c r="E45" s="11"/>
      <c r="F45" s="11"/>
      <c r="G45" s="11"/>
      <c r="H45" s="11"/>
      <c r="I45" s="11"/>
      <c r="J45" s="11"/>
      <c r="K45" s="11"/>
      <c r="L45" s="11"/>
      <c r="M45" s="11"/>
      <c r="N45" s="11"/>
      <c r="O45" s="11"/>
      <c r="P45" s="11"/>
      <c r="Q45" s="11"/>
      <c r="R45" s="11"/>
      <c r="S45" s="11"/>
      <c r="T45" s="11"/>
      <c r="U45" s="11"/>
      <c r="V45" s="11"/>
      <c r="W45" s="11"/>
      <c r="X45" s="11"/>
      <c r="Y45" s="11"/>
      <c r="Z45" s="11"/>
    </row>
    <row r="46">
      <c r="A46" s="27" t="s">
        <v>955</v>
      </c>
      <c r="B46" s="30">
        <v>510.0</v>
      </c>
      <c r="C46" s="30" t="s">
        <v>216</v>
      </c>
      <c r="D46" s="11"/>
      <c r="E46" s="11"/>
      <c r="F46" s="11"/>
      <c r="G46" s="11"/>
      <c r="H46" s="11"/>
      <c r="I46" s="11"/>
      <c r="J46" s="11"/>
      <c r="K46" s="11"/>
      <c r="L46" s="11"/>
      <c r="M46" s="11"/>
      <c r="N46" s="11"/>
      <c r="O46" s="11"/>
      <c r="P46" s="11"/>
      <c r="Q46" s="11"/>
      <c r="R46" s="11"/>
      <c r="S46" s="11"/>
      <c r="T46" s="11"/>
      <c r="U46" s="11"/>
      <c r="V46" s="11"/>
      <c r="W46" s="11"/>
      <c r="X46" s="11"/>
      <c r="Y46" s="11"/>
      <c r="Z46" s="11"/>
    </row>
    <row r="47">
      <c r="A47" s="27" t="s">
        <v>955</v>
      </c>
      <c r="B47" s="30">
        <v>511.0</v>
      </c>
      <c r="C47" s="30" t="s">
        <v>100</v>
      </c>
      <c r="D47" s="11"/>
      <c r="E47" s="11"/>
      <c r="F47" s="11"/>
      <c r="G47" s="11"/>
      <c r="H47" s="11"/>
      <c r="I47" s="11"/>
      <c r="J47" s="11"/>
      <c r="K47" s="11"/>
      <c r="L47" s="11"/>
      <c r="M47" s="11"/>
      <c r="N47" s="11"/>
      <c r="O47" s="11"/>
      <c r="P47" s="11"/>
      <c r="Q47" s="11"/>
      <c r="R47" s="11"/>
      <c r="S47" s="11"/>
      <c r="T47" s="11"/>
      <c r="U47" s="11"/>
      <c r="V47" s="11"/>
      <c r="W47" s="11"/>
      <c r="X47" s="11"/>
      <c r="Y47" s="11"/>
      <c r="Z47" s="11"/>
    </row>
    <row r="48">
      <c r="A48" s="27" t="s">
        <v>955</v>
      </c>
      <c r="B48" s="30">
        <v>512.0</v>
      </c>
      <c r="C48" s="30" t="s">
        <v>112</v>
      </c>
      <c r="D48" s="11"/>
      <c r="E48" s="11"/>
      <c r="F48" s="11"/>
      <c r="G48" s="11"/>
      <c r="H48" s="11"/>
      <c r="I48" s="11"/>
      <c r="J48" s="11"/>
      <c r="K48" s="11"/>
      <c r="L48" s="11"/>
      <c r="M48" s="11"/>
      <c r="N48" s="11"/>
      <c r="O48" s="11"/>
      <c r="P48" s="11"/>
      <c r="Q48" s="11"/>
      <c r="R48" s="11"/>
      <c r="S48" s="11"/>
      <c r="T48" s="11"/>
      <c r="U48" s="11"/>
      <c r="V48" s="11"/>
      <c r="W48" s="11"/>
      <c r="X48" s="11"/>
      <c r="Y48" s="11"/>
      <c r="Z48" s="11"/>
    </row>
    <row r="49">
      <c r="A49" s="27" t="s">
        <v>955</v>
      </c>
      <c r="B49" s="30">
        <v>513.0</v>
      </c>
      <c r="C49" s="30" t="s">
        <v>94</v>
      </c>
      <c r="D49" s="11"/>
      <c r="E49" s="11"/>
      <c r="F49" s="11"/>
      <c r="G49" s="11"/>
      <c r="H49" s="11"/>
      <c r="I49" s="11"/>
      <c r="J49" s="11"/>
      <c r="K49" s="11"/>
      <c r="L49" s="11"/>
      <c r="M49" s="11"/>
      <c r="N49" s="11"/>
      <c r="O49" s="11"/>
      <c r="P49" s="11"/>
      <c r="Q49" s="11"/>
      <c r="R49" s="11"/>
      <c r="S49" s="11"/>
      <c r="T49" s="11"/>
      <c r="U49" s="11"/>
      <c r="V49" s="11"/>
      <c r="W49" s="11"/>
      <c r="X49" s="11"/>
      <c r="Y49" s="11"/>
      <c r="Z49" s="11"/>
    </row>
    <row r="50">
      <c r="A50" s="27" t="s">
        <v>955</v>
      </c>
      <c r="B50" s="30">
        <v>514.0</v>
      </c>
      <c r="C50" s="30" t="s">
        <v>87</v>
      </c>
      <c r="D50" s="11"/>
      <c r="E50" s="11"/>
      <c r="F50" s="11"/>
      <c r="G50" s="11"/>
      <c r="H50" s="11"/>
      <c r="I50" s="11"/>
      <c r="J50" s="11"/>
      <c r="K50" s="11"/>
      <c r="L50" s="11"/>
      <c r="M50" s="11"/>
      <c r="N50" s="11"/>
      <c r="O50" s="11"/>
      <c r="P50" s="11"/>
      <c r="Q50" s="11"/>
      <c r="R50" s="11"/>
      <c r="S50" s="11"/>
      <c r="T50" s="11"/>
      <c r="U50" s="11"/>
      <c r="V50" s="11"/>
      <c r="W50" s="11"/>
      <c r="X50" s="11"/>
      <c r="Y50" s="11"/>
      <c r="Z50" s="11"/>
    </row>
    <row r="51">
      <c r="A51" s="27" t="s">
        <v>955</v>
      </c>
      <c r="B51" s="30">
        <v>515.0</v>
      </c>
      <c r="C51" s="30" t="s">
        <v>17</v>
      </c>
      <c r="D51" s="11"/>
      <c r="E51" s="11"/>
      <c r="F51" s="11"/>
      <c r="G51" s="11"/>
      <c r="H51" s="11"/>
      <c r="I51" s="11"/>
      <c r="J51" s="11"/>
      <c r="K51" s="11"/>
      <c r="L51" s="11"/>
      <c r="M51" s="11"/>
      <c r="N51" s="11"/>
      <c r="O51" s="11"/>
      <c r="P51" s="11"/>
      <c r="Q51" s="11"/>
      <c r="R51" s="11"/>
      <c r="S51" s="11"/>
      <c r="T51" s="11"/>
      <c r="U51" s="11"/>
      <c r="V51" s="11"/>
      <c r="W51" s="11"/>
      <c r="X51" s="11"/>
      <c r="Y51" s="11"/>
      <c r="Z51" s="11"/>
    </row>
    <row r="52">
      <c r="A52" s="27" t="s">
        <v>955</v>
      </c>
      <c r="B52" s="30">
        <v>516.0</v>
      </c>
      <c r="C52" s="30" t="s">
        <v>24</v>
      </c>
      <c r="D52" s="11"/>
      <c r="E52" s="11"/>
      <c r="F52" s="11"/>
      <c r="G52" s="11"/>
      <c r="H52" s="11"/>
      <c r="I52" s="11"/>
      <c r="J52" s="11"/>
      <c r="K52" s="11"/>
      <c r="L52" s="11"/>
      <c r="M52" s="11"/>
      <c r="N52" s="11"/>
      <c r="O52" s="11"/>
      <c r="P52" s="11"/>
      <c r="Q52" s="11"/>
      <c r="R52" s="11"/>
      <c r="S52" s="11"/>
      <c r="T52" s="11"/>
      <c r="U52" s="11"/>
      <c r="V52" s="11"/>
      <c r="W52" s="11"/>
      <c r="X52" s="11"/>
      <c r="Y52" s="11"/>
      <c r="Z52" s="11"/>
    </row>
    <row r="53">
      <c r="A53" s="27" t="s">
        <v>955</v>
      </c>
      <c r="B53" s="30">
        <v>517.0</v>
      </c>
      <c r="C53" s="30" t="s">
        <v>51</v>
      </c>
      <c r="D53" s="11"/>
      <c r="E53" s="11"/>
      <c r="F53" s="11"/>
      <c r="G53" s="11"/>
      <c r="H53" s="11"/>
      <c r="I53" s="11"/>
      <c r="J53" s="11"/>
      <c r="K53" s="11"/>
      <c r="L53" s="11"/>
      <c r="M53" s="11"/>
      <c r="N53" s="11"/>
      <c r="O53" s="11"/>
      <c r="P53" s="11"/>
      <c r="Q53" s="11"/>
      <c r="R53" s="11"/>
      <c r="S53" s="11"/>
      <c r="T53" s="11"/>
      <c r="U53" s="11"/>
      <c r="V53" s="11"/>
      <c r="W53" s="11"/>
      <c r="X53" s="11"/>
      <c r="Y53" s="11"/>
      <c r="Z53" s="11"/>
    </row>
    <row r="54">
      <c r="A54" s="27" t="s">
        <v>955</v>
      </c>
      <c r="B54" s="30">
        <v>518.0</v>
      </c>
      <c r="C54" s="30" t="s">
        <v>954</v>
      </c>
      <c r="D54" s="11"/>
      <c r="E54" s="11"/>
      <c r="F54" s="11"/>
      <c r="G54" s="11"/>
      <c r="H54" s="11"/>
      <c r="I54" s="11"/>
      <c r="J54" s="11"/>
      <c r="K54" s="11"/>
      <c r="L54" s="11"/>
      <c r="M54" s="11"/>
      <c r="N54" s="11"/>
      <c r="O54" s="11"/>
      <c r="P54" s="11"/>
      <c r="Q54" s="11"/>
      <c r="R54" s="11"/>
      <c r="S54" s="11"/>
      <c r="T54" s="11"/>
      <c r="U54" s="11"/>
      <c r="V54" s="11"/>
      <c r="W54" s="11"/>
      <c r="X54" s="11"/>
      <c r="Y54" s="11"/>
      <c r="Z54" s="11"/>
    </row>
    <row r="55">
      <c r="A55" s="27" t="s">
        <v>955</v>
      </c>
      <c r="B55" s="30">
        <v>519.0</v>
      </c>
      <c r="C55" s="30" t="s">
        <v>106</v>
      </c>
      <c r="D55" s="11"/>
      <c r="E55" s="11"/>
      <c r="F55" s="11"/>
      <c r="G55" s="11"/>
      <c r="H55" s="11"/>
      <c r="I55" s="11"/>
      <c r="J55" s="11"/>
      <c r="K55" s="11"/>
      <c r="L55" s="11"/>
      <c r="M55" s="11"/>
      <c r="N55" s="11"/>
      <c r="O55" s="11"/>
      <c r="P55" s="11"/>
      <c r="Q55" s="11"/>
      <c r="R55" s="11"/>
      <c r="S55" s="11"/>
      <c r="T55" s="11"/>
      <c r="U55" s="11"/>
      <c r="V55" s="11"/>
      <c r="W55" s="11"/>
      <c r="X55" s="11"/>
      <c r="Y55" s="11"/>
      <c r="Z55" s="11"/>
    </row>
    <row r="56">
      <c r="A56" s="27" t="s">
        <v>955</v>
      </c>
      <c r="B56" s="30">
        <v>520.0</v>
      </c>
      <c r="C56" s="30" t="s">
        <v>956</v>
      </c>
      <c r="D56" s="11"/>
      <c r="E56" s="11"/>
      <c r="F56" s="11"/>
      <c r="G56" s="11"/>
      <c r="H56" s="11"/>
      <c r="I56" s="11"/>
      <c r="J56" s="11"/>
      <c r="K56" s="11"/>
      <c r="L56" s="11"/>
      <c r="M56" s="11"/>
      <c r="N56" s="11"/>
      <c r="O56" s="11"/>
      <c r="P56" s="11"/>
      <c r="Q56" s="11"/>
      <c r="R56" s="11"/>
      <c r="S56" s="11"/>
      <c r="T56" s="11"/>
      <c r="U56" s="11"/>
      <c r="V56" s="11"/>
      <c r="W56" s="11"/>
      <c r="X56" s="11"/>
      <c r="Y56" s="11"/>
      <c r="Z56" s="11"/>
    </row>
    <row r="57">
      <c r="A57" s="27" t="s">
        <v>955</v>
      </c>
      <c r="B57" s="30">
        <v>521.0</v>
      </c>
      <c r="C57" s="30" t="s">
        <v>58</v>
      </c>
      <c r="D57" s="11"/>
      <c r="E57" s="11"/>
      <c r="F57" s="11"/>
      <c r="G57" s="11"/>
      <c r="H57" s="11"/>
      <c r="I57" s="11"/>
      <c r="J57" s="11"/>
      <c r="K57" s="11"/>
      <c r="L57" s="11"/>
      <c r="M57" s="11"/>
      <c r="N57" s="11"/>
      <c r="O57" s="11"/>
      <c r="P57" s="11"/>
      <c r="Q57" s="11"/>
      <c r="R57" s="11"/>
      <c r="S57" s="11"/>
      <c r="T57" s="11"/>
      <c r="U57" s="11"/>
      <c r="V57" s="11"/>
      <c r="W57" s="11"/>
      <c r="X57" s="11"/>
      <c r="Y57" s="11"/>
      <c r="Z57" s="11"/>
    </row>
    <row r="58">
      <c r="A58" s="27" t="s">
        <v>955</v>
      </c>
      <c r="B58" s="30">
        <v>522.0</v>
      </c>
      <c r="C58" s="30" t="s">
        <v>272</v>
      </c>
      <c r="D58" s="11"/>
      <c r="E58" s="11"/>
      <c r="F58" s="11"/>
      <c r="G58" s="11"/>
      <c r="H58" s="11"/>
      <c r="I58" s="11"/>
      <c r="J58" s="11"/>
      <c r="K58" s="11"/>
      <c r="L58" s="11"/>
      <c r="M58" s="11"/>
      <c r="N58" s="11"/>
      <c r="O58" s="11"/>
      <c r="P58" s="11"/>
      <c r="Q58" s="11"/>
      <c r="R58" s="11"/>
      <c r="S58" s="11"/>
      <c r="T58" s="11"/>
      <c r="U58" s="11"/>
      <c r="V58" s="11"/>
      <c r="W58" s="11"/>
      <c r="X58" s="11"/>
      <c r="Y58" s="11"/>
      <c r="Z58" s="11"/>
    </row>
    <row r="59">
      <c r="A59" s="27" t="s">
        <v>955</v>
      </c>
      <c r="B59" s="30">
        <v>523.0</v>
      </c>
      <c r="C59" s="30" t="s">
        <v>124</v>
      </c>
      <c r="D59" s="11"/>
      <c r="E59" s="11"/>
      <c r="F59" s="11"/>
      <c r="G59" s="11"/>
      <c r="H59" s="11"/>
      <c r="I59" s="11"/>
      <c r="J59" s="11"/>
      <c r="K59" s="11"/>
      <c r="L59" s="11"/>
      <c r="M59" s="11"/>
      <c r="N59" s="11"/>
      <c r="O59" s="11"/>
      <c r="P59" s="11"/>
      <c r="Q59" s="11"/>
      <c r="R59" s="11"/>
      <c r="S59" s="11"/>
      <c r="T59" s="11"/>
      <c r="U59" s="11"/>
      <c r="V59" s="11"/>
      <c r="W59" s="11"/>
      <c r="X59" s="11"/>
      <c r="Y59" s="11"/>
      <c r="Z59" s="11"/>
    </row>
    <row r="60">
      <c r="A60" s="27" t="s">
        <v>955</v>
      </c>
      <c r="B60" s="30">
        <v>524.0</v>
      </c>
      <c r="C60" s="30" t="s">
        <v>38</v>
      </c>
      <c r="D60" s="11"/>
      <c r="E60" s="11"/>
      <c r="F60" s="11"/>
      <c r="G60" s="11"/>
      <c r="H60" s="11"/>
      <c r="I60" s="11"/>
      <c r="J60" s="11"/>
      <c r="K60" s="11"/>
      <c r="L60" s="11"/>
      <c r="M60" s="11"/>
      <c r="N60" s="11"/>
      <c r="O60" s="11"/>
      <c r="P60" s="11"/>
      <c r="Q60" s="11"/>
      <c r="R60" s="11"/>
      <c r="S60" s="11"/>
      <c r="T60" s="11"/>
      <c r="U60" s="11"/>
      <c r="V60" s="11"/>
      <c r="W60" s="11"/>
      <c r="X60" s="11"/>
      <c r="Y60" s="11"/>
      <c r="Z60" s="11"/>
    </row>
    <row r="61">
      <c r="A61" s="27" t="s">
        <v>955</v>
      </c>
      <c r="B61" s="30">
        <v>525.0</v>
      </c>
      <c r="C61" s="30" t="s">
        <v>183</v>
      </c>
      <c r="D61" s="11"/>
      <c r="E61" s="11"/>
      <c r="F61" s="11"/>
      <c r="G61" s="11"/>
      <c r="H61" s="11"/>
      <c r="I61" s="11"/>
      <c r="J61" s="11"/>
      <c r="K61" s="11"/>
      <c r="L61" s="11"/>
      <c r="M61" s="11"/>
      <c r="N61" s="11"/>
      <c r="O61" s="11"/>
      <c r="P61" s="11"/>
      <c r="Q61" s="11"/>
      <c r="R61" s="11"/>
      <c r="S61" s="11"/>
      <c r="T61" s="11"/>
      <c r="U61" s="11"/>
      <c r="V61" s="11"/>
      <c r="W61" s="11"/>
      <c r="X61" s="11"/>
      <c r="Y61" s="11"/>
      <c r="Z61" s="11"/>
    </row>
    <row r="62">
      <c r="A62" s="27" t="s">
        <v>955</v>
      </c>
      <c r="B62" s="30">
        <v>526.0</v>
      </c>
      <c r="C62" s="30" t="s">
        <v>261</v>
      </c>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27"/>
      <c r="F63" s="27"/>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27"/>
      <c r="F64" s="27"/>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27"/>
      <c r="F65" s="27"/>
      <c r="G65" s="11"/>
      <c r="H65" s="11"/>
      <c r="I65" s="11"/>
      <c r="J65" s="11"/>
      <c r="K65" s="11"/>
      <c r="L65" s="11"/>
      <c r="M65" s="11"/>
      <c r="N65" s="11"/>
      <c r="O65" s="11"/>
      <c r="P65" s="11"/>
      <c r="Q65" s="11"/>
      <c r="R65" s="11"/>
      <c r="S65" s="11"/>
      <c r="T65" s="11"/>
      <c r="U65" s="11"/>
      <c r="V65" s="11"/>
      <c r="W65" s="11"/>
      <c r="X65" s="11"/>
      <c r="Y65" s="11"/>
      <c r="Z65" s="11"/>
    </row>
    <row r="66">
      <c r="A66" s="11"/>
      <c r="B66" s="11"/>
      <c r="C66" s="27"/>
      <c r="D66" s="11"/>
      <c r="E66" s="27"/>
      <c r="F66" s="27"/>
      <c r="G66" s="11"/>
      <c r="H66" s="11"/>
      <c r="I66" s="11"/>
      <c r="J66" s="11"/>
      <c r="K66" s="11"/>
      <c r="L66" s="11"/>
      <c r="M66" s="11"/>
      <c r="N66" s="11"/>
      <c r="O66" s="11"/>
      <c r="P66" s="11"/>
      <c r="Q66" s="11"/>
      <c r="R66" s="11"/>
      <c r="S66" s="11"/>
      <c r="T66" s="11"/>
      <c r="U66" s="11"/>
      <c r="V66" s="11"/>
      <c r="W66" s="11"/>
      <c r="X66" s="11"/>
      <c r="Y66" s="11"/>
      <c r="Z66" s="11"/>
    </row>
    <row r="67">
      <c r="A67" s="11"/>
      <c r="B67" s="11"/>
      <c r="C67" s="27"/>
      <c r="D67" s="11"/>
      <c r="E67" s="27"/>
      <c r="F67" s="27"/>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27"/>
      <c r="F68" s="28"/>
      <c r="G68" s="11"/>
      <c r="H68" s="11"/>
      <c r="I68" s="11"/>
      <c r="J68" s="11"/>
      <c r="K68" s="11"/>
      <c r="L68" s="11"/>
      <c r="M68" s="11"/>
      <c r="N68" s="11"/>
      <c r="O68" s="11"/>
      <c r="P68" s="11"/>
      <c r="Q68" s="11"/>
      <c r="R68" s="11"/>
      <c r="S68" s="11"/>
      <c r="T68" s="11"/>
      <c r="U68" s="11"/>
      <c r="V68" s="11"/>
      <c r="W68" s="11"/>
      <c r="X68" s="11"/>
      <c r="Y68" s="11"/>
      <c r="Z68" s="11"/>
    </row>
    <row r="69">
      <c r="A69" s="11"/>
      <c r="B69" s="11"/>
      <c r="C69" s="27"/>
      <c r="D69" s="11"/>
      <c r="E69" s="27"/>
      <c r="F69" s="27"/>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27"/>
      <c r="F70" s="27"/>
      <c r="G70" s="11"/>
      <c r="H70" s="11"/>
      <c r="I70" s="11"/>
      <c r="J70" s="11"/>
      <c r="K70" s="11"/>
      <c r="L70" s="11"/>
      <c r="M70" s="11"/>
      <c r="N70" s="11"/>
      <c r="O70" s="11"/>
      <c r="P70" s="11"/>
      <c r="Q70" s="11"/>
      <c r="R70" s="11"/>
      <c r="S70" s="11"/>
      <c r="T70" s="11"/>
      <c r="U70" s="11"/>
      <c r="V70" s="11"/>
      <c r="W70" s="11"/>
      <c r="X70" s="11"/>
      <c r="Y70" s="11"/>
      <c r="Z70" s="11"/>
    </row>
    <row r="71">
      <c r="A71" s="11"/>
      <c r="B71" s="11"/>
      <c r="C71" s="27"/>
      <c r="D71" s="11"/>
      <c r="E71" s="27"/>
      <c r="F71" s="27"/>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27"/>
      <c r="F72" s="27"/>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27"/>
      <c r="F73" s="27"/>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27"/>
      <c r="F74" s="27"/>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27"/>
      <c r="F75" s="27"/>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27"/>
      <c r="F76" s="27"/>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27"/>
      <c r="F77" s="27"/>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27"/>
      <c r="F78" s="27"/>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27"/>
      <c r="F79" s="27"/>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27"/>
      <c r="F80" s="27"/>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27"/>
      <c r="F81" s="27"/>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27"/>
      <c r="F82" s="3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27"/>
      <c r="F83" s="27"/>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27"/>
      <c r="F84" s="27"/>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27"/>
      <c r="F85" s="27"/>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27"/>
      <c r="F86" s="27"/>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27"/>
      <c r="F87" s="27"/>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27"/>
      <c r="F88" s="27"/>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F89" s="28"/>
      <c r="G89" s="11"/>
      <c r="H89" s="11"/>
      <c r="I89" s="11"/>
      <c r="J89" s="11"/>
      <c r="K89" s="11"/>
      <c r="L89" s="11"/>
      <c r="M89" s="11"/>
      <c r="N89" s="11"/>
      <c r="O89" s="11"/>
      <c r="P89" s="11"/>
      <c r="Q89" s="11"/>
      <c r="R89" s="11"/>
      <c r="S89" s="11"/>
      <c r="T89" s="11"/>
      <c r="U89" s="11"/>
      <c r="V89" s="11"/>
      <c r="W89" s="11"/>
      <c r="X89" s="11"/>
      <c r="Y89" s="11"/>
      <c r="Z89" s="11"/>
    </row>
    <row r="90">
      <c r="A90" s="28"/>
      <c r="B90" s="11"/>
      <c r="C90" s="27"/>
      <c r="D90" s="11"/>
      <c r="E90" s="11"/>
      <c r="F90" s="27"/>
      <c r="G90" s="11"/>
      <c r="H90" s="11"/>
      <c r="I90" s="11"/>
      <c r="J90" s="11"/>
      <c r="K90" s="11"/>
      <c r="L90" s="11"/>
      <c r="M90" s="11"/>
      <c r="N90" s="11"/>
      <c r="O90" s="11"/>
      <c r="P90" s="11"/>
      <c r="Q90" s="11"/>
      <c r="R90" s="11"/>
      <c r="S90" s="11"/>
      <c r="T90" s="11"/>
      <c r="U90" s="11"/>
      <c r="V90" s="11"/>
      <c r="W90" s="11"/>
      <c r="X90" s="11"/>
      <c r="Y90" s="11"/>
      <c r="Z90" s="11"/>
    </row>
    <row r="91">
      <c r="A91" s="11"/>
      <c r="B91" s="11"/>
      <c r="C91" s="27"/>
      <c r="D91" s="11"/>
      <c r="E91" s="11"/>
      <c r="F91" s="27"/>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27"/>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27"/>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27"/>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27"/>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