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08-Fall-I2G-WEB" sheetId="1" r:id="rId5"/>
    <sheet state="visible" name="2022-08-Fall-I2G-STUDENTS" sheetId="2" r:id="rId6"/>
    <sheet state="visible" name="PARTNERS + SPONSORS" sheetId="3" r:id="rId7"/>
  </sheets>
  <definedNames/>
  <calcPr/>
</workbook>
</file>

<file path=xl/sharedStrings.xml><?xml version="1.0" encoding="utf-8"?>
<sst xmlns="http://schemas.openxmlformats.org/spreadsheetml/2006/main" count="495" uniqueCount="245">
  <si>
    <t>Track</t>
  </si>
  <si>
    <t>Order</t>
  </si>
  <si>
    <t>Year-Semester</t>
  </si>
  <si>
    <t>Class</t>
  </si>
  <si>
    <t>Team#</t>
  </si>
  <si>
    <t>Team Name</t>
  </si>
  <si>
    <t>Project Title</t>
  </si>
  <si>
    <t>Organization</t>
  </si>
  <si>
    <t>Industry</t>
  </si>
  <si>
    <t>Abstract</t>
  </si>
  <si>
    <t>Student Names</t>
  </si>
  <si>
    <t>Name: Title</t>
  </si>
  <si>
    <t>2022-08-Fall-CAP</t>
  </si>
  <si>
    <t>CAP</t>
  </si>
  <si>
    <t>Bottle Inspection and Reintroduction</t>
  </si>
  <si>
    <t>Quick down bottle inspection, and recovery for immediate use.</t>
  </si>
  <si>
    <t>Delicato Family Vineyards</t>
  </si>
  <si>
    <t>Food Processing</t>
  </si>
  <si>
    <t>Delicato Family Wines sells millions of cases of wine each year. Currently they discard a good number of empty bottles that fall over. These bottles fall down between the depalletizer and the filler stations, and the main area for damage is on the lip of the bottle. Without a system in place to inspect these fallen bottles, they immediately go into recycling to ensure the safety of Delicato’s customers. Our design is the Bottle Inspector or B.I. It has two cameras and a laser mounted inside an enclosed shell. When a bottle is inserted, it will be rotated which allows the two systems to gather data quickly. This data is then used to determine if the bottle is cracked, chipped, or damaged in any other way. This system will be oversensitive to prevent any potentially damaged bottles getting to the consumers.</t>
  </si>
  <si>
    <t>Andrew Koerber, Brandon Wong, Devon Chappell, Lexi Harnack, Salvador Herrera, Brandon Gallardo</t>
  </si>
  <si>
    <t>Wine Watchers</t>
  </si>
  <si>
    <t>Dark bottle post fill inspection</t>
  </si>
  <si>
    <t>Delicato Family Wines is one of the fastest growing wineries in the U.S. with national and international distribution. During production, wine bottles may occasionally break creating glass shards that may possibly contaminate other bottles. Our team, Wine Watchers, was tasked to create a device that would allow for the detection of those glass shards without damaging or contaminating the wine bottles. Using the concept of light refraction, our team created a prototype that isolates wine bottles from all outside light sources and rotates above a powerful light bulb. A special low light camera was also connected from within the device to an outside monitor to allow live video feed of the rotating wine bottle. Our design has shown improved accuracy of detecting potential impurities within wine bottles.</t>
  </si>
  <si>
    <t>Julian Diaz, Omar Villalpando, Roberto De La Torre Real, Rose Fisher, Rod Erik Villa</t>
  </si>
  <si>
    <t>Almond Sampling Device</t>
  </si>
  <si>
    <t>Automatic Almond Sampling Device</t>
  </si>
  <si>
    <t>Blue Diamond Growers</t>
  </si>
  <si>
    <t>The Blue Diamond Growers almond receiving station located in Salida, California proposed the opportunity to produce an improved truck bed almond sampling system. They receive a large quantity of almonds from August to December which must go through a sampling process to determine the quality, moisture, and variety for further processing. The current sampling techniques are inadequate because they do not collect a  representative sample of the entire truckload and lack ergonomic functionality. The goal is to develop a device that can extract 500g-600g of almonds along at least a 4 ft depth of a truck bed. This must be done without causing damage to the almond meats while achieving ergonomic functionality and collecting the sample efficiently (30 secs per sample). The design produced by our group consists of a motorized custom auger probe which is mounted on top of a railing system that will be connected to the sampling platform. Our team created a series of handheld auger probe prototypes, tested them in operating conditions, and determined a design that meets our desired client needs.</t>
  </si>
  <si>
    <t>Diana Sepulveda, Ivan Jimenez, Michelle Padilla, Ronan Eltherington, Victor Rubio</t>
  </si>
  <si>
    <t>Team Powder</t>
  </si>
  <si>
    <t>Powder Bagging Process Optimization and Defect Reduction</t>
  </si>
  <si>
    <t>Land O' Lakes</t>
  </si>
  <si>
    <t>Land O’ Lakes is Fortune 232 of the Fortune 500 companies list and is deep-rooted in the dairy industry, producing a variety of dairy products for the entire country. The Tulare plant is part of the Dairy Foods business, focusing on the production of butter, milk powders, and dairy fluids. Team 204 was tasked with reducing the powder bagging defects produced by the current system in place, in which, the powdered product is bagged and placed on a conveyor line where various pieces of information are printed onto the bag such as production date and product number. Oftentimes the values printed on the bag are printed incorrectly due to various reasons, which can result in a reduction of the First Pass Quality. As a result of the significant loss of profit due to these factors, we integrated a reclamation machine and linear actuator as well as designed a swivel arm into the powder bagging station process to help minimize the defects, as well as maximize product production and overall revenue by reducing the number of powder bags being sold for animal feed. Reducing the number of powder bags sold as animal feed is essential as it significantly decreases the company’s overall profit due to the low prices at which the product is sold. This new system will detect printing errors and isolate defective bags from the main production line, allowing for the defective bag to be recirculated to a secondary line where a reclamation machine will cut open and recover the product inside, saving Land O' Lakes thousands of pounds of product.</t>
  </si>
  <si>
    <t>Arline Sanchez, Erik Barrera, Elio Garcia, Immanual Carney, Maria Rodriguez</t>
  </si>
  <si>
    <t>Off-Ground Almond Dryers</t>
  </si>
  <si>
    <t>On-Farm Off-Ground Natural Almond Drying</t>
  </si>
  <si>
    <t>Gemperle Orchards</t>
  </si>
  <si>
    <t>Agriculture</t>
  </si>
  <si>
    <t>The almond industry is aware of the dust generated during harvest and has designated the reduction of harvest dust by 50% as an industry goal.  Current methods of harvest involve shaking, sweeping, and gathering nuts intermixed with a drying period on the ground.  With off-ground harvesting systems, all steps can be consolidated, reducing dust generation by 75%, but drying time is also eliminated, which poses a problem because hullers require nuts to arrive dried. The objective of this project was to design a system that can enable farming operations to dry almonds on-site economically, using equipment already available. Our team performed various experiments on a smaller scale to simulate how the almond hulls would dry inside mesh compartments at different depths. The results showed that we are able to dry larger amounts of almond hulls in a single structure given proper airflow. The final design consists of repurposing an almond hopper trailer with multiple mesh compartments that serve to separate the almonds, and allows natural and artificial airflow to dry the almond hulls.</t>
  </si>
  <si>
    <t>Edgar Castilla, Julio Samaniego Jr., Marcos Alvarez, Medardo Ramirez, Nathan Downey</t>
  </si>
  <si>
    <t>Velocireaders</t>
  </si>
  <si>
    <t>Infant Hemodynamics Sensor Development</t>
  </si>
  <si>
    <t>Valley Children's Hospital</t>
  </si>
  <si>
    <t>Health Care</t>
  </si>
  <si>
    <t>Our client is Dr. Nadarasa Visveshwara, a neonatologist at Valley Children’s Hospital in Madera, CA. Infants in the neonatal intensive care unit are often placed on high-frequency mechanically assisted ventilation, or HFV. It is postulated that overexposure to HFV can increase fluid pressure throughout the brain, including in the eye, which can result in retinopathy of prematurity, or ROP, an eye disease that can cause blindness in premature infants. To detect these pressure fluctuations, we designed a Doppler ultrasound sensor to monitor blood flow velocity in the blood vessel under the infant’s fontanelle. We incorporated a piezoelectric transmitter and receiver pair at two different inclination angles within a medical-grade silicone housing. We tested the sensor by pumping blood-mimicking fluid through channels in a skin-like material known as polydimethylsiloxane (PDMS). We used oscilloscopes to measure transmitted and received frequencies from our sensor and compared the flow velocity from the frequency shift to the actual flow velocity from the pump flow rate. Our sensor can be used for a series of tests to obtain FDA approval for clinical use.</t>
  </si>
  <si>
    <t>Heidy Gomez, Holly Hoang, Jesus Cruz Lopez, Jonathan Valdivia, Ruth Verrinder</t>
  </si>
  <si>
    <t>The Tomato Detectors</t>
  </si>
  <si>
    <t>Tomato Flow Control</t>
  </si>
  <si>
    <t>The Morning Star Company</t>
  </si>
  <si>
    <t>The Morning Star Company is an industry leader that supplies 10% of the world’s ingredient tomato products, produced in some of the world’s highest-capacity tomato processing plants. At these factories, they unload tomatoes by flooding the tomato trailer with water and then flushing the tomatoes out of a door in the trailer. At the end of this process, they experience a tapering of the flow of tomatoes which impacts the effective capacity and efficiency of downstream processes. We were challenged with developing technologies that could contribute to improving the consistency of flow of tomatoes out of the trailers to further increase plant performance. We decided to use cameras and image processing in order to detect the tomatoes and show how they are flowing. This system was able to detect the red pixels from a live feed video and produced a graph that shows the trends in how the tomatoes are flowing. This system will let the client see how to improve their unloading process.</t>
  </si>
  <si>
    <t>Alyssa Castro, Alejandra Gil-Mares, Francisco Alonso, Omar Covarrubias, Oscar Cruz</t>
  </si>
  <si>
    <t>Project Greenbot</t>
  </si>
  <si>
    <t>End Effector for Robotic Tray Handling in Green House</t>
  </si>
  <si>
    <t>Our client, The Morningstar company, who processes tomatoes, asked us to assist in creating an automated solution for their greenhouse's transplant growing operation. As the tomatoes are grown in trays arranged in aisles parallel with the central walkway in greenhouses, the trays nearest the walkway are more exposed. These trays are rotated 180 degrees to help even out their growth. We designed and manufactured a mobile, battery-powered chassis to transport a UR10 robotic arm down these aisles, and an end effector connected to the end of the arm to lift and rotate the trays. As the robot has a control pad and CPU container, these were relocated to the rear of our prototype for ease of access, with remote control implemented for the front motors to allow the user to manually navigate the robot when necessary.</t>
  </si>
  <si>
    <t>Diego Escobar, Daniel Fierro, Jewell Graham, Jasper Thienes, Nicholas Maldonado</t>
  </si>
  <si>
    <t>Red Cell Imaging</t>
  </si>
  <si>
    <t>Doppler Radar for Medical Applications</t>
  </si>
  <si>
    <t>Mizuho</t>
  </si>
  <si>
    <t>Mizuho Medical Company is a worldwide provider of medical equipment, specializing in the development of innovative neurosurgical devices in order to advance surgical techniques and improve patient health. They currently offer an ultrasonic micro-vascular Doppler probe and transceiver that provide audio blood flow detection to aid in determining the success of cerebral aneurysm clipping. The client was interested in exploring whether the latest advancements in technology could provide a worthwhile upgrade to their current device. After considering all applicable technologies, we have proposed a design that utilizes laser speckle contrast imaging (LSCI), and relatively inexpensive components, to provide a low-cost solution for non-invasive blood flow detection. Through initial testing using an apparatus designed to mimic cerebral blood flow, we were able to calibrate our chosen electronic components and prove the basic functionality of this unique technology. Further development of the LSCI device, and refinement of the imaging processing software, would allow the company the opportunity to market the device for additional neurosurgical applications and expand its market share.</t>
  </si>
  <si>
    <t>Alexis Lozano Velasco, Alexander Ochoa, Chelsea Moniz, Christopher Patzan Lopez, Jon Embry, Marco Antonio De Jesus Padua</t>
  </si>
  <si>
    <t>Tomatek Box Delivery</t>
  </si>
  <si>
    <t>Tomato Filler Box Delivery System</t>
  </si>
  <si>
    <t>Neil Jones Foods (TomaTek)</t>
  </si>
  <si>
    <t>The Neil Jones Food Company produces a variety of California tomato and Pacific Northwest fruit products for industrial, food service, and retail customers. TomaTek owns one of the tomato plants under the company. As of now, this factory has eight fillers side-by-side and two different delivery systems on both ends of the filler lines. The boxes of bags for each filler are currently carried by hand to the fillers. This bag delivery method creates an issue regarding workers safety. The challenge is that there is not much space in the area therefore only one box is kept at the location. For our project we designed a box delivery system that delivers the correct boxes of bags to the correct filler station. This will improve the ffectiveness of overal work quality and efficiency of the tomato packaging facility.</t>
  </si>
  <si>
    <t>Bryan Reyes Morales, Daniel Perez-Zoghbi, Erick Modesto Aban, Isaac Gabriel Nartea, Joseph Hoang, Jose Aguado</t>
  </si>
  <si>
    <t>Helping Hand</t>
  </si>
  <si>
    <t>Wheelchair Bound User Transfer Device</t>
  </si>
  <si>
    <t>The Pi Shop</t>
  </si>
  <si>
    <t>Our client, The Pi Shop in Fresno, CA, helps people develop ideas into products and businesses. They tasked our team with developing a device to aid in the transfer of wheelchair bound people between their wheelchair and another surface, such as a chair, toilet, bed, car, etc. Our team created a lifting platform with an extendable transfer board that would help the user by enabling them to transfer across a level surface instead of having to fight gravity. This platform is powered by a winch and cable system, because a linear actuator was too heavy to be reasonably portable. Additionally, the drawer slides that allow the platform to raise and lower are oriented with one pair facing front to back, and the other pair facing side to side. This was done to increase the stability of the platform when raised, and when the user is shifting on it, by utilizing the drawer slides axis of greatest strength in both directions. We hope our device will give wheelchair users the help they need to get to and from various surfaces.</t>
  </si>
  <si>
    <t>Felipe Garza, Fabian Ramirez, Gordon Fredrickson, Jacqueline Garcia, Rusball Venalonzo</t>
  </si>
  <si>
    <t>2022-08-Fall-CSE</t>
  </si>
  <si>
    <t>CSE</t>
  </si>
  <si>
    <t>Sync Floyd: Comfortably Offline</t>
  </si>
  <si>
    <t>Metric Sync Engine</t>
  </si>
  <si>
    <t>Sweep Energy</t>
  </si>
  <si>
    <t>Energy</t>
  </si>
  <si>
    <t>Sweep designs and manufactures industrial wireless meters and big data workflow software for real-time equipment monitoring. They have recently launched the SweepAPI, a simple cloud-based data gathering platform for storing and analyzing time series data in a scalable fashion. Currently, Sweep does not have a feature that handles data during API server downtime. The team developed a way to buffer client data and send it to the appropriate endpoint whenever downtime is detected.</t>
  </si>
  <si>
    <t>Abel Getachew, Adam Shaker, Jaydon Harris Dudley, Kevin Espinoza, Ryan Nostrand, Ralphilou Tatoy</t>
  </si>
  <si>
    <t>WD_Bobcats</t>
  </si>
  <si>
    <t>Training Monitoring App</t>
  </si>
  <si>
    <t>Western Digital</t>
  </si>
  <si>
    <t>Computers</t>
  </si>
  <si>
    <t>Western Digital Corporation (WDC) is an American computer hard disk drive (HDD) and solid-state drive (SSD) manufacturer and data storage company. The Flash SSD engineering department is located in Milpitas, California. WDC annually hires many new engineers in the Silicon Technology and Manufacturing (STM) department for various functions within the department. The manager faces some challenges in training new hires since recruiting new hires happens at different times and it is hard to do group training. Therefore, the WD_Bobcats developed a training web application that allows WDC managers to assign various courses to employees on a needed basis. This website will enable managers to give feedback and grade answers for their respective assigned employees. Upon completing those assigned courses, the new hires can illustrate their understanding of the material, prepare for their job position, and further allow the company to thrive. Managers will have a better understanding of the employee's knowledge, and employees will feel much happier having standardized courses that will sharpen their skills.</t>
  </si>
  <si>
    <t>Ashmir Moni, Gursagar Singh, Justin Noah Dumindin, Sarah Padilla, Wilfried Aubin Ngongang Yomba, Socheata Hour</t>
  </si>
  <si>
    <t>DevTracker</t>
  </si>
  <si>
    <t>Western Digital is a data infrastructure company specializing in data storage products such as solid-state drives and hard disk drives. They utilize Apache Subversion (SVN) for software versioning and software control. Western Digital had the need for a web application to analyze its engineers’ development activities to make better decisions for resource planning. The team has created DevTracker which is a web application that pulls information from the SVN server and uses it to generate key performance indicators (KPI) and display them to the user.</t>
  </si>
  <si>
    <t>Adrian Luciano Cervantes, Jose Luciano, Johnny Ly, Krishna Movva, Richard Mejia Gutierrez, Sean Saki</t>
  </si>
  <si>
    <t>Skills Management Partnership (SMP)</t>
  </si>
  <si>
    <t>Training Matrix</t>
  </si>
  <si>
    <t>Betts Company</t>
  </si>
  <si>
    <t>Transportation</t>
  </si>
  <si>
    <t>Betts Company is a manufacturer specializing in springs and heavy-duty truck parts based in Fresno, CA. Employees are expected to be properly trained to perform specific tasks in their work center; however, Betts was having trouble managing employee data. Betts needed a user-friendly multi-platform solution to keep track of employee training. Team " (SMP)" has designed a web application which allows Betts management to view employee training records and Betts HR to edit, and update said records. This web application provides easy access for management to search through employee training records while providing HR easy access to edit and view the data.</t>
  </si>
  <si>
    <t>Andrew Arriaga, Abbas Rizvi, Crystal Ling, Dominique Soriano, Omar Ramirez</t>
  </si>
  <si>
    <t>V-ARM</t>
  </si>
  <si>
    <t>Motion Tracking by Virtual Reality</t>
  </si>
  <si>
    <t>Valley Children’s Hospital (VCH) is a healthcare institution located in the central valley of California, providing excellent healthcare services to children. In order to enhance the VCH’s virtual medicine services, this project explores the use of Virtual Reality (VR) to track movement during neurological examinations for more accuracy. The team developed a VR environment and a front-end, in which a doctor can proctor a neurological exam for patients with a brain injury, such as a stroke. This exam would track the patient’s elbow flexion/extension, and extract that positional data to compute the angular velocity and create a classification of strength based on the angular velocity achieved. The purpose of this is to hasten the evaluation of the injuries sustained by the patient along key points on their spinal cord. The front-end will allow the doctor to view exam information, along with generating a report on the exam results.</t>
  </si>
  <si>
    <t>Abbas Siddiqui, Chloe Engel, John Dominic Biton, Leonel Paredes Barrera, Salvador Avelar-Lopez, Shreya Shriram</t>
  </si>
  <si>
    <t>Innoweight2Go</t>
  </si>
  <si>
    <t>Loading Assistant</t>
  </si>
  <si>
    <t>US Cold Storage</t>
  </si>
  <si>
    <t>United States Cold Storage is a warehousing/logistics company that provides shipping, receiving, and storage solutions for the refrigerated and frozen food industries. Loading a truck with proper weight distribution is a skill learned from experience. Given recently high turnover rates, newer employees often make mistakes loading trucks, leading to the truck being sent back to be re-loaded and increasing overhead costs. The team was able to create a tool that generates a suggested basic loading pattern based on the parameters of the truck and the pallet order. This tool will both decrease the number of errors an inexperienced loader might face and streamline the process for an experienced loader.</t>
  </si>
  <si>
    <t>Allen Li, Christopher Tapia, Johnny Zhu, Nathan Estrada, Samuel Nguyen</t>
  </si>
  <si>
    <t>eTA</t>
  </si>
  <si>
    <t>TA Allocation Algorithm Implementation</t>
  </si>
  <si>
    <t>UC Merced CSE</t>
  </si>
  <si>
    <t>Education</t>
  </si>
  <si>
    <t>The Computer Science and Engineering (CSE) Department at the University of California, Merced uses a complex formula for assigning Teaching Assistants (TAs) to undergraduate courses. Applying the formula by hand is a time consuming, error prone process, resulting in potentially sub-optimal allocations. The team constructed a web application that is intuitive, reliable and easy to use, with a strong emphasis on security and privacy, due to the sensitive nature of the data. The department can use this application to make fair, equitable, and transparent assignments for TAs in a fraction of the time it would have normally taken, allowing professors to dedicate more time to their educational and research activities.</t>
  </si>
  <si>
    <t>Harleen Mann, Isabella Montoya, Lamine Geordan Sunga Kouangue, Valeria Cortez, Yee Thao</t>
  </si>
  <si>
    <t>R.A.T.S.</t>
  </si>
  <si>
    <t>Smart Rodent Detection</t>
  </si>
  <si>
    <t>Agrecom</t>
  </si>
  <si>
    <t>Agrecom provides a spectrum of solutions in the areas of water treatment and sanitation, targeting clients in agriculture, residential, and commercial sectors. Agrecom lacks a centralized system that would rapidly transform client data into actionable information, replacing their obsolete method of manual classification. Our product is designed to identify critical areas of rodent activity, by inputting a parent Ranch folder into Amazon’s Machine Learning Rekognition Engine Model, which then outputs the total number of rats captured, per camera. Upon storing these statistics into the AWS RDS database, our cloud-based web-server then polls and displays a map that uniquely indexes all clients with their respective aggregate totals. Our goal is to fully maximize the data sample, in order to proactively mitigate the financial aftermath of rodent infestations, in effect, initiating a beneficial dialogue for both the client and company.</t>
  </si>
  <si>
    <t>Anson Yu, Gerardo Garduno, Mike Monokandilos, Milan Overholtzer, Matthew Randolph, Torrance Zhou</t>
  </si>
  <si>
    <t>Make Spacee</t>
  </si>
  <si>
    <t>Relevance Weighted Meeting Scheduler</t>
  </si>
  <si>
    <t>Veracruz Ventures</t>
  </si>
  <si>
    <t>Software</t>
  </si>
  <si>
    <t>Veracruz Ventures is a company based in Portugal that focuses on smart farms, applying and developing cutting-edge technology include data management. Veracruz supports the Innovate to Grow program to develop data management software and search modules applicable to Ag and beyond. Existing meeting scheduler technologies have flaws such as assuming participants having the same relevance or needing to be present for the entire time, leading to meetings being canceled, postponed or lacking critical participants. The team developed a meeting scheduler that builds upon features from existing technologies such as Doodle and When2Meet. The application the team developed allows participants of a meeting to rank their availability for each time slot on a scale of unavailable, flexible, and available. The organizer has the ability to rank the relevance of each participant such that the resulting availability graph represents a 2-dimensional scale with one axis being the general availability and the other axis being availability of relevant participants.</t>
  </si>
  <si>
    <t>Aishwaria Rangasamy, Chester Merino, Erick Vargas, Eric Wu, Phien Nguyen, Sofiah Lawal</t>
  </si>
  <si>
    <t>The VeraCruz Crew</t>
  </si>
  <si>
    <t>Constructing Composite Geographical Areas for a Search - Phase 2</t>
  </si>
  <si>
    <t>When using Google maps, have you ever wanted to search within certain areas but exclude other areas, such as the coast or within 2 different cities? Veracruz Ventures is a company based in Portugal that focuses on smart farms, applying and developing cutting-edge technology include data management. Veracruz supports the Innovate to Grow program to develop data management software and search modules applicable to Ag and beyond. Our team goal was to allow users to search for points of interest within predefined areas on a map, rather than the whole visible map. The team created a web application using Python Flask and Google Maps Javascript API to create an interactive map that allows a user to create multiple shapes as defined areas to search, then makes an API request using Google Cloud for points of interest within those areas, and return in a list format those results.</t>
  </si>
  <si>
    <t>Christopher Gauthier, Donovan Malloy, Jorman Saucedo, Luis Morante</t>
  </si>
  <si>
    <t>Wear Detection Group</t>
  </si>
  <si>
    <t>Bottling Change Part Wear Measuring Tool</t>
  </si>
  <si>
    <t>E&amp;J Gallo Winery</t>
  </si>
  <si>
    <t xml:space="preserve">E. &amp; J. Gallo is a winery and distributor headquartered in Modesto California.  It is the largest family-owned winery in the US and is the leading provider of California wines. With its large-scale manufacturing, comes many parts that need to be changed and maintained. The solution that our team came up with is an app that uses object detection to see whether or not the capper from one of the machines is worn enough to warrant a replacement. If this proof of concept is continued, it could potentially help with wear detection across more parts as data is collected. We have also taken steps to tackle the problem of precision measuring on the phone so that the problem has the potential to be solved in the future. </t>
  </si>
  <si>
    <t>Bryant Chon, David Arizpe Arroyo, Daisy Hernandez, Jashandeep Singh, Miguel Martinez, Navjot Sandhu</t>
  </si>
  <si>
    <t>Seedetector</t>
  </si>
  <si>
    <t>Counting Vegetable Seedlings</t>
  </si>
  <si>
    <t>California Transplants</t>
  </si>
  <si>
    <t>California Transplants is a grower supply company for seedlings located in Newman, California. They specialize in tomatoes, pepper, broccoli, cauliflower, melon, cabbage, and industrial hemp seedlings. Their facility consists of 274 greenhouses that will use over 400 million seeds provided by their customers. Our project worked with tomato plants, and we have created a tool to count the number of viable seedlings in a tray using image processing technology. A ‘viable’ seedling is determined by if it grows its cotyledon, or the first two or three leaves when the seed germinates. The solution we created processes up to thousands of images by isolating the colors of the seedlings, detecting their contours, and finally determining the good and bad seedling counts to be uploaded to their inventory.</t>
  </si>
  <si>
    <t>Alan Barajas, Jamie Mariz Laudencia, Jason Petersen, Kyle Canotal, Rafael Eduardo Lintao</t>
  </si>
  <si>
    <t>InvenTREE</t>
  </si>
  <si>
    <t>Inventory of Trees - Phase 2: Size and Alive</t>
  </si>
  <si>
    <t>UC Merced Experimental Farm</t>
  </si>
  <si>
    <t>The UC Merced Experimental Farm supports agricultural research focused on sustainability, new technologies, and the overall future of farming. Local Farmers have partnered with UC Merced Experimental Farm in hopes to lessen the time spent on keeping track of the status of all the trees that are in their orchards. To solve this problem, our team was tasked with developing a software that automatically measures a tree and analyzes its condition. Our software utilizes machine learning accelerated image recognition to classify tree conditions so that farmers can efficiently manage the condition of their farms without wasting the time and effort of their employees.</t>
  </si>
  <si>
    <t>David Gantman, David Lucman, Ethan Reidel, Intiser Aziz, Seth Dougherty</t>
  </si>
  <si>
    <t>Barcode Bobcats</t>
  </si>
  <si>
    <t>Automated barcode scanning of containers in an outdoor warehouse</t>
  </si>
  <si>
    <t>The Morning Star Company accounts for over 30% of the California processing tomato production, supplying 40% of the U.S. ingredient tomato paste and diced tomato markets. Currently, the company has workers manually scan the barcodes located on the containers before placing them at the designated location. This scanning process requires a lot of time and only around 80% of the containers are scanned without errors. Our team has created a solution that automates this scanning process, making it more efficient and accurate. A camera mounted on the forklift will automatically scan the barcode when picking up the containers and detect if the barcode is properly scanned via an audible notification. The camera is connected to a monitor inside the forklift which enables the driver to input the designated location of the container, and to oversee the entire process.</t>
  </si>
  <si>
    <t>Brayan Ortiz, Jerin Sajimon, Lucas Netto, Luis Palafox, Malik Khan, Warren Liang</t>
  </si>
  <si>
    <t>Tomato Troopers</t>
  </si>
  <si>
    <t>Vision System to Detect Product Loss in Tomato Harvesting</t>
  </si>
  <si>
    <t>The Morning Star Company works on all aspects of tomato production, with subsidiary California Sun Grower Services focusing on harvesting. The client wanted a vision system on a harvester, facing towards the back, that monitors any product loss during tomato harvesting to allow for adjustments to prevent further loss. The team’s solution was to establish a visual detection system using an object detection method to find dropped tomatoes in the live camera footage. It keeps track of the tomatoes that it identifies to estimate a total count. The team integrated a notification system to alert the harvester with a pop up on screen after a certain amount of tomatoes were detected and an Excel database to store the data.</t>
  </si>
  <si>
    <t>Achyuth Kolluru, Brandon Kieng, Christian Guiang, Shane Clanton, Tiffany Peng</t>
  </si>
  <si>
    <t>Nuclear Reacters</t>
  </si>
  <si>
    <t>Autonomous Vehicle user Interface and Data System</t>
  </si>
  <si>
    <t>Milano Technical Group</t>
  </si>
  <si>
    <t>Milano Technical Group is an engineering consulting firm specializing in agriculture and industrial automation. They are currently working on an automated material handling robot which would make its way around the warehouse carrying up to 8,000 pounds. Our team's job was to create an interactive web-app for monitoring and directing the robots. Through this web-app supervisors can create forklift driver accounts and assign them tasks. Additionally, this web-app allows forklift drivers to pick up tasks assigned by the supervisors and direct robots according to those tasks. This product will significantly improve time efficiency for the forklift drivers by automating warehouse item transportation process.</t>
  </si>
  <si>
    <t>Ahmad Suleiman, Christian-John Forcadilla, Siddhant Abhijit, Veronika Nechaeva, Winston Lou</t>
  </si>
  <si>
    <t>Detect.io</t>
  </si>
  <si>
    <t>Automated inspection using artificial intelligence</t>
  </si>
  <si>
    <t>Omron</t>
  </si>
  <si>
    <t>Omron Robotics and Safety Technologies (ORT) manufactures and produces innovative robot and safety sensor products. ORT is looking to implement a solution to reduce manual inspection labor by using machine learning to accurately automate defect detection under standard work cell lighting conditions. The team, Detect.io, utilized a machine learning model that the team trained with images of scratches and paint chips of given robotic parts from ORT. As a result of this project, ORT will receive images of samples with defects to strengthen their inspection database remotely for further research possibilities for ORT’s clients to have more consistent products.</t>
  </si>
  <si>
    <t>Danny Li, Gabriel Allan Navata, Somya Shah, Valentinno Cruz, Vince Nguyen</t>
  </si>
  <si>
    <t>Weight B4</t>
  </si>
  <si>
    <t>Basil yield estimation</t>
  </si>
  <si>
    <t>Supherb Farms</t>
  </si>
  <si>
    <t>SupHerb Farms is a company whose primary business is contracting culinary herb production, processing of those herbs, and sale of the finished products around the world. Looking to improve upon their current visual estimations, SupHerb Farms tasked the team to develop a vision-based system that utilizes images to produce accurate yield estimations of basil plants photographed. The team designed a program that is able to segmentate only the basil plant in order to calculate a plant volume. Using inputted images from a user, the program creates an estimated volume. Making further calculations, an estimate is calculated for mass yield, which is presented to the user on a web page.</t>
  </si>
  <si>
    <t>Julian Hernandez, Santiago Ramirez Manzo, Stanley Yuan, Tahea Hossain, Vincent Filipinas, Zhihao Bai</t>
  </si>
  <si>
    <t>2022-08-Fall-CEE</t>
  </si>
  <si>
    <t>CEE</t>
  </si>
  <si>
    <t>CE1</t>
  </si>
  <si>
    <t>Evaluating and Designing Strategies for Reducing Vulnerability to Extreme Heat in Merced, CA</t>
  </si>
  <si>
    <t>City of Merced</t>
  </si>
  <si>
    <t>Environment</t>
  </si>
  <si>
    <t xml:space="preserve"> </t>
  </si>
  <si>
    <t>Jennifer Dolores, Noe Garay, Cynthia Vazquez</t>
  </si>
  <si>
    <t>CE2</t>
  </si>
  <si>
    <t>Evaluating and Designing GHG Mitigation Strategies for Transportation Activity in Merced, CA</t>
  </si>
  <si>
    <t>Andrew Howard, Sawyer Ingersoll, Sierra Lema</t>
  </si>
  <si>
    <t>Abel Getachew    Adam Shaker    Jaydon Harris Dudley    Kevin Espinoza    Ryan Nostrand    Ralphilou Tatoy</t>
  </si>
  <si>
    <t>Ashmir Moni    Gursagar Singh    Justin Noah Dumindin    Sarah Padilla    Wilfried Aubin Ngongang Yomba    Socheata Hour</t>
  </si>
  <si>
    <t>Adrian Luciano Cervantes    Jose Luciano    Johnny Ly    Krishna Movva    Richard Mejia Gutierrez    Sean Saki</t>
  </si>
  <si>
    <t>Andrew Arriaga    Abbas Rizvi    Crystal Ling    Dominique Soriano    Omar Ramirez</t>
  </si>
  <si>
    <t>Abbas Siddiqui    Chloe Engel    John Dominic Biton    Leonel Paredes Barrera    Salvador Avelar-Lopez    Shreya Shriram</t>
  </si>
  <si>
    <t>Allen Li    Christopher Tapia    Johnny Zhu    Nathan Estrada    Samuel Nguyen</t>
  </si>
  <si>
    <t>Harleen Mann    Isabella Montoya    Lamine Geordan Sunga Kouangue    Valeria Cortez    Yee Thao</t>
  </si>
  <si>
    <t>Anson Yu    Gerardo Garduno    Mike Monokandilos    Milan Overholtzer    Matthew Randolph    Torrance Zhou</t>
  </si>
  <si>
    <t>Aishwaria Rangasamy    Chester Merino    Erick Vargas    Eric Wu    Phien Nguyen    Sofiah Lawal</t>
  </si>
  <si>
    <t>Christopher Gauthier    Donovan Malloy    Jorman Saucedo    Luis Morante</t>
  </si>
  <si>
    <t>Bryant Chon    David Arizpe Arroyo    Daisy Hernandez    Jashandeep Singh    Miguel Martinez    Navjot Sandhu</t>
  </si>
  <si>
    <t>Alan Barajas    Jamie Mariz Laudencia    Jason Petersen    Kyle Canotal    Rafael Eduardo Lintao</t>
  </si>
  <si>
    <t>David Gantman    David Lucman    Ethan Reidel    Intiser Aziz    Seth Dougherty</t>
  </si>
  <si>
    <t>Brayan Ortiz    Jerin Sajimon    Lucas Netto    Luis Palafox    Malik Khan    Warren Liang</t>
  </si>
  <si>
    <t>Achyuth Kolluru    Brandon Kieng    Christian Guiang    Shane Clanton    Tiffany Peng</t>
  </si>
  <si>
    <t>Ahmad Suleiman    Christian-John Forcadilla    Siddhant Abhijit    Veronika Nechaeva    Winston Lou</t>
  </si>
  <si>
    <t>Danny Li    Gabriel Allan Navata    Somya Shah    Valentinno Cruz    Vince Nguyen</t>
  </si>
  <si>
    <t>Julian Hernandez    Santiago Ramirez Manzo    Stanley Yuan    Tahea Hossain    Vincent Filipinas    Zhihao Bai</t>
  </si>
  <si>
    <t>Andrew Koerber,  Brandon Wong,  Devon Chappell,  Lexi Harnack,  Salvador Herrera</t>
  </si>
  <si>
    <t>Andrew Koerber    Brandon Wong    Devon Chappell    Lexi Harnack    Salvador Herrera</t>
  </si>
  <si>
    <t>Andrew Koerber    Brandon Wong    Devon Chappell    Lexi Harnack    Salvador Herrera    Brandon Gallardo</t>
  </si>
  <si>
    <t>Julian Diaz,  Omar Villalpando,  Roberto De La Torre Real,  Rose Fisher,  Rod Erik Villa</t>
  </si>
  <si>
    <t>Julian Diaz    Omar Villalpando    Roberto De La Torre Real    Rose Fisher    Rod Erik Villa</t>
  </si>
  <si>
    <t>Diana Sepulveda,  Ivan Jimenez,  Michelle Padilla,  Ronan Eltherington,  Victor Rubio</t>
  </si>
  <si>
    <t>Diana Sepulveda    Ivan Jimenez    Michelle Padilla    Ronan Eltherington    Victor Rubio</t>
  </si>
  <si>
    <t>Arline Sanchez,  Erik Barrera,  Elio Garcia,  Immanual Carney,  Maria Rodriguez</t>
  </si>
  <si>
    <t>Arline Sanchez    Erik Barrera    Elio Garcia    Immanual Carney    Maria Rodriguez</t>
  </si>
  <si>
    <t>Edgar Castilla,  Jessica Romero,  Julio Samaniego Jr.,  Marcos Alvarez,  Medardo Ramirez,  Nathan Downey</t>
  </si>
  <si>
    <t>Edgar Castilla    Jessica Romero    Julio Samaniego Jr.    Marcos Alvarez    Medardo Ramirez    Nathan Downey</t>
  </si>
  <si>
    <t>Edgar Castilla, Jessica Romero, Julio Samaniego Jr., Marcos Alvarez, Medardo Ramirez, Nathan Downey</t>
  </si>
  <si>
    <t>Heidy Gomez,  Holly Hoang,  Jesus Cruz Lopez,  Jonathan Valdivia,  Ruth Verrinder</t>
  </si>
  <si>
    <t>Heidy Gomez    Holly Hoang    Jesus Cruz Lopez    Jonathan Valdivia    Ruth Verrinder</t>
  </si>
  <si>
    <t>Alyssa Castro,  Alejandra Gil-Mares,  Francisco Alonso,  Omar Covarrubias,  Oscar Cruz</t>
  </si>
  <si>
    <t>Alyssa Castro    Alejandra Gil-Mares    Francisco Alonso    Omar Covarrubias    Oscar Cruz</t>
  </si>
  <si>
    <t>Diego Escobar,  Daniel Fierro,  Jewell Graham,  Jasper Thienes,  Nicholas Maldonado</t>
  </si>
  <si>
    <t>Diego Escobar    Daniel Fierro    Jewell Graham    Jasper Thienes    Nicholas Maldonado</t>
  </si>
  <si>
    <t>Alexis Lozano Velasco,  Alexander Ochoa,  Chelsea Moniz,  Christopher Patzan Lopez,  Jon Embry,  Marco Antonio De Jesus Padua</t>
  </si>
  <si>
    <t>Alexis Lozano Velasco    Alexander Ochoa    Chelsea Moniz    Christopher Patzan Lopez    Jon Embry    Marco Antonio De Jesus Padua</t>
  </si>
  <si>
    <t>Bryan Reyes Morales,  Daniel Perez-Zoghbi,  Erick Modesto Aban,  Isaac Gabriel Nartea,  Joseph Hoang</t>
  </si>
  <si>
    <t>Bryan Reyes Morales    Daniel Perez-Zoghbi    Erick Modesto Aban    Isaac Gabriel Nartea    Joseph Hoang</t>
  </si>
  <si>
    <t>Bryan Reyes Morales    Daniel Perez-Zoghbi    Erick Modesto Aban    Isaac Gabriel Nartea    Joseph Hoang    Jose Aguado</t>
  </si>
  <si>
    <t>Felipe Garza,  Fabian Ramirez,  Gordon Fredrickson,  Jacqueline Garcia,  Rusball Venalonzo</t>
  </si>
  <si>
    <t>Felipe Garza    Fabian Ramirez    Gordon Fredrickson    Jacqueline Garcia    Rusball Venalonzo</t>
  </si>
  <si>
    <t>2022-01-Spring-CAP1</t>
  </si>
  <si>
    <t>Frito Lay</t>
  </si>
  <si>
    <t>2022-01-Spring-CAP2</t>
  </si>
  <si>
    <t>Dave Wilson Nursery</t>
  </si>
  <si>
    <t>2022-01-Spring-CAP3</t>
  </si>
  <si>
    <t>2022-01-Spring-CAP4</t>
  </si>
  <si>
    <t>2022-01-Spring-CAP5</t>
  </si>
  <si>
    <t>Sensient Natural Ingredients</t>
  </si>
  <si>
    <t>2022-01-Spring-CAP6</t>
  </si>
  <si>
    <t>2022-01-Spring-CAP7</t>
  </si>
  <si>
    <t>2022-01-Spring-CAP8</t>
  </si>
  <si>
    <t>2022-01-Spring-CAP9</t>
  </si>
  <si>
    <t>Klingborg Enterprises</t>
  </si>
  <si>
    <t>UC Merced - The Pi Shop</t>
  </si>
  <si>
    <t>BART</t>
  </si>
  <si>
    <t>Laird Manufacturing</t>
  </si>
  <si>
    <t>Olam</t>
  </si>
  <si>
    <t>Duarte Nursery</t>
  </si>
  <si>
    <t>Neil Jones Foods (San Benito Foods)</t>
  </si>
  <si>
    <t>IoT4Ag</t>
  </si>
  <si>
    <t>Corigin Solutions</t>
  </si>
  <si>
    <t>2022-01-Spring-CSE</t>
  </si>
  <si>
    <t>Winston Cone Optics</t>
  </si>
  <si>
    <t>Gemperle Family Farms</t>
  </si>
  <si>
    <t>ISSNAF</t>
  </si>
  <si>
    <t>SLAC National Accelerator Laboratory</t>
  </si>
  <si>
    <t>UCSF</t>
  </si>
  <si>
    <t>2022-01-Spring-CEE</t>
  </si>
  <si>
    <t>2022-01-Spring-EngSL</t>
  </si>
  <si>
    <t>Neil Jones Foods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</si>
</sst>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b/>
      <sz val="9.0"/>
      <color theme="1"/>
      <name val="Arial"/>
    </font>
    <font>
      <sz val="9.0"/>
      <color theme="1"/>
      <name val="Arial"/>
    </font>
    <font>
      <sz val="9.0"/>
      <color theme="1"/>
      <name val="Arial"/>
      <scheme val="minor"/>
    </font>
    <font>
      <sz val="9.0"/>
      <color rgb="FF000000"/>
      <name val="Arial"/>
    </font>
    <font>
      <color theme="1"/>
      <name val="Arial"/>
      <scheme val="minor"/>
    </font>
  </fonts>
  <fills count="5">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64" xfId="0" applyAlignment="1" applyFont="1" applyNumberFormat="1">
      <alignment horizontal="left" shrinkToFit="0" vertical="center" wrapText="0"/>
    </xf>
    <xf borderId="0" fillId="2" fontId="1" numFmtId="0" xfId="0" applyAlignment="1" applyFont="1">
      <alignment horizontal="left" shrinkToFit="0" vertical="center" wrapText="0"/>
    </xf>
    <xf borderId="0" fillId="3"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4" fontId="2" numFmtId="0" xfId="0" applyAlignment="1" applyFill="1" applyFont="1">
      <alignment horizontal="left" readingOrder="0" shrinkToFit="0" vertical="center" wrapText="0"/>
    </xf>
    <xf borderId="0" fillId="0" fontId="3"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5" numFmtId="0" xfId="0" applyAlignment="1" applyFont="1">
      <alignment horizontal="left" readingOrder="0" vertical="center"/>
    </xf>
    <xf borderId="0" fillId="0" fontId="5"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etect.i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6.13"/>
    <col customWidth="1" min="4" max="4" width="6.0"/>
    <col customWidth="1" min="5" max="5" width="7.38"/>
    <col customWidth="1" min="6" max="6" width="17.88"/>
    <col customWidth="1" min="7" max="7" width="30.88"/>
    <col customWidth="1" min="8" max="8" width="23.25"/>
    <col customWidth="1" min="9" max="9" width="19.0"/>
    <col customWidth="1" min="10" max="10" width="32.5"/>
    <col customWidth="1" min="11" max="11" width="66.75"/>
    <col customWidth="1" min="12" max="12" width="49.5"/>
  </cols>
  <sheetData>
    <row r="1" ht="18.75" customHeight="1">
      <c r="A1" s="1" t="s">
        <v>0</v>
      </c>
      <c r="B1" s="2" t="s">
        <v>1</v>
      </c>
      <c r="C1" s="1" t="s">
        <v>2</v>
      </c>
      <c r="D1" s="1" t="s">
        <v>3</v>
      </c>
      <c r="E1" s="3" t="s">
        <v>4</v>
      </c>
      <c r="F1" s="3" t="s">
        <v>5</v>
      </c>
      <c r="G1" s="1" t="s">
        <v>6</v>
      </c>
      <c r="H1" s="1" t="s">
        <v>7</v>
      </c>
      <c r="I1" s="1" t="s">
        <v>8</v>
      </c>
      <c r="J1" s="4" t="s">
        <v>9</v>
      </c>
      <c r="K1" s="4" t="s">
        <v>10</v>
      </c>
      <c r="L1" s="5" t="s">
        <v>11</v>
      </c>
      <c r="M1" s="6"/>
      <c r="N1" s="7"/>
      <c r="O1" s="7"/>
      <c r="P1" s="7"/>
      <c r="Q1" s="7"/>
      <c r="R1" s="7"/>
      <c r="S1" s="7"/>
      <c r="T1" s="7"/>
      <c r="U1" s="7"/>
      <c r="V1" s="7"/>
      <c r="W1" s="7"/>
      <c r="X1" s="7"/>
      <c r="Y1" s="7"/>
    </row>
    <row r="2" ht="18.75" customHeight="1">
      <c r="A2" s="6">
        <v>1.0</v>
      </c>
      <c r="B2" s="6">
        <v>1.0</v>
      </c>
      <c r="C2" s="8" t="s">
        <v>12</v>
      </c>
      <c r="D2" s="8" t="s">
        <v>13</v>
      </c>
      <c r="E2" s="6">
        <v>201.0</v>
      </c>
      <c r="F2" s="6" t="s">
        <v>14</v>
      </c>
      <c r="G2" s="8" t="s">
        <v>15</v>
      </c>
      <c r="H2" s="6" t="s">
        <v>16</v>
      </c>
      <c r="I2" s="6" t="s">
        <v>17</v>
      </c>
      <c r="J2" s="8" t="s">
        <v>18</v>
      </c>
      <c r="K2" s="6" t="s">
        <v>19</v>
      </c>
      <c r="L2" s="6" t="str">
        <f t="shared" ref="L2:L32" si="1">"Team: " &amp; F2 &amp; "  -  Project: " &amp; G2</f>
        <v>Team: Bottle Inspection and Reintroduction  -  Project: Quick down bottle inspection, and recovery for immediate use.</v>
      </c>
      <c r="M2" s="7"/>
      <c r="N2" s="9"/>
      <c r="O2" s="7"/>
      <c r="P2" s="7"/>
      <c r="Q2" s="7"/>
      <c r="R2" s="7"/>
      <c r="S2" s="7"/>
      <c r="T2" s="7"/>
      <c r="U2" s="7"/>
      <c r="V2" s="7"/>
      <c r="W2" s="7"/>
      <c r="X2" s="7"/>
      <c r="Y2" s="7"/>
    </row>
    <row r="3" ht="18.75" customHeight="1">
      <c r="A3" s="6">
        <v>1.0</v>
      </c>
      <c r="B3" s="6">
        <v>2.0</v>
      </c>
      <c r="C3" s="8" t="s">
        <v>12</v>
      </c>
      <c r="D3" s="8" t="s">
        <v>13</v>
      </c>
      <c r="E3" s="6">
        <v>202.0</v>
      </c>
      <c r="F3" s="6" t="s">
        <v>20</v>
      </c>
      <c r="G3" s="8" t="s">
        <v>21</v>
      </c>
      <c r="H3" s="6" t="s">
        <v>16</v>
      </c>
      <c r="I3" s="6" t="s">
        <v>17</v>
      </c>
      <c r="J3" s="8" t="s">
        <v>22</v>
      </c>
      <c r="K3" s="6" t="s">
        <v>23</v>
      </c>
      <c r="L3" s="6" t="str">
        <f t="shared" si="1"/>
        <v>Team: Wine Watchers  -  Project: Dark bottle post fill inspection</v>
      </c>
      <c r="M3" s="7"/>
      <c r="N3" s="9"/>
      <c r="O3" s="7"/>
      <c r="P3" s="7"/>
      <c r="Q3" s="7"/>
      <c r="R3" s="7"/>
      <c r="S3" s="7"/>
      <c r="T3" s="7"/>
      <c r="U3" s="7"/>
      <c r="V3" s="7"/>
      <c r="W3" s="7"/>
      <c r="X3" s="7"/>
      <c r="Y3" s="7"/>
    </row>
    <row r="4" ht="18.75" customHeight="1">
      <c r="A4" s="6">
        <v>2.0</v>
      </c>
      <c r="B4" s="6">
        <v>1.0</v>
      </c>
      <c r="C4" s="8" t="s">
        <v>12</v>
      </c>
      <c r="D4" s="8" t="s">
        <v>13</v>
      </c>
      <c r="E4" s="6">
        <v>203.0</v>
      </c>
      <c r="F4" s="6" t="s">
        <v>24</v>
      </c>
      <c r="G4" s="8" t="s">
        <v>25</v>
      </c>
      <c r="H4" s="6" t="s">
        <v>26</v>
      </c>
      <c r="I4" s="6" t="s">
        <v>17</v>
      </c>
      <c r="J4" s="8" t="s">
        <v>27</v>
      </c>
      <c r="K4" s="6" t="s">
        <v>28</v>
      </c>
      <c r="L4" s="6" t="str">
        <f t="shared" si="1"/>
        <v>Team: Almond Sampling Device  -  Project: Automatic Almond Sampling Device</v>
      </c>
      <c r="M4" s="7"/>
      <c r="N4" s="9"/>
      <c r="O4" s="7"/>
      <c r="P4" s="7"/>
      <c r="Q4" s="7"/>
      <c r="R4" s="7"/>
      <c r="S4" s="7"/>
      <c r="T4" s="7"/>
      <c r="U4" s="7"/>
      <c r="V4" s="7"/>
      <c r="W4" s="7"/>
      <c r="X4" s="7"/>
      <c r="Y4" s="7"/>
    </row>
    <row r="5" ht="18.75" customHeight="1">
      <c r="A5" s="6">
        <v>1.0</v>
      </c>
      <c r="B5" s="6">
        <v>3.0</v>
      </c>
      <c r="C5" s="8" t="s">
        <v>12</v>
      </c>
      <c r="D5" s="8" t="s">
        <v>13</v>
      </c>
      <c r="E5" s="6">
        <v>204.0</v>
      </c>
      <c r="F5" s="6" t="s">
        <v>29</v>
      </c>
      <c r="G5" s="8" t="s">
        <v>30</v>
      </c>
      <c r="H5" s="6" t="s">
        <v>31</v>
      </c>
      <c r="I5" s="6" t="s">
        <v>17</v>
      </c>
      <c r="J5" s="8" t="s">
        <v>32</v>
      </c>
      <c r="K5" s="6" t="s">
        <v>33</v>
      </c>
      <c r="L5" s="6" t="str">
        <f t="shared" si="1"/>
        <v>Team: Team Powder  -  Project: Powder Bagging Process Optimization and Defect Reduction</v>
      </c>
      <c r="M5" s="7"/>
      <c r="N5" s="9"/>
      <c r="O5" s="7"/>
      <c r="P5" s="7"/>
      <c r="Q5" s="7"/>
      <c r="R5" s="7"/>
      <c r="S5" s="7"/>
      <c r="T5" s="7"/>
      <c r="U5" s="7"/>
      <c r="V5" s="7"/>
      <c r="W5" s="7"/>
      <c r="X5" s="7"/>
      <c r="Y5" s="7"/>
    </row>
    <row r="6" ht="18.75" customHeight="1">
      <c r="A6" s="6">
        <v>2.0</v>
      </c>
      <c r="B6" s="6">
        <v>2.0</v>
      </c>
      <c r="C6" s="8" t="s">
        <v>12</v>
      </c>
      <c r="D6" s="8" t="s">
        <v>13</v>
      </c>
      <c r="E6" s="6">
        <v>205.0</v>
      </c>
      <c r="F6" s="6" t="s">
        <v>34</v>
      </c>
      <c r="G6" s="8" t="s">
        <v>35</v>
      </c>
      <c r="H6" s="6" t="s">
        <v>36</v>
      </c>
      <c r="I6" s="6" t="s">
        <v>37</v>
      </c>
      <c r="J6" s="8" t="s">
        <v>38</v>
      </c>
      <c r="K6" s="6" t="s">
        <v>39</v>
      </c>
      <c r="L6" s="6" t="str">
        <f t="shared" si="1"/>
        <v>Team: Off-Ground Almond Dryers  -  Project: On-Farm Off-Ground Natural Almond Drying</v>
      </c>
      <c r="M6" s="7"/>
      <c r="N6" s="9"/>
      <c r="O6" s="7"/>
      <c r="P6" s="7"/>
      <c r="Q6" s="7"/>
      <c r="R6" s="7"/>
      <c r="S6" s="7"/>
      <c r="T6" s="7"/>
      <c r="U6" s="7"/>
      <c r="V6" s="7"/>
      <c r="W6" s="7"/>
      <c r="X6" s="7"/>
      <c r="Y6" s="7"/>
    </row>
    <row r="7" ht="18.75" customHeight="1">
      <c r="A7" s="6">
        <v>2.0</v>
      </c>
      <c r="B7" s="6">
        <v>3.0</v>
      </c>
      <c r="C7" s="8" t="s">
        <v>12</v>
      </c>
      <c r="D7" s="8" t="s">
        <v>13</v>
      </c>
      <c r="E7" s="6">
        <v>206.0</v>
      </c>
      <c r="F7" s="6" t="s">
        <v>40</v>
      </c>
      <c r="G7" s="8" t="s">
        <v>41</v>
      </c>
      <c r="H7" s="6" t="s">
        <v>42</v>
      </c>
      <c r="I7" s="6" t="s">
        <v>43</v>
      </c>
      <c r="J7" s="8" t="s">
        <v>44</v>
      </c>
      <c r="K7" s="6" t="s">
        <v>45</v>
      </c>
      <c r="L7" s="6" t="str">
        <f t="shared" si="1"/>
        <v>Team: Velocireaders  -  Project: Infant Hemodynamics Sensor Development</v>
      </c>
      <c r="M7" s="7"/>
      <c r="N7" s="9"/>
      <c r="O7" s="7"/>
      <c r="P7" s="7"/>
      <c r="Q7" s="7"/>
      <c r="R7" s="7"/>
      <c r="S7" s="7"/>
      <c r="T7" s="7"/>
      <c r="U7" s="7"/>
      <c r="V7" s="7"/>
      <c r="W7" s="7"/>
      <c r="X7" s="7"/>
      <c r="Y7" s="7"/>
    </row>
    <row r="8" ht="18.75" customHeight="1">
      <c r="A8" s="6">
        <v>1.0</v>
      </c>
      <c r="B8" s="6">
        <v>4.0</v>
      </c>
      <c r="C8" s="8" t="s">
        <v>12</v>
      </c>
      <c r="D8" s="8" t="s">
        <v>13</v>
      </c>
      <c r="E8" s="6">
        <v>207.0</v>
      </c>
      <c r="F8" s="6" t="s">
        <v>46</v>
      </c>
      <c r="G8" s="8" t="s">
        <v>47</v>
      </c>
      <c r="H8" s="6" t="s">
        <v>48</v>
      </c>
      <c r="I8" s="6" t="s">
        <v>17</v>
      </c>
      <c r="J8" s="8" t="s">
        <v>49</v>
      </c>
      <c r="K8" s="6" t="s">
        <v>50</v>
      </c>
      <c r="L8" s="6" t="str">
        <f t="shared" si="1"/>
        <v>Team: The Tomato Detectors  -  Project: Tomato Flow Control</v>
      </c>
      <c r="M8" s="7"/>
      <c r="N8" s="9"/>
      <c r="O8" s="7"/>
      <c r="P8" s="7"/>
      <c r="Q8" s="7"/>
      <c r="R8" s="7"/>
      <c r="S8" s="7"/>
      <c r="T8" s="7"/>
      <c r="U8" s="7"/>
      <c r="V8" s="7"/>
      <c r="W8" s="7"/>
      <c r="X8" s="7"/>
      <c r="Y8" s="7"/>
    </row>
    <row r="9" ht="18.75" customHeight="1">
      <c r="A9" s="6">
        <v>1.0</v>
      </c>
      <c r="B9" s="6">
        <v>5.0</v>
      </c>
      <c r="C9" s="8" t="s">
        <v>12</v>
      </c>
      <c r="D9" s="8" t="s">
        <v>13</v>
      </c>
      <c r="E9" s="6">
        <v>208.0</v>
      </c>
      <c r="F9" s="6" t="s">
        <v>51</v>
      </c>
      <c r="G9" s="8" t="s">
        <v>52</v>
      </c>
      <c r="H9" s="6" t="s">
        <v>48</v>
      </c>
      <c r="I9" s="6" t="s">
        <v>17</v>
      </c>
      <c r="J9" s="8" t="s">
        <v>53</v>
      </c>
      <c r="K9" s="6" t="s">
        <v>54</v>
      </c>
      <c r="L9" s="6" t="str">
        <f t="shared" si="1"/>
        <v>Team: Project Greenbot  -  Project: End Effector for Robotic Tray Handling in Green House</v>
      </c>
      <c r="M9" s="7"/>
      <c r="N9" s="9"/>
      <c r="O9" s="7"/>
      <c r="P9" s="7"/>
      <c r="Q9" s="7"/>
      <c r="R9" s="7"/>
      <c r="S9" s="7"/>
      <c r="T9" s="7"/>
      <c r="U9" s="7"/>
      <c r="V9" s="7"/>
      <c r="W9" s="7"/>
      <c r="X9" s="7"/>
      <c r="Y9" s="7"/>
    </row>
    <row r="10" ht="18.75" customHeight="1">
      <c r="A10" s="6">
        <v>2.0</v>
      </c>
      <c r="B10" s="6">
        <v>4.0</v>
      </c>
      <c r="C10" s="8" t="s">
        <v>12</v>
      </c>
      <c r="D10" s="8" t="s">
        <v>13</v>
      </c>
      <c r="E10" s="6">
        <v>209.0</v>
      </c>
      <c r="F10" s="6" t="s">
        <v>55</v>
      </c>
      <c r="G10" s="8" t="s">
        <v>56</v>
      </c>
      <c r="H10" s="6" t="s">
        <v>57</v>
      </c>
      <c r="I10" s="6" t="s">
        <v>43</v>
      </c>
      <c r="J10" s="8" t="s">
        <v>58</v>
      </c>
      <c r="K10" s="6" t="s">
        <v>59</v>
      </c>
      <c r="L10" s="6" t="str">
        <f t="shared" si="1"/>
        <v>Team: Red Cell Imaging  -  Project: Doppler Radar for Medical Applications</v>
      </c>
      <c r="M10" s="7"/>
      <c r="N10" s="9"/>
      <c r="O10" s="7"/>
      <c r="P10" s="7"/>
      <c r="Q10" s="7"/>
      <c r="R10" s="7"/>
      <c r="S10" s="7"/>
      <c r="T10" s="7"/>
      <c r="U10" s="7"/>
      <c r="V10" s="7"/>
      <c r="W10" s="7"/>
      <c r="X10" s="7"/>
      <c r="Y10" s="7"/>
    </row>
    <row r="11" ht="18.75" customHeight="1">
      <c r="A11" s="6">
        <v>1.0</v>
      </c>
      <c r="B11" s="6">
        <v>6.0</v>
      </c>
      <c r="C11" s="8" t="s">
        <v>12</v>
      </c>
      <c r="D11" s="8" t="s">
        <v>13</v>
      </c>
      <c r="E11" s="6">
        <v>210.0</v>
      </c>
      <c r="F11" s="6" t="s">
        <v>60</v>
      </c>
      <c r="G11" s="8" t="s">
        <v>61</v>
      </c>
      <c r="H11" s="6" t="s">
        <v>62</v>
      </c>
      <c r="I11" s="6" t="s">
        <v>17</v>
      </c>
      <c r="J11" s="8" t="s">
        <v>63</v>
      </c>
      <c r="K11" s="6" t="s">
        <v>64</v>
      </c>
      <c r="L11" s="6" t="str">
        <f t="shared" si="1"/>
        <v>Team: Tomatek Box Delivery  -  Project: Tomato Filler Box Delivery System</v>
      </c>
      <c r="M11" s="7"/>
      <c r="N11" s="9"/>
      <c r="O11" s="7"/>
      <c r="P11" s="7"/>
      <c r="Q11" s="7"/>
      <c r="R11" s="7"/>
      <c r="S11" s="7"/>
      <c r="T11" s="7"/>
      <c r="U11" s="7"/>
      <c r="V11" s="7"/>
      <c r="W11" s="7"/>
      <c r="X11" s="7"/>
      <c r="Y11" s="7"/>
    </row>
    <row r="12" ht="18.75" customHeight="1">
      <c r="A12" s="6">
        <v>2.0</v>
      </c>
      <c r="B12" s="6">
        <v>5.0</v>
      </c>
      <c r="C12" s="8" t="s">
        <v>12</v>
      </c>
      <c r="D12" s="8" t="s">
        <v>13</v>
      </c>
      <c r="E12" s="6">
        <v>211.0</v>
      </c>
      <c r="F12" s="6" t="s">
        <v>65</v>
      </c>
      <c r="G12" s="8" t="s">
        <v>66</v>
      </c>
      <c r="H12" s="6" t="s">
        <v>67</v>
      </c>
      <c r="I12" s="6" t="s">
        <v>43</v>
      </c>
      <c r="J12" s="8" t="s">
        <v>68</v>
      </c>
      <c r="K12" s="6" t="s">
        <v>69</v>
      </c>
      <c r="L12" s="6" t="str">
        <f t="shared" si="1"/>
        <v>Team: Helping Hand  -  Project: Wheelchair Bound User Transfer Device</v>
      </c>
      <c r="M12" s="7"/>
      <c r="N12" s="9"/>
      <c r="O12" s="7"/>
      <c r="P12" s="7"/>
      <c r="Q12" s="7"/>
      <c r="R12" s="7"/>
      <c r="S12" s="7"/>
      <c r="T12" s="7"/>
      <c r="U12" s="7"/>
      <c r="V12" s="7"/>
      <c r="W12" s="7"/>
      <c r="X12" s="7"/>
      <c r="Y12" s="7"/>
    </row>
    <row r="13" ht="18.75" customHeight="1">
      <c r="A13" s="6">
        <v>4.0</v>
      </c>
      <c r="B13" s="6">
        <v>1.0</v>
      </c>
      <c r="C13" s="8" t="s">
        <v>70</v>
      </c>
      <c r="D13" s="8" t="s">
        <v>71</v>
      </c>
      <c r="E13" s="6">
        <v>301.0</v>
      </c>
      <c r="F13" s="6" t="s">
        <v>72</v>
      </c>
      <c r="G13" s="6" t="s">
        <v>73</v>
      </c>
      <c r="H13" s="6" t="s">
        <v>74</v>
      </c>
      <c r="I13" s="6" t="s">
        <v>75</v>
      </c>
      <c r="J13" s="8" t="s">
        <v>76</v>
      </c>
      <c r="K13" s="6" t="s">
        <v>77</v>
      </c>
      <c r="L13" s="6" t="str">
        <f t="shared" si="1"/>
        <v>Team: Sync Floyd: Comfortably Offline  -  Project: Metric Sync Engine</v>
      </c>
      <c r="M13" s="7"/>
      <c r="N13" s="9"/>
      <c r="O13" s="7"/>
      <c r="P13" s="7"/>
      <c r="Q13" s="7"/>
      <c r="R13" s="7"/>
      <c r="S13" s="7"/>
      <c r="T13" s="7"/>
      <c r="U13" s="7"/>
      <c r="V13" s="7"/>
      <c r="W13" s="7"/>
      <c r="X13" s="7"/>
      <c r="Y13" s="7"/>
    </row>
    <row r="14" ht="18.75" customHeight="1">
      <c r="A14" s="6">
        <v>4.0</v>
      </c>
      <c r="B14" s="6">
        <v>2.0</v>
      </c>
      <c r="C14" s="8" t="s">
        <v>70</v>
      </c>
      <c r="D14" s="8" t="s">
        <v>71</v>
      </c>
      <c r="E14" s="6">
        <v>302.0</v>
      </c>
      <c r="F14" s="6" t="s">
        <v>78</v>
      </c>
      <c r="G14" s="6" t="s">
        <v>79</v>
      </c>
      <c r="H14" s="6" t="s">
        <v>80</v>
      </c>
      <c r="I14" s="6" t="s">
        <v>81</v>
      </c>
      <c r="J14" s="8" t="s">
        <v>82</v>
      </c>
      <c r="K14" s="6" t="s">
        <v>83</v>
      </c>
      <c r="L14" s="6" t="str">
        <f t="shared" si="1"/>
        <v>Team: WD_Bobcats  -  Project: Training Monitoring App</v>
      </c>
      <c r="M14" s="7"/>
      <c r="N14" s="9"/>
      <c r="O14" s="7"/>
      <c r="P14" s="7"/>
      <c r="Q14" s="7"/>
      <c r="R14" s="7"/>
      <c r="S14" s="7"/>
      <c r="T14" s="7"/>
      <c r="U14" s="7"/>
      <c r="V14" s="7"/>
      <c r="W14" s="7"/>
      <c r="X14" s="7"/>
      <c r="Y14" s="7"/>
    </row>
    <row r="15" ht="18.75" customHeight="1">
      <c r="A15" s="6">
        <v>4.0</v>
      </c>
      <c r="B15" s="6">
        <v>3.0</v>
      </c>
      <c r="C15" s="8" t="s">
        <v>70</v>
      </c>
      <c r="D15" s="8" t="s">
        <v>71</v>
      </c>
      <c r="E15" s="6">
        <v>303.0</v>
      </c>
      <c r="F15" s="6" t="s">
        <v>84</v>
      </c>
      <c r="G15" s="6" t="s">
        <v>84</v>
      </c>
      <c r="H15" s="6" t="s">
        <v>80</v>
      </c>
      <c r="I15" s="6" t="s">
        <v>81</v>
      </c>
      <c r="J15" s="8" t="s">
        <v>85</v>
      </c>
      <c r="K15" s="6" t="s">
        <v>86</v>
      </c>
      <c r="L15" s="6" t="str">
        <f t="shared" si="1"/>
        <v>Team: DevTracker  -  Project: DevTracker</v>
      </c>
      <c r="M15" s="7"/>
      <c r="N15" s="9"/>
      <c r="O15" s="7"/>
      <c r="P15" s="7"/>
      <c r="Q15" s="7"/>
      <c r="R15" s="7"/>
      <c r="S15" s="7"/>
      <c r="T15" s="7"/>
      <c r="U15" s="7"/>
      <c r="V15" s="7"/>
      <c r="W15" s="7"/>
      <c r="X15" s="7"/>
      <c r="Y15" s="7"/>
    </row>
    <row r="16" ht="18.75" customHeight="1">
      <c r="A16" s="6">
        <v>4.0</v>
      </c>
      <c r="B16" s="6">
        <v>5.0</v>
      </c>
      <c r="C16" s="8" t="s">
        <v>70</v>
      </c>
      <c r="D16" s="8" t="s">
        <v>71</v>
      </c>
      <c r="E16" s="6">
        <v>304.0</v>
      </c>
      <c r="F16" s="6" t="s">
        <v>87</v>
      </c>
      <c r="G16" s="6" t="s">
        <v>88</v>
      </c>
      <c r="H16" s="6" t="s">
        <v>89</v>
      </c>
      <c r="I16" s="6" t="s">
        <v>90</v>
      </c>
      <c r="J16" s="8" t="s">
        <v>91</v>
      </c>
      <c r="K16" s="6" t="s">
        <v>92</v>
      </c>
      <c r="L16" s="6" t="str">
        <f t="shared" si="1"/>
        <v>Team: Skills Management Partnership (SMP)  -  Project: Training Matrix</v>
      </c>
      <c r="M16" s="7"/>
      <c r="N16" s="9"/>
      <c r="O16" s="7"/>
      <c r="P16" s="7"/>
      <c r="Q16" s="7"/>
      <c r="R16" s="7"/>
      <c r="S16" s="7"/>
      <c r="T16" s="7"/>
      <c r="U16" s="7"/>
      <c r="V16" s="7"/>
      <c r="W16" s="7"/>
      <c r="X16" s="7"/>
      <c r="Y16" s="7"/>
    </row>
    <row r="17" ht="18.75" customHeight="1">
      <c r="A17" s="6">
        <v>4.0</v>
      </c>
      <c r="B17" s="6">
        <v>8.0</v>
      </c>
      <c r="C17" s="8" t="s">
        <v>70</v>
      </c>
      <c r="D17" s="8" t="s">
        <v>71</v>
      </c>
      <c r="E17" s="6">
        <v>305.0</v>
      </c>
      <c r="F17" s="6" t="s">
        <v>93</v>
      </c>
      <c r="G17" s="8" t="s">
        <v>94</v>
      </c>
      <c r="H17" s="6" t="s">
        <v>42</v>
      </c>
      <c r="I17" s="6" t="s">
        <v>43</v>
      </c>
      <c r="J17" s="8" t="s">
        <v>95</v>
      </c>
      <c r="K17" s="6" t="s">
        <v>96</v>
      </c>
      <c r="L17" s="6" t="str">
        <f t="shared" si="1"/>
        <v>Team: V-ARM  -  Project: Motion Tracking by Virtual Reality</v>
      </c>
      <c r="M17" s="7"/>
      <c r="N17" s="9"/>
      <c r="O17" s="7"/>
      <c r="P17" s="7"/>
      <c r="Q17" s="7"/>
      <c r="R17" s="7"/>
      <c r="S17" s="7"/>
      <c r="T17" s="7"/>
      <c r="U17" s="7"/>
      <c r="V17" s="7"/>
      <c r="W17" s="7"/>
      <c r="X17" s="7"/>
      <c r="Y17" s="7"/>
    </row>
    <row r="18" ht="18.75" customHeight="1">
      <c r="A18" s="6">
        <v>5.0</v>
      </c>
      <c r="B18" s="6">
        <v>6.0</v>
      </c>
      <c r="C18" s="8" t="s">
        <v>70</v>
      </c>
      <c r="D18" s="8" t="s">
        <v>71</v>
      </c>
      <c r="E18" s="6">
        <v>306.0</v>
      </c>
      <c r="F18" s="6" t="s">
        <v>97</v>
      </c>
      <c r="G18" s="8" t="s">
        <v>98</v>
      </c>
      <c r="H18" s="6" t="s">
        <v>99</v>
      </c>
      <c r="I18" s="6" t="s">
        <v>90</v>
      </c>
      <c r="J18" s="8" t="s">
        <v>100</v>
      </c>
      <c r="K18" s="6" t="s">
        <v>101</v>
      </c>
      <c r="L18" s="6" t="str">
        <f t="shared" si="1"/>
        <v>Team: Innoweight2Go  -  Project: Loading Assistant</v>
      </c>
      <c r="M18" s="7"/>
      <c r="N18" s="9"/>
      <c r="O18" s="7"/>
      <c r="P18" s="7"/>
      <c r="Q18" s="7"/>
      <c r="R18" s="7"/>
      <c r="S18" s="7"/>
      <c r="T18" s="7"/>
      <c r="U18" s="7"/>
      <c r="V18" s="7"/>
      <c r="W18" s="7"/>
      <c r="X18" s="7"/>
      <c r="Y18" s="7"/>
    </row>
    <row r="19" ht="18.75" customHeight="1">
      <c r="A19" s="6">
        <v>5.0</v>
      </c>
      <c r="B19" s="6">
        <v>1.0</v>
      </c>
      <c r="C19" s="8" t="s">
        <v>70</v>
      </c>
      <c r="D19" s="8" t="s">
        <v>71</v>
      </c>
      <c r="E19" s="6">
        <v>307.0</v>
      </c>
      <c r="F19" s="6" t="s">
        <v>102</v>
      </c>
      <c r="G19" s="8" t="s">
        <v>103</v>
      </c>
      <c r="H19" s="6" t="s">
        <v>104</v>
      </c>
      <c r="I19" s="6" t="s">
        <v>105</v>
      </c>
      <c r="J19" s="8" t="s">
        <v>106</v>
      </c>
      <c r="K19" s="6" t="s">
        <v>107</v>
      </c>
      <c r="L19" s="6" t="str">
        <f t="shared" si="1"/>
        <v>Team: eTA  -  Project: TA Allocation Algorithm Implementation</v>
      </c>
      <c r="M19" s="7"/>
      <c r="N19" s="9"/>
      <c r="O19" s="7"/>
      <c r="P19" s="7"/>
      <c r="Q19" s="7"/>
      <c r="R19" s="7"/>
      <c r="S19" s="7"/>
      <c r="T19" s="7"/>
      <c r="U19" s="7"/>
      <c r="V19" s="7"/>
      <c r="W19" s="7"/>
      <c r="X19" s="7"/>
      <c r="Y19" s="7"/>
    </row>
    <row r="20" ht="18.75" customHeight="1">
      <c r="A20" s="6">
        <v>5.0</v>
      </c>
      <c r="B20" s="6">
        <v>7.0</v>
      </c>
      <c r="C20" s="8" t="s">
        <v>70</v>
      </c>
      <c r="D20" s="8" t="s">
        <v>71</v>
      </c>
      <c r="E20" s="6">
        <v>308.0</v>
      </c>
      <c r="F20" s="6" t="s">
        <v>108</v>
      </c>
      <c r="G20" s="8" t="s">
        <v>109</v>
      </c>
      <c r="H20" s="6" t="s">
        <v>110</v>
      </c>
      <c r="I20" s="6" t="s">
        <v>17</v>
      </c>
      <c r="J20" s="8" t="s">
        <v>111</v>
      </c>
      <c r="K20" s="6" t="s">
        <v>112</v>
      </c>
      <c r="L20" s="6" t="str">
        <f t="shared" si="1"/>
        <v>Team: R.A.T.S.  -  Project: Smart Rodent Detection</v>
      </c>
      <c r="M20" s="7"/>
      <c r="N20" s="9"/>
      <c r="O20" s="7"/>
      <c r="P20" s="7"/>
      <c r="Q20" s="7"/>
      <c r="R20" s="7"/>
      <c r="S20" s="7"/>
      <c r="T20" s="7"/>
      <c r="U20" s="7"/>
      <c r="V20" s="7"/>
      <c r="W20" s="7"/>
      <c r="X20" s="7"/>
      <c r="Y20" s="7"/>
    </row>
    <row r="21" ht="18.75" customHeight="1">
      <c r="A21" s="6">
        <v>4.0</v>
      </c>
      <c r="B21" s="6">
        <v>7.0</v>
      </c>
      <c r="C21" s="8" t="s">
        <v>70</v>
      </c>
      <c r="D21" s="8" t="s">
        <v>71</v>
      </c>
      <c r="E21" s="6">
        <v>309.0</v>
      </c>
      <c r="F21" s="6" t="s">
        <v>113</v>
      </c>
      <c r="G21" s="8" t="s">
        <v>114</v>
      </c>
      <c r="H21" s="6" t="s">
        <v>115</v>
      </c>
      <c r="I21" s="6" t="s">
        <v>116</v>
      </c>
      <c r="J21" s="8" t="s">
        <v>117</v>
      </c>
      <c r="K21" s="6" t="s">
        <v>118</v>
      </c>
      <c r="L21" s="6" t="str">
        <f t="shared" si="1"/>
        <v>Team: Make Spacee  -  Project: Relevance Weighted Meeting Scheduler</v>
      </c>
      <c r="M21" s="7"/>
      <c r="N21" s="9"/>
      <c r="O21" s="7"/>
      <c r="P21" s="7"/>
      <c r="Q21" s="7"/>
      <c r="R21" s="7"/>
      <c r="S21" s="7"/>
      <c r="T21" s="7"/>
      <c r="U21" s="7"/>
      <c r="V21" s="7"/>
      <c r="W21" s="7"/>
      <c r="X21" s="7"/>
      <c r="Y21" s="7"/>
    </row>
    <row r="22" ht="18.75" customHeight="1">
      <c r="A22" s="6">
        <v>5.0</v>
      </c>
      <c r="B22" s="6">
        <v>2.0</v>
      </c>
      <c r="C22" s="8" t="s">
        <v>70</v>
      </c>
      <c r="D22" s="8" t="s">
        <v>71</v>
      </c>
      <c r="E22" s="6">
        <v>310.0</v>
      </c>
      <c r="F22" s="6" t="s">
        <v>119</v>
      </c>
      <c r="G22" s="8" t="s">
        <v>120</v>
      </c>
      <c r="H22" s="6" t="s">
        <v>115</v>
      </c>
      <c r="I22" s="6" t="s">
        <v>116</v>
      </c>
      <c r="J22" s="8" t="s">
        <v>121</v>
      </c>
      <c r="K22" s="6" t="s">
        <v>122</v>
      </c>
      <c r="L22" s="6" t="str">
        <f t="shared" si="1"/>
        <v>Team: The VeraCruz Crew  -  Project: Constructing Composite Geographical Areas for a Search - Phase 2</v>
      </c>
      <c r="M22" s="7"/>
      <c r="N22" s="9"/>
      <c r="O22" s="7"/>
      <c r="P22" s="7"/>
      <c r="Q22" s="7"/>
      <c r="R22" s="7"/>
      <c r="S22" s="7"/>
      <c r="T22" s="7"/>
      <c r="U22" s="7"/>
      <c r="V22" s="7"/>
      <c r="W22" s="7"/>
      <c r="X22" s="7"/>
      <c r="Y22" s="7"/>
    </row>
    <row r="23" ht="18.75" customHeight="1">
      <c r="A23" s="6">
        <v>5.0</v>
      </c>
      <c r="B23" s="6">
        <v>5.0</v>
      </c>
      <c r="C23" s="8" t="s">
        <v>70</v>
      </c>
      <c r="D23" s="8" t="s">
        <v>71</v>
      </c>
      <c r="E23" s="6">
        <v>311.0</v>
      </c>
      <c r="F23" s="6" t="s">
        <v>123</v>
      </c>
      <c r="G23" s="8" t="s">
        <v>124</v>
      </c>
      <c r="H23" s="6" t="s">
        <v>125</v>
      </c>
      <c r="I23" s="6" t="s">
        <v>17</v>
      </c>
      <c r="J23" s="8" t="s">
        <v>126</v>
      </c>
      <c r="K23" s="6" t="s">
        <v>127</v>
      </c>
      <c r="L23" s="6" t="str">
        <f t="shared" si="1"/>
        <v>Team: Wear Detection Group  -  Project: Bottling Change Part Wear Measuring Tool</v>
      </c>
      <c r="M23" s="7"/>
      <c r="N23" s="9"/>
      <c r="O23" s="7"/>
      <c r="P23" s="7"/>
      <c r="Q23" s="7"/>
      <c r="R23" s="7"/>
      <c r="S23" s="7"/>
      <c r="T23" s="7"/>
      <c r="U23" s="7"/>
      <c r="V23" s="7"/>
      <c r="W23" s="7"/>
      <c r="X23" s="7"/>
      <c r="Y23" s="7"/>
    </row>
    <row r="24" ht="18.75" customHeight="1">
      <c r="A24" s="6">
        <v>4.0</v>
      </c>
      <c r="B24" s="6">
        <v>6.0</v>
      </c>
      <c r="C24" s="8" t="s">
        <v>70</v>
      </c>
      <c r="D24" s="8" t="s">
        <v>71</v>
      </c>
      <c r="E24" s="6">
        <v>312.0</v>
      </c>
      <c r="F24" s="6" t="s">
        <v>128</v>
      </c>
      <c r="G24" s="8" t="s">
        <v>129</v>
      </c>
      <c r="H24" s="6" t="s">
        <v>130</v>
      </c>
      <c r="I24" s="6" t="s">
        <v>37</v>
      </c>
      <c r="J24" s="8" t="s">
        <v>131</v>
      </c>
      <c r="K24" s="6" t="s">
        <v>132</v>
      </c>
      <c r="L24" s="6" t="str">
        <f t="shared" si="1"/>
        <v>Team: Seedetector  -  Project: Counting Vegetable Seedlings</v>
      </c>
      <c r="M24" s="7"/>
      <c r="N24" s="9"/>
      <c r="O24" s="7"/>
      <c r="P24" s="7"/>
      <c r="Q24" s="7"/>
      <c r="R24" s="7"/>
      <c r="S24" s="7"/>
      <c r="T24" s="7"/>
      <c r="U24" s="7"/>
      <c r="V24" s="7"/>
      <c r="W24" s="7"/>
      <c r="X24" s="7"/>
      <c r="Y24" s="7"/>
    </row>
    <row r="25" ht="18.75" customHeight="1">
      <c r="A25" s="6">
        <v>5.0</v>
      </c>
      <c r="B25" s="6">
        <v>8.0</v>
      </c>
      <c r="C25" s="8" t="s">
        <v>70</v>
      </c>
      <c r="D25" s="8" t="s">
        <v>71</v>
      </c>
      <c r="E25" s="6">
        <v>313.0</v>
      </c>
      <c r="F25" s="6" t="s">
        <v>133</v>
      </c>
      <c r="G25" s="8" t="s">
        <v>134</v>
      </c>
      <c r="H25" s="6" t="s">
        <v>135</v>
      </c>
      <c r="I25" s="6" t="s">
        <v>37</v>
      </c>
      <c r="J25" s="8" t="s">
        <v>136</v>
      </c>
      <c r="K25" s="6" t="s">
        <v>137</v>
      </c>
      <c r="L25" s="6" t="str">
        <f t="shared" si="1"/>
        <v>Team: InvenTREE  -  Project: Inventory of Trees - Phase 2: Size and Alive</v>
      </c>
      <c r="M25" s="7"/>
      <c r="N25" s="9"/>
      <c r="O25" s="7"/>
      <c r="P25" s="7"/>
      <c r="Q25" s="7"/>
      <c r="R25" s="7"/>
      <c r="S25" s="7"/>
      <c r="T25" s="7"/>
      <c r="U25" s="7"/>
      <c r="V25" s="7"/>
      <c r="W25" s="7"/>
      <c r="X25" s="7"/>
      <c r="Y25" s="7"/>
    </row>
    <row r="26" ht="18.75" customHeight="1">
      <c r="A26" s="6">
        <v>5.0</v>
      </c>
      <c r="B26" s="6">
        <v>3.0</v>
      </c>
      <c r="C26" s="8" t="s">
        <v>70</v>
      </c>
      <c r="D26" s="8" t="s">
        <v>71</v>
      </c>
      <c r="E26" s="6">
        <v>314.0</v>
      </c>
      <c r="F26" s="6" t="s">
        <v>138</v>
      </c>
      <c r="G26" s="8" t="s">
        <v>139</v>
      </c>
      <c r="H26" s="6" t="s">
        <v>48</v>
      </c>
      <c r="I26" s="6" t="s">
        <v>17</v>
      </c>
      <c r="J26" s="8" t="s">
        <v>140</v>
      </c>
      <c r="K26" s="6" t="s">
        <v>141</v>
      </c>
      <c r="L26" s="6" t="str">
        <f t="shared" si="1"/>
        <v>Team: Barcode Bobcats  -  Project: Automated barcode scanning of containers in an outdoor warehouse</v>
      </c>
      <c r="M26" s="7"/>
      <c r="N26" s="9"/>
      <c r="O26" s="7"/>
      <c r="P26" s="7"/>
      <c r="Q26" s="7"/>
      <c r="R26" s="7"/>
      <c r="S26" s="7"/>
      <c r="T26" s="7"/>
      <c r="U26" s="7"/>
      <c r="V26" s="7"/>
      <c r="W26" s="7"/>
      <c r="X26" s="7"/>
      <c r="Y26" s="7"/>
    </row>
    <row r="27" ht="18.75" customHeight="1">
      <c r="A27" s="6">
        <v>5.0</v>
      </c>
      <c r="B27" s="6">
        <v>4.0</v>
      </c>
      <c r="C27" s="8" t="s">
        <v>70</v>
      </c>
      <c r="D27" s="8" t="s">
        <v>71</v>
      </c>
      <c r="E27" s="6">
        <v>315.0</v>
      </c>
      <c r="F27" s="6" t="s">
        <v>142</v>
      </c>
      <c r="G27" s="6" t="s">
        <v>143</v>
      </c>
      <c r="H27" s="6" t="s">
        <v>48</v>
      </c>
      <c r="I27" s="6" t="s">
        <v>17</v>
      </c>
      <c r="J27" s="8" t="s">
        <v>144</v>
      </c>
      <c r="K27" s="6" t="s">
        <v>145</v>
      </c>
      <c r="L27" s="6" t="str">
        <f t="shared" si="1"/>
        <v>Team: Tomato Troopers  -  Project: Vision System to Detect Product Loss in Tomato Harvesting</v>
      </c>
      <c r="M27" s="7"/>
      <c r="N27" s="9"/>
      <c r="O27" s="7"/>
      <c r="P27" s="7"/>
      <c r="Q27" s="7"/>
      <c r="R27" s="7"/>
      <c r="S27" s="7"/>
      <c r="T27" s="7"/>
      <c r="U27" s="7"/>
      <c r="V27" s="7"/>
      <c r="W27" s="7"/>
      <c r="X27" s="7"/>
      <c r="Y27" s="7"/>
    </row>
    <row r="28" ht="18.75" customHeight="1">
      <c r="A28" s="6">
        <v>4.0</v>
      </c>
      <c r="B28" s="6">
        <v>9.0</v>
      </c>
      <c r="C28" s="8" t="s">
        <v>70</v>
      </c>
      <c r="D28" s="8" t="s">
        <v>71</v>
      </c>
      <c r="E28" s="6">
        <v>316.0</v>
      </c>
      <c r="F28" s="6" t="s">
        <v>146</v>
      </c>
      <c r="G28" s="8" t="s">
        <v>147</v>
      </c>
      <c r="H28" s="6" t="s">
        <v>148</v>
      </c>
      <c r="I28" s="6" t="s">
        <v>90</v>
      </c>
      <c r="J28" s="6" t="s">
        <v>149</v>
      </c>
      <c r="K28" s="6" t="s">
        <v>150</v>
      </c>
      <c r="L28" s="6" t="str">
        <f t="shared" si="1"/>
        <v>Team: Nuclear Reacters  -  Project: Autonomous Vehicle user Interface and Data System</v>
      </c>
      <c r="N28" s="9"/>
      <c r="O28" s="7"/>
      <c r="P28" s="7"/>
      <c r="Q28" s="7"/>
      <c r="R28" s="7"/>
      <c r="S28" s="7"/>
      <c r="T28" s="7"/>
      <c r="U28" s="7"/>
      <c r="V28" s="7"/>
      <c r="W28" s="7"/>
      <c r="X28" s="7"/>
      <c r="Y28" s="7"/>
    </row>
    <row r="29" ht="18.75" customHeight="1">
      <c r="A29" s="6">
        <v>4.0</v>
      </c>
      <c r="B29" s="6">
        <v>4.0</v>
      </c>
      <c r="C29" s="8" t="s">
        <v>70</v>
      </c>
      <c r="D29" s="8" t="s">
        <v>71</v>
      </c>
      <c r="E29" s="6">
        <v>317.0</v>
      </c>
      <c r="F29" s="10" t="s">
        <v>151</v>
      </c>
      <c r="G29" s="8" t="s">
        <v>152</v>
      </c>
      <c r="H29" s="6" t="s">
        <v>153</v>
      </c>
      <c r="I29" s="6" t="s">
        <v>90</v>
      </c>
      <c r="J29" s="8" t="s">
        <v>154</v>
      </c>
      <c r="K29" s="6" t="s">
        <v>155</v>
      </c>
      <c r="L29" s="6" t="str">
        <f t="shared" si="1"/>
        <v>Team: Detect.io  -  Project: Automated inspection using artificial intelligence</v>
      </c>
      <c r="M29" s="7"/>
      <c r="N29" s="9"/>
      <c r="O29" s="7"/>
      <c r="P29" s="7"/>
      <c r="Q29" s="7"/>
      <c r="R29" s="7"/>
      <c r="S29" s="7"/>
      <c r="T29" s="7"/>
      <c r="U29" s="7"/>
      <c r="V29" s="7"/>
      <c r="W29" s="7"/>
      <c r="X29" s="7"/>
      <c r="Y29" s="7"/>
    </row>
    <row r="30" ht="18.75" customHeight="1">
      <c r="A30" s="6">
        <v>5.0</v>
      </c>
      <c r="B30" s="6">
        <v>9.0</v>
      </c>
      <c r="C30" s="8" t="s">
        <v>70</v>
      </c>
      <c r="D30" s="8" t="s">
        <v>71</v>
      </c>
      <c r="E30" s="6">
        <v>318.0</v>
      </c>
      <c r="F30" s="6" t="s">
        <v>156</v>
      </c>
      <c r="G30" s="8" t="s">
        <v>157</v>
      </c>
      <c r="H30" s="6" t="s">
        <v>158</v>
      </c>
      <c r="I30" s="6" t="s">
        <v>17</v>
      </c>
      <c r="J30" s="8" t="s">
        <v>159</v>
      </c>
      <c r="K30" s="6" t="s">
        <v>160</v>
      </c>
      <c r="L30" s="6" t="str">
        <f t="shared" si="1"/>
        <v>Team: Weight B4  -  Project: Basil yield estimation</v>
      </c>
      <c r="M30" s="7"/>
      <c r="N30" s="9"/>
      <c r="O30" s="7"/>
      <c r="P30" s="7"/>
      <c r="Q30" s="7"/>
      <c r="R30" s="7"/>
      <c r="S30" s="7"/>
      <c r="T30" s="7"/>
      <c r="U30" s="7"/>
      <c r="V30" s="7"/>
      <c r="W30" s="7"/>
      <c r="X30" s="7"/>
      <c r="Y30" s="7"/>
    </row>
    <row r="31" ht="18.75" customHeight="1">
      <c r="A31" s="6">
        <v>3.0</v>
      </c>
      <c r="B31" s="6">
        <v>1.0</v>
      </c>
      <c r="C31" s="8" t="s">
        <v>161</v>
      </c>
      <c r="D31" s="8" t="s">
        <v>162</v>
      </c>
      <c r="E31" s="11">
        <v>401.0</v>
      </c>
      <c r="F31" s="6" t="s">
        <v>163</v>
      </c>
      <c r="G31" s="11" t="s">
        <v>164</v>
      </c>
      <c r="H31" s="11" t="s">
        <v>165</v>
      </c>
      <c r="I31" s="11" t="s">
        <v>166</v>
      </c>
      <c r="J31" s="8" t="s">
        <v>167</v>
      </c>
      <c r="K31" s="8" t="s">
        <v>168</v>
      </c>
      <c r="L31" s="6" t="str">
        <f t="shared" si="1"/>
        <v>Team: CE1  -  Project: Evaluating and Designing Strategies for Reducing Vulnerability to Extreme Heat in Merced, CA</v>
      </c>
      <c r="M31" s="7"/>
      <c r="N31" s="9"/>
      <c r="O31" s="7"/>
      <c r="P31" s="7"/>
      <c r="Q31" s="7"/>
      <c r="R31" s="7"/>
      <c r="S31" s="7"/>
      <c r="T31" s="7"/>
      <c r="U31" s="7"/>
      <c r="V31" s="7"/>
      <c r="W31" s="7"/>
      <c r="X31" s="7"/>
      <c r="Y31" s="7"/>
    </row>
    <row r="32" ht="18.75" customHeight="1">
      <c r="A32" s="6">
        <v>3.0</v>
      </c>
      <c r="B32" s="6">
        <v>2.0</v>
      </c>
      <c r="C32" s="8" t="s">
        <v>161</v>
      </c>
      <c r="D32" s="8" t="s">
        <v>162</v>
      </c>
      <c r="E32" s="11">
        <v>402.0</v>
      </c>
      <c r="F32" s="6" t="s">
        <v>169</v>
      </c>
      <c r="G32" s="11" t="s">
        <v>170</v>
      </c>
      <c r="H32" s="11" t="s">
        <v>165</v>
      </c>
      <c r="I32" s="11" t="s">
        <v>166</v>
      </c>
      <c r="J32" s="8" t="s">
        <v>167</v>
      </c>
      <c r="K32" s="8" t="s">
        <v>171</v>
      </c>
      <c r="L32" s="6" t="str">
        <f t="shared" si="1"/>
        <v>Team: CE2  -  Project: Evaluating and Designing GHG Mitigation Strategies for Transportation Activity in Merced, CA</v>
      </c>
      <c r="M32" s="7"/>
      <c r="N32" s="9"/>
      <c r="O32" s="7"/>
      <c r="P32" s="7"/>
      <c r="Q32" s="7"/>
      <c r="R32" s="7"/>
      <c r="S32" s="7"/>
      <c r="T32" s="7"/>
      <c r="U32" s="7"/>
      <c r="V32" s="7"/>
      <c r="W32" s="7"/>
      <c r="X32" s="7"/>
      <c r="Y32" s="7"/>
    </row>
  </sheetData>
  <hyperlinks>
    <hyperlink r:id="rId1" ref="F2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1.88"/>
    <col customWidth="1" min="3" max="3" width="43.5"/>
    <col customWidth="1" min="4" max="7" width="23.75"/>
    <col customWidth="1" min="8" max="8" width="37.38"/>
    <col customWidth="1" min="9" max="19" width="23.75"/>
  </cols>
  <sheetData>
    <row r="1" ht="14.25" customHeight="1">
      <c r="A1" s="6">
        <v>301.0</v>
      </c>
      <c r="B1" s="6" t="s">
        <v>77</v>
      </c>
      <c r="C1" s="6" t="s">
        <v>172</v>
      </c>
      <c r="D1" s="12"/>
      <c r="E1" s="12"/>
      <c r="F1" s="12"/>
      <c r="G1" s="12"/>
      <c r="H1" s="12"/>
      <c r="I1" s="12"/>
      <c r="J1" s="12"/>
      <c r="K1" s="12"/>
      <c r="L1" s="12"/>
      <c r="M1" s="12"/>
      <c r="N1" s="12"/>
      <c r="O1" s="12"/>
      <c r="P1" s="12"/>
      <c r="Q1" s="12"/>
      <c r="R1" s="12"/>
      <c r="S1" s="12"/>
    </row>
    <row r="2" ht="14.25" customHeight="1">
      <c r="A2" s="6">
        <v>302.0</v>
      </c>
      <c r="B2" s="6" t="s">
        <v>83</v>
      </c>
      <c r="C2" s="6" t="s">
        <v>173</v>
      </c>
      <c r="D2" s="12"/>
      <c r="E2" s="12"/>
      <c r="F2" s="12"/>
      <c r="G2" s="12"/>
      <c r="H2" s="12"/>
      <c r="I2" s="12"/>
      <c r="J2" s="12"/>
      <c r="K2" s="12"/>
      <c r="L2" s="12"/>
      <c r="M2" s="12"/>
      <c r="N2" s="12"/>
      <c r="O2" s="12"/>
      <c r="P2" s="12"/>
      <c r="Q2" s="12"/>
      <c r="R2" s="12"/>
      <c r="S2" s="12"/>
    </row>
    <row r="3" ht="14.25" customHeight="1">
      <c r="A3" s="6">
        <v>303.0</v>
      </c>
      <c r="B3" s="6" t="s">
        <v>86</v>
      </c>
      <c r="C3" s="6" t="s">
        <v>174</v>
      </c>
      <c r="D3" s="12"/>
      <c r="E3" s="12"/>
      <c r="F3" s="12"/>
      <c r="G3" s="12"/>
      <c r="H3" s="12"/>
      <c r="I3" s="12"/>
      <c r="J3" s="12"/>
      <c r="K3" s="12"/>
      <c r="L3" s="12"/>
      <c r="M3" s="12"/>
      <c r="N3" s="12"/>
      <c r="O3" s="12"/>
      <c r="P3" s="12"/>
      <c r="Q3" s="12"/>
      <c r="R3" s="12"/>
      <c r="S3" s="12"/>
    </row>
    <row r="4" ht="14.25" customHeight="1">
      <c r="A4" s="6">
        <v>304.0</v>
      </c>
      <c r="B4" s="6" t="s">
        <v>92</v>
      </c>
      <c r="C4" s="6" t="s">
        <v>175</v>
      </c>
      <c r="D4" s="12"/>
      <c r="E4" s="12"/>
      <c r="F4" s="12"/>
      <c r="G4" s="12"/>
      <c r="H4" s="12"/>
      <c r="I4" s="12"/>
      <c r="J4" s="12"/>
      <c r="K4" s="12"/>
      <c r="L4" s="12"/>
      <c r="M4" s="12"/>
      <c r="N4" s="12"/>
      <c r="O4" s="12"/>
      <c r="P4" s="12"/>
      <c r="Q4" s="12"/>
      <c r="R4" s="12"/>
      <c r="S4" s="12"/>
    </row>
    <row r="5" ht="14.25" customHeight="1">
      <c r="A5" s="6">
        <v>305.0</v>
      </c>
      <c r="B5" s="6" t="s">
        <v>96</v>
      </c>
      <c r="C5" s="6" t="s">
        <v>176</v>
      </c>
      <c r="D5" s="12"/>
      <c r="E5" s="12"/>
      <c r="F5" s="12"/>
      <c r="G5" s="12"/>
      <c r="H5" s="12"/>
      <c r="I5" s="12"/>
      <c r="J5" s="12"/>
      <c r="K5" s="12"/>
      <c r="L5" s="12"/>
      <c r="M5" s="12"/>
      <c r="N5" s="12"/>
      <c r="O5" s="12"/>
      <c r="P5" s="12"/>
      <c r="Q5" s="12"/>
      <c r="R5" s="12"/>
      <c r="S5" s="12"/>
    </row>
    <row r="6" ht="14.25" customHeight="1">
      <c r="A6" s="6">
        <v>306.0</v>
      </c>
      <c r="B6" s="6" t="s">
        <v>101</v>
      </c>
      <c r="C6" s="6" t="s">
        <v>177</v>
      </c>
      <c r="D6" s="12"/>
      <c r="E6" s="12"/>
      <c r="F6" s="12"/>
      <c r="G6" s="12"/>
      <c r="H6" s="12"/>
      <c r="I6" s="12"/>
      <c r="J6" s="12"/>
      <c r="K6" s="12"/>
      <c r="L6" s="12"/>
      <c r="M6" s="12"/>
      <c r="N6" s="12"/>
      <c r="O6" s="12"/>
      <c r="P6" s="12"/>
      <c r="Q6" s="12"/>
      <c r="R6" s="12"/>
      <c r="S6" s="12"/>
    </row>
    <row r="7" ht="14.25" customHeight="1">
      <c r="A7" s="6">
        <v>307.0</v>
      </c>
      <c r="B7" s="6" t="s">
        <v>107</v>
      </c>
      <c r="C7" s="6" t="s">
        <v>178</v>
      </c>
      <c r="D7" s="12"/>
      <c r="E7" s="12"/>
      <c r="F7" s="12"/>
      <c r="G7" s="12"/>
      <c r="H7" s="12"/>
      <c r="I7" s="12"/>
      <c r="J7" s="12"/>
      <c r="K7" s="12"/>
      <c r="L7" s="12"/>
      <c r="M7" s="12"/>
      <c r="N7" s="12"/>
      <c r="O7" s="12"/>
      <c r="P7" s="12"/>
      <c r="Q7" s="12"/>
      <c r="R7" s="12"/>
      <c r="S7" s="12"/>
    </row>
    <row r="8" ht="14.25" customHeight="1">
      <c r="A8" s="6">
        <v>308.0</v>
      </c>
      <c r="B8" s="6" t="s">
        <v>112</v>
      </c>
      <c r="C8" s="6" t="s">
        <v>179</v>
      </c>
      <c r="D8" s="12"/>
      <c r="E8" s="12"/>
      <c r="F8" s="12"/>
      <c r="G8" s="12"/>
      <c r="H8" s="12"/>
      <c r="I8" s="12"/>
      <c r="J8" s="12"/>
      <c r="K8" s="12"/>
      <c r="L8" s="12"/>
      <c r="M8" s="12"/>
      <c r="N8" s="12"/>
      <c r="O8" s="12"/>
      <c r="P8" s="12"/>
      <c r="Q8" s="12"/>
      <c r="R8" s="12"/>
      <c r="S8" s="12"/>
    </row>
    <row r="9" ht="14.25" customHeight="1">
      <c r="A9" s="6">
        <v>309.0</v>
      </c>
      <c r="B9" s="6" t="s">
        <v>118</v>
      </c>
      <c r="C9" s="6" t="s">
        <v>180</v>
      </c>
      <c r="D9" s="12"/>
      <c r="E9" s="12"/>
      <c r="F9" s="12"/>
      <c r="G9" s="12"/>
      <c r="H9" s="12"/>
      <c r="I9" s="12"/>
      <c r="J9" s="12"/>
      <c r="K9" s="12"/>
      <c r="L9" s="12"/>
      <c r="M9" s="12"/>
      <c r="N9" s="12"/>
      <c r="O9" s="12"/>
      <c r="P9" s="12"/>
      <c r="Q9" s="12"/>
      <c r="R9" s="12"/>
      <c r="S9" s="12"/>
    </row>
    <row r="10" ht="14.25" customHeight="1">
      <c r="A10" s="6">
        <v>310.0</v>
      </c>
      <c r="B10" s="6" t="s">
        <v>122</v>
      </c>
      <c r="C10" s="6" t="s">
        <v>181</v>
      </c>
      <c r="D10" s="12"/>
      <c r="E10" s="12"/>
      <c r="F10" s="12"/>
      <c r="G10" s="12"/>
      <c r="H10" s="12"/>
      <c r="I10" s="12"/>
      <c r="J10" s="12"/>
      <c r="K10" s="12"/>
      <c r="L10" s="12"/>
      <c r="M10" s="12"/>
      <c r="N10" s="12"/>
      <c r="O10" s="12"/>
      <c r="P10" s="12"/>
      <c r="Q10" s="12"/>
      <c r="R10" s="12"/>
      <c r="S10" s="12"/>
    </row>
    <row r="11" ht="14.25" customHeight="1">
      <c r="A11" s="6">
        <v>311.0</v>
      </c>
      <c r="B11" s="6" t="s">
        <v>127</v>
      </c>
      <c r="C11" s="6" t="s">
        <v>182</v>
      </c>
      <c r="D11" s="12"/>
      <c r="E11" s="12"/>
      <c r="F11" s="12"/>
      <c r="G11" s="12"/>
      <c r="H11" s="12"/>
      <c r="I11" s="12"/>
      <c r="J11" s="12"/>
      <c r="K11" s="12"/>
      <c r="L11" s="12"/>
      <c r="M11" s="12"/>
      <c r="N11" s="12"/>
      <c r="O11" s="12"/>
      <c r="P11" s="12"/>
      <c r="Q11" s="12"/>
      <c r="R11" s="12"/>
      <c r="S11" s="12"/>
    </row>
    <row r="12" ht="14.25" customHeight="1">
      <c r="A12" s="6">
        <v>312.0</v>
      </c>
      <c r="B12" s="6" t="s">
        <v>132</v>
      </c>
      <c r="C12" s="6" t="s">
        <v>183</v>
      </c>
      <c r="D12" s="12"/>
      <c r="E12" s="12"/>
      <c r="F12" s="12"/>
      <c r="G12" s="12"/>
      <c r="H12" s="12"/>
      <c r="I12" s="12"/>
      <c r="J12" s="12"/>
      <c r="K12" s="12"/>
      <c r="L12" s="12"/>
      <c r="M12" s="12"/>
      <c r="N12" s="12"/>
      <c r="O12" s="12"/>
      <c r="P12" s="12"/>
      <c r="Q12" s="12"/>
      <c r="R12" s="12"/>
      <c r="S12" s="12"/>
    </row>
    <row r="13" ht="14.25" customHeight="1">
      <c r="A13" s="6">
        <v>313.0</v>
      </c>
      <c r="B13" s="6" t="s">
        <v>137</v>
      </c>
      <c r="C13" s="6" t="s">
        <v>184</v>
      </c>
      <c r="D13" s="12"/>
      <c r="E13" s="12"/>
      <c r="F13" s="12"/>
      <c r="G13" s="12"/>
      <c r="H13" s="12"/>
      <c r="I13" s="12"/>
      <c r="J13" s="12"/>
      <c r="K13" s="12"/>
      <c r="L13" s="12"/>
      <c r="M13" s="12"/>
      <c r="N13" s="12"/>
      <c r="O13" s="12"/>
      <c r="P13" s="12"/>
      <c r="Q13" s="12"/>
      <c r="R13" s="12"/>
      <c r="S13" s="12"/>
    </row>
    <row r="14" ht="14.25" customHeight="1">
      <c r="A14" s="6">
        <v>314.0</v>
      </c>
      <c r="B14" s="6" t="s">
        <v>141</v>
      </c>
      <c r="C14" s="6" t="s">
        <v>185</v>
      </c>
      <c r="D14" s="12"/>
      <c r="E14" s="12"/>
      <c r="F14" s="12"/>
      <c r="G14" s="12"/>
      <c r="H14" s="12"/>
      <c r="I14" s="12"/>
      <c r="J14" s="12"/>
      <c r="K14" s="12"/>
      <c r="L14" s="12"/>
      <c r="M14" s="12"/>
      <c r="N14" s="12"/>
      <c r="O14" s="12"/>
      <c r="P14" s="12"/>
      <c r="Q14" s="12"/>
      <c r="R14" s="12"/>
      <c r="S14" s="12"/>
    </row>
    <row r="15" ht="14.25" customHeight="1">
      <c r="A15" s="6">
        <v>315.0</v>
      </c>
      <c r="B15" s="6" t="s">
        <v>145</v>
      </c>
      <c r="C15" s="6" t="s">
        <v>186</v>
      </c>
      <c r="D15" s="12"/>
      <c r="E15" s="12"/>
      <c r="F15" s="12"/>
      <c r="G15" s="12"/>
      <c r="H15" s="12"/>
      <c r="I15" s="12"/>
      <c r="J15" s="12"/>
      <c r="K15" s="12"/>
      <c r="L15" s="12"/>
      <c r="M15" s="12"/>
      <c r="N15" s="12"/>
      <c r="O15" s="12"/>
      <c r="P15" s="12"/>
      <c r="Q15" s="12"/>
      <c r="R15" s="12"/>
      <c r="S15" s="12"/>
    </row>
    <row r="16" ht="14.25" customHeight="1">
      <c r="A16" s="6">
        <v>316.0</v>
      </c>
      <c r="B16" s="6" t="s">
        <v>150</v>
      </c>
      <c r="C16" s="6" t="s">
        <v>187</v>
      </c>
      <c r="D16" s="12"/>
      <c r="E16" s="12"/>
      <c r="F16" s="12"/>
      <c r="G16" s="12"/>
      <c r="H16" s="12"/>
      <c r="I16" s="12"/>
      <c r="J16" s="12"/>
      <c r="K16" s="12"/>
      <c r="L16" s="12"/>
      <c r="M16" s="12"/>
      <c r="N16" s="12"/>
      <c r="O16" s="12"/>
      <c r="P16" s="12"/>
      <c r="Q16" s="12"/>
      <c r="R16" s="12"/>
      <c r="S16" s="12"/>
    </row>
    <row r="17" ht="14.25" customHeight="1">
      <c r="A17" s="6">
        <v>317.0</v>
      </c>
      <c r="B17" s="6" t="s">
        <v>155</v>
      </c>
      <c r="C17" s="6" t="s">
        <v>188</v>
      </c>
      <c r="D17" s="12"/>
      <c r="E17" s="12"/>
      <c r="F17" s="12"/>
      <c r="G17" s="12"/>
      <c r="H17" s="12"/>
      <c r="I17" s="12"/>
      <c r="J17" s="12"/>
      <c r="K17" s="12"/>
      <c r="L17" s="12"/>
      <c r="M17" s="12"/>
      <c r="N17" s="12"/>
      <c r="O17" s="12"/>
      <c r="P17" s="12"/>
      <c r="Q17" s="12"/>
      <c r="R17" s="12"/>
      <c r="S17" s="12"/>
    </row>
    <row r="18" ht="14.25" customHeight="1">
      <c r="A18" s="6">
        <v>318.0</v>
      </c>
      <c r="B18" s="6" t="s">
        <v>160</v>
      </c>
      <c r="C18" s="6" t="s">
        <v>189</v>
      </c>
      <c r="D18" s="12"/>
      <c r="E18" s="12"/>
      <c r="F18" s="12"/>
      <c r="G18" s="12"/>
      <c r="H18" s="12"/>
      <c r="I18" s="12"/>
      <c r="J18" s="12"/>
      <c r="K18" s="12"/>
      <c r="L18" s="12"/>
      <c r="M18" s="12"/>
      <c r="N18" s="12"/>
      <c r="O18" s="12"/>
      <c r="P18" s="12"/>
      <c r="Q18" s="12"/>
      <c r="R18" s="12"/>
      <c r="S18" s="12"/>
    </row>
    <row r="19" ht="14.25" customHeight="1">
      <c r="A19" s="6">
        <v>201.0</v>
      </c>
      <c r="B19" s="6" t="s">
        <v>190</v>
      </c>
      <c r="C19" s="6" t="s">
        <v>191</v>
      </c>
      <c r="D19" s="12"/>
      <c r="E19" s="6" t="s">
        <v>19</v>
      </c>
      <c r="F19" s="6" t="s">
        <v>192</v>
      </c>
      <c r="G19" s="12"/>
      <c r="H19" s="12"/>
      <c r="I19" s="12"/>
      <c r="J19" s="12"/>
      <c r="K19" s="12"/>
      <c r="L19" s="12"/>
      <c r="M19" s="12"/>
      <c r="N19" s="12"/>
      <c r="O19" s="12"/>
      <c r="P19" s="12"/>
      <c r="Q19" s="12"/>
      <c r="R19" s="12"/>
      <c r="S19" s="12"/>
    </row>
    <row r="20" ht="14.25" customHeight="1">
      <c r="A20" s="6">
        <v>202.0</v>
      </c>
      <c r="B20" s="6" t="s">
        <v>193</v>
      </c>
      <c r="C20" s="6" t="s">
        <v>194</v>
      </c>
      <c r="D20" s="12"/>
      <c r="E20" s="6" t="s">
        <v>23</v>
      </c>
      <c r="F20" s="6" t="s">
        <v>194</v>
      </c>
      <c r="G20" s="12"/>
      <c r="H20" s="12"/>
      <c r="I20" s="12"/>
      <c r="J20" s="12"/>
      <c r="K20" s="12"/>
      <c r="L20" s="12"/>
      <c r="M20" s="12"/>
      <c r="N20" s="12"/>
      <c r="O20" s="12"/>
      <c r="P20" s="12"/>
      <c r="Q20" s="12"/>
      <c r="R20" s="12"/>
      <c r="S20" s="12"/>
    </row>
    <row r="21" ht="14.25" customHeight="1">
      <c r="A21" s="6">
        <v>203.0</v>
      </c>
      <c r="B21" s="6" t="s">
        <v>195</v>
      </c>
      <c r="C21" s="6" t="s">
        <v>196</v>
      </c>
      <c r="D21" s="12"/>
      <c r="E21" s="6" t="s">
        <v>28</v>
      </c>
      <c r="F21" s="6" t="s">
        <v>196</v>
      </c>
      <c r="G21" s="12"/>
      <c r="H21" s="12"/>
      <c r="I21" s="12"/>
      <c r="J21" s="12"/>
      <c r="K21" s="12"/>
      <c r="L21" s="12"/>
      <c r="M21" s="12"/>
      <c r="N21" s="12"/>
      <c r="O21" s="12"/>
      <c r="P21" s="12"/>
      <c r="Q21" s="12"/>
      <c r="R21" s="12"/>
      <c r="S21" s="12"/>
    </row>
    <row r="22" ht="14.25" customHeight="1">
      <c r="A22" s="6">
        <v>204.0</v>
      </c>
      <c r="B22" s="11" t="s">
        <v>197</v>
      </c>
      <c r="C22" s="11" t="s">
        <v>198</v>
      </c>
      <c r="D22" s="12"/>
      <c r="E22" s="6" t="s">
        <v>33</v>
      </c>
      <c r="F22" s="6" t="s">
        <v>198</v>
      </c>
      <c r="G22" s="12"/>
      <c r="H22" s="12"/>
      <c r="I22" s="12"/>
      <c r="J22" s="12"/>
      <c r="K22" s="12"/>
      <c r="L22" s="12"/>
      <c r="M22" s="12"/>
      <c r="N22" s="12"/>
      <c r="O22" s="12"/>
      <c r="P22" s="12"/>
      <c r="Q22" s="12"/>
      <c r="R22" s="12"/>
      <c r="S22" s="12"/>
    </row>
    <row r="23" ht="14.25" customHeight="1">
      <c r="A23" s="6">
        <v>205.0</v>
      </c>
      <c r="B23" s="11" t="s">
        <v>199</v>
      </c>
      <c r="C23" s="11" t="s">
        <v>200</v>
      </c>
      <c r="D23" s="12"/>
      <c r="E23" s="6" t="s">
        <v>201</v>
      </c>
      <c r="F23" s="6" t="s">
        <v>200</v>
      </c>
      <c r="G23" s="12"/>
      <c r="H23" s="12"/>
      <c r="I23" s="12"/>
      <c r="J23" s="12"/>
      <c r="K23" s="12"/>
      <c r="L23" s="12"/>
      <c r="M23" s="12"/>
      <c r="N23" s="12"/>
      <c r="O23" s="12"/>
      <c r="P23" s="12"/>
      <c r="Q23" s="12"/>
      <c r="R23" s="12"/>
      <c r="S23" s="12"/>
    </row>
    <row r="24" ht="14.25" customHeight="1">
      <c r="A24" s="6">
        <v>206.0</v>
      </c>
      <c r="B24" s="11" t="s">
        <v>202</v>
      </c>
      <c r="C24" s="11" t="s">
        <v>203</v>
      </c>
      <c r="D24" s="12"/>
      <c r="E24" s="6" t="s">
        <v>45</v>
      </c>
      <c r="F24" s="6" t="s">
        <v>203</v>
      </c>
      <c r="G24" s="12"/>
      <c r="H24" s="12"/>
      <c r="I24" s="12"/>
      <c r="J24" s="12"/>
      <c r="K24" s="12"/>
      <c r="L24" s="12"/>
      <c r="M24" s="12"/>
      <c r="N24" s="12"/>
      <c r="O24" s="12"/>
      <c r="P24" s="12"/>
      <c r="Q24" s="12"/>
      <c r="R24" s="12"/>
      <c r="S24" s="12"/>
    </row>
    <row r="25" ht="14.25" customHeight="1">
      <c r="A25" s="6">
        <v>207.0</v>
      </c>
      <c r="B25" s="11" t="s">
        <v>204</v>
      </c>
      <c r="C25" s="11" t="s">
        <v>205</v>
      </c>
      <c r="D25" s="12"/>
      <c r="E25" s="6" t="s">
        <v>50</v>
      </c>
      <c r="F25" s="6" t="s">
        <v>205</v>
      </c>
      <c r="G25" s="12"/>
      <c r="H25" s="12"/>
      <c r="I25" s="12"/>
      <c r="J25" s="12"/>
      <c r="K25" s="12"/>
      <c r="L25" s="12"/>
      <c r="M25" s="12"/>
      <c r="N25" s="12"/>
      <c r="O25" s="12"/>
      <c r="P25" s="12"/>
      <c r="Q25" s="12"/>
      <c r="R25" s="12"/>
      <c r="S25" s="12"/>
    </row>
    <row r="26" ht="14.25" customHeight="1">
      <c r="A26" s="6">
        <v>208.0</v>
      </c>
      <c r="B26" s="11" t="s">
        <v>206</v>
      </c>
      <c r="C26" s="11" t="s">
        <v>207</v>
      </c>
      <c r="D26" s="12"/>
      <c r="E26" s="6" t="s">
        <v>54</v>
      </c>
      <c r="F26" s="6" t="s">
        <v>207</v>
      </c>
      <c r="G26" s="12"/>
      <c r="H26" s="12"/>
      <c r="I26" s="12"/>
      <c r="J26" s="12"/>
      <c r="K26" s="12"/>
      <c r="L26" s="12"/>
      <c r="M26" s="12"/>
      <c r="N26" s="12"/>
      <c r="O26" s="12"/>
      <c r="P26" s="12"/>
      <c r="Q26" s="12"/>
      <c r="R26" s="12"/>
      <c r="S26" s="12"/>
    </row>
    <row r="27" ht="14.25" customHeight="1">
      <c r="A27" s="6">
        <v>209.0</v>
      </c>
      <c r="B27" s="11" t="s">
        <v>208</v>
      </c>
      <c r="C27" s="11" t="s">
        <v>209</v>
      </c>
      <c r="D27" s="12"/>
      <c r="E27" s="6" t="s">
        <v>59</v>
      </c>
      <c r="F27" s="6" t="s">
        <v>209</v>
      </c>
      <c r="G27" s="12"/>
      <c r="H27" s="12"/>
      <c r="I27" s="12"/>
      <c r="J27" s="12"/>
      <c r="K27" s="12"/>
      <c r="L27" s="12"/>
      <c r="M27" s="12"/>
      <c r="N27" s="12"/>
      <c r="O27" s="12"/>
      <c r="P27" s="12"/>
      <c r="Q27" s="12"/>
      <c r="R27" s="12"/>
      <c r="S27" s="12"/>
    </row>
    <row r="28" ht="14.25" customHeight="1">
      <c r="A28" s="6">
        <v>210.0</v>
      </c>
      <c r="B28" s="11" t="s">
        <v>210</v>
      </c>
      <c r="C28" s="11" t="s">
        <v>211</v>
      </c>
      <c r="D28" s="12"/>
      <c r="E28" s="6" t="s">
        <v>64</v>
      </c>
      <c r="F28" s="6" t="s">
        <v>212</v>
      </c>
      <c r="G28" s="12"/>
      <c r="H28" s="12"/>
      <c r="I28" s="12"/>
      <c r="J28" s="12"/>
      <c r="K28" s="12"/>
      <c r="L28" s="12"/>
      <c r="M28" s="12"/>
      <c r="N28" s="12"/>
      <c r="O28" s="12"/>
      <c r="P28" s="12"/>
      <c r="Q28" s="12"/>
      <c r="R28" s="12"/>
      <c r="S28" s="12"/>
    </row>
    <row r="29" ht="14.25" customHeight="1">
      <c r="A29" s="6">
        <v>211.0</v>
      </c>
      <c r="B29" s="11" t="s">
        <v>213</v>
      </c>
      <c r="C29" s="11" t="s">
        <v>214</v>
      </c>
      <c r="D29" s="12"/>
      <c r="E29" s="6" t="s">
        <v>69</v>
      </c>
      <c r="F29" s="6" t="s">
        <v>214</v>
      </c>
      <c r="G29" s="12"/>
      <c r="H29" s="12"/>
      <c r="I29" s="12"/>
      <c r="J29" s="12"/>
      <c r="K29" s="12"/>
      <c r="L29" s="12"/>
      <c r="M29" s="12"/>
      <c r="N29" s="12"/>
      <c r="O29" s="12"/>
      <c r="P29" s="12"/>
      <c r="Q29" s="12"/>
      <c r="R29" s="12"/>
      <c r="S29" s="12"/>
    </row>
    <row r="30" ht="14.25" customHeight="1">
      <c r="A30" s="6"/>
      <c r="B30" s="11"/>
      <c r="C30" s="11"/>
      <c r="D30" s="12"/>
      <c r="E30" s="12"/>
      <c r="F30" s="12"/>
      <c r="G30" s="12"/>
      <c r="H30" s="12"/>
      <c r="I30" s="12"/>
      <c r="J30" s="12"/>
      <c r="K30" s="12"/>
      <c r="L30" s="12"/>
      <c r="M30" s="12"/>
      <c r="N30" s="12"/>
      <c r="O30" s="12"/>
      <c r="P30" s="12"/>
      <c r="Q30" s="12"/>
      <c r="R30" s="12"/>
      <c r="S30" s="12"/>
    </row>
    <row r="31" ht="14.25" customHeight="1">
      <c r="A31" s="6"/>
      <c r="B31" s="11"/>
      <c r="C31" s="11"/>
      <c r="D31" s="12"/>
      <c r="E31" s="12"/>
      <c r="F31" s="12"/>
      <c r="G31" s="12"/>
      <c r="H31" s="12"/>
      <c r="I31" s="12"/>
      <c r="J31" s="12"/>
      <c r="K31" s="12"/>
      <c r="L31" s="12"/>
      <c r="M31" s="12"/>
      <c r="N31" s="12"/>
      <c r="O31" s="12"/>
      <c r="P31" s="12"/>
      <c r="Q31" s="12"/>
      <c r="R31" s="12"/>
      <c r="S31"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7.13"/>
    <col customWidth="1" min="3" max="3" width="38.38"/>
    <col customWidth="1" min="6" max="6" width="46.88"/>
  </cols>
  <sheetData>
    <row r="1">
      <c r="A1" s="13" t="s">
        <v>215</v>
      </c>
      <c r="B1" s="13">
        <v>101.0</v>
      </c>
      <c r="C1" s="13" t="s">
        <v>216</v>
      </c>
      <c r="D1" s="14"/>
      <c r="E1" s="14"/>
      <c r="G1" s="14"/>
      <c r="H1" s="14"/>
      <c r="I1" s="14"/>
      <c r="J1" s="14"/>
      <c r="K1" s="14"/>
      <c r="L1" s="14"/>
      <c r="M1" s="14"/>
      <c r="N1" s="14"/>
      <c r="O1" s="14"/>
      <c r="P1" s="14"/>
      <c r="Q1" s="14"/>
      <c r="R1" s="14"/>
      <c r="S1" s="14"/>
      <c r="T1" s="14"/>
      <c r="U1" s="14"/>
      <c r="V1" s="14"/>
      <c r="W1" s="14"/>
      <c r="X1" s="14"/>
      <c r="Y1" s="14"/>
      <c r="Z1" s="14"/>
    </row>
    <row r="2">
      <c r="A2" s="13" t="s">
        <v>217</v>
      </c>
      <c r="B2" s="13">
        <v>102.0</v>
      </c>
      <c r="C2" s="13" t="s">
        <v>218</v>
      </c>
      <c r="D2" s="14"/>
      <c r="E2" s="14"/>
      <c r="G2" s="14"/>
      <c r="H2" s="14"/>
      <c r="I2" s="14"/>
      <c r="J2" s="14"/>
      <c r="K2" s="14"/>
      <c r="L2" s="14"/>
      <c r="M2" s="14"/>
      <c r="N2" s="14"/>
      <c r="O2" s="14"/>
      <c r="P2" s="14"/>
      <c r="Q2" s="14"/>
      <c r="R2" s="14"/>
      <c r="S2" s="14"/>
      <c r="T2" s="14"/>
      <c r="U2" s="14"/>
      <c r="V2" s="14"/>
      <c r="W2" s="14"/>
      <c r="X2" s="14"/>
      <c r="Y2" s="14"/>
      <c r="Z2" s="14"/>
    </row>
    <row r="3">
      <c r="A3" s="13" t="s">
        <v>219</v>
      </c>
      <c r="B3" s="13">
        <v>103.0</v>
      </c>
      <c r="C3" s="13" t="s">
        <v>125</v>
      </c>
      <c r="D3" s="14"/>
      <c r="E3" s="14"/>
      <c r="G3" s="14"/>
      <c r="H3" s="14"/>
      <c r="I3" s="14"/>
      <c r="J3" s="14"/>
      <c r="K3" s="14"/>
      <c r="L3" s="14"/>
      <c r="M3" s="14"/>
      <c r="N3" s="14"/>
      <c r="O3" s="14"/>
      <c r="P3" s="14"/>
      <c r="Q3" s="14"/>
      <c r="R3" s="14"/>
      <c r="S3" s="14"/>
      <c r="T3" s="14"/>
      <c r="U3" s="14"/>
      <c r="V3" s="14"/>
      <c r="W3" s="14"/>
      <c r="X3" s="14"/>
      <c r="Y3" s="14"/>
      <c r="Z3" s="14"/>
    </row>
    <row r="4">
      <c r="A4" s="13" t="s">
        <v>220</v>
      </c>
      <c r="B4" s="13">
        <v>104.0</v>
      </c>
      <c r="C4" s="13" t="s">
        <v>125</v>
      </c>
      <c r="D4" s="14"/>
      <c r="E4" s="14"/>
      <c r="G4" s="14"/>
      <c r="H4" s="14"/>
      <c r="I4" s="14"/>
      <c r="J4" s="14"/>
      <c r="K4" s="14"/>
      <c r="L4" s="14"/>
      <c r="M4" s="14"/>
      <c r="N4" s="14"/>
      <c r="O4" s="14"/>
      <c r="P4" s="14"/>
      <c r="Q4" s="14"/>
      <c r="R4" s="14"/>
      <c r="S4" s="14"/>
      <c r="T4" s="14"/>
      <c r="U4" s="14"/>
      <c r="V4" s="14"/>
      <c r="W4" s="14"/>
      <c r="X4" s="14"/>
      <c r="Y4" s="14"/>
      <c r="Z4" s="14"/>
    </row>
    <row r="5">
      <c r="A5" s="13" t="s">
        <v>221</v>
      </c>
      <c r="B5" s="13">
        <v>105.0</v>
      </c>
      <c r="C5" s="13" t="s">
        <v>222</v>
      </c>
      <c r="D5" s="14"/>
      <c r="E5" s="14"/>
      <c r="G5" s="14"/>
      <c r="H5" s="14"/>
      <c r="I5" s="14"/>
      <c r="J5" s="14"/>
      <c r="K5" s="14"/>
      <c r="L5" s="14"/>
      <c r="M5" s="14"/>
      <c r="N5" s="14"/>
      <c r="O5" s="14"/>
      <c r="P5" s="14"/>
      <c r="Q5" s="14"/>
      <c r="R5" s="14"/>
      <c r="S5" s="14"/>
      <c r="T5" s="14"/>
      <c r="U5" s="14"/>
      <c r="V5" s="14"/>
      <c r="W5" s="14"/>
      <c r="X5" s="14"/>
      <c r="Y5" s="14"/>
      <c r="Z5" s="14"/>
    </row>
    <row r="6">
      <c r="A6" s="13" t="s">
        <v>223</v>
      </c>
      <c r="B6" s="13">
        <v>106.0</v>
      </c>
      <c r="C6" s="13" t="s">
        <v>222</v>
      </c>
      <c r="D6" s="14"/>
      <c r="E6" s="14"/>
      <c r="G6" s="14"/>
      <c r="H6" s="14"/>
      <c r="I6" s="14"/>
      <c r="J6" s="14"/>
      <c r="K6" s="14"/>
      <c r="L6" s="14"/>
      <c r="M6" s="14"/>
      <c r="N6" s="14"/>
      <c r="O6" s="14"/>
      <c r="P6" s="14"/>
      <c r="Q6" s="14"/>
      <c r="R6" s="14"/>
      <c r="S6" s="14"/>
      <c r="T6" s="14"/>
      <c r="U6" s="14"/>
      <c r="V6" s="14"/>
      <c r="W6" s="14"/>
      <c r="X6" s="14"/>
      <c r="Y6" s="14"/>
      <c r="Z6" s="14"/>
    </row>
    <row r="7">
      <c r="A7" s="13" t="s">
        <v>224</v>
      </c>
      <c r="B7" s="13">
        <v>107.0</v>
      </c>
      <c r="C7" s="13" t="s">
        <v>153</v>
      </c>
      <c r="D7" s="14"/>
      <c r="E7" s="14"/>
      <c r="G7" s="14"/>
      <c r="H7" s="14"/>
      <c r="I7" s="14"/>
      <c r="J7" s="14"/>
      <c r="K7" s="14"/>
      <c r="L7" s="14"/>
      <c r="M7" s="14"/>
      <c r="N7" s="14"/>
      <c r="O7" s="14"/>
      <c r="P7" s="14"/>
      <c r="Q7" s="14"/>
      <c r="R7" s="14"/>
      <c r="S7" s="14"/>
      <c r="T7" s="14"/>
      <c r="U7" s="14"/>
      <c r="V7" s="14"/>
      <c r="W7" s="14"/>
      <c r="X7" s="14"/>
      <c r="Y7" s="14"/>
      <c r="Z7" s="14"/>
    </row>
    <row r="8">
      <c r="A8" s="13" t="s">
        <v>225</v>
      </c>
      <c r="B8" s="13">
        <v>108.0</v>
      </c>
      <c r="C8" s="13" t="s">
        <v>153</v>
      </c>
      <c r="D8" s="14"/>
      <c r="E8" s="14"/>
      <c r="G8" s="14"/>
      <c r="H8" s="14"/>
      <c r="I8" s="14"/>
      <c r="J8" s="14"/>
      <c r="K8" s="14"/>
      <c r="L8" s="14"/>
      <c r="M8" s="14"/>
      <c r="N8" s="14"/>
      <c r="O8" s="14"/>
      <c r="P8" s="14"/>
      <c r="Q8" s="14"/>
      <c r="R8" s="14"/>
      <c r="S8" s="14"/>
      <c r="T8" s="14"/>
      <c r="U8" s="14"/>
      <c r="V8" s="14"/>
      <c r="W8" s="14"/>
      <c r="X8" s="14"/>
      <c r="Y8" s="14"/>
      <c r="Z8" s="14"/>
    </row>
    <row r="9">
      <c r="A9" s="13" t="s">
        <v>226</v>
      </c>
      <c r="B9" s="13">
        <v>109.0</v>
      </c>
      <c r="C9" s="13" t="s">
        <v>125</v>
      </c>
      <c r="D9" s="14"/>
      <c r="E9" s="14"/>
      <c r="G9" s="14"/>
      <c r="H9" s="14"/>
      <c r="I9" s="14"/>
      <c r="J9" s="14"/>
      <c r="K9" s="14"/>
      <c r="L9" s="14"/>
      <c r="M9" s="14"/>
      <c r="N9" s="14"/>
      <c r="O9" s="14"/>
      <c r="P9" s="14"/>
      <c r="Q9" s="14"/>
      <c r="R9" s="14"/>
      <c r="S9" s="14"/>
      <c r="T9" s="14"/>
      <c r="U9" s="14"/>
      <c r="V9" s="14"/>
      <c r="W9" s="14"/>
      <c r="X9" s="14"/>
      <c r="Y9" s="14"/>
      <c r="Z9" s="14"/>
    </row>
    <row r="10">
      <c r="A10" s="13" t="s">
        <v>215</v>
      </c>
      <c r="B10" s="13">
        <v>110.0</v>
      </c>
      <c r="C10" s="13" t="s">
        <v>153</v>
      </c>
      <c r="D10" s="14"/>
      <c r="E10" s="14"/>
      <c r="G10" s="14"/>
      <c r="H10" s="14"/>
      <c r="I10" s="14"/>
      <c r="J10" s="14"/>
      <c r="K10" s="14"/>
      <c r="L10" s="14"/>
      <c r="M10" s="14"/>
      <c r="N10" s="14"/>
      <c r="O10" s="14"/>
      <c r="P10" s="14"/>
      <c r="Q10" s="14"/>
      <c r="R10" s="14"/>
      <c r="S10" s="14"/>
      <c r="T10" s="14"/>
      <c r="U10" s="14"/>
      <c r="V10" s="14"/>
      <c r="W10" s="14"/>
      <c r="X10" s="14"/>
      <c r="Y10" s="14"/>
      <c r="Z10" s="14"/>
    </row>
    <row r="11">
      <c r="A11" s="13" t="s">
        <v>215</v>
      </c>
      <c r="B11" s="13">
        <v>111.0</v>
      </c>
      <c r="C11" s="13" t="s">
        <v>227</v>
      </c>
      <c r="D11" s="14"/>
      <c r="E11" s="14"/>
      <c r="G11" s="14"/>
      <c r="H11" s="14"/>
      <c r="I11" s="14"/>
      <c r="J11" s="14"/>
      <c r="K11" s="14"/>
      <c r="L11" s="14"/>
      <c r="M11" s="14"/>
      <c r="N11" s="14"/>
      <c r="O11" s="14"/>
      <c r="P11" s="14"/>
      <c r="Q11" s="14"/>
      <c r="R11" s="14"/>
      <c r="S11" s="14"/>
      <c r="T11" s="14"/>
      <c r="U11" s="14"/>
      <c r="V11" s="14"/>
      <c r="W11" s="14"/>
      <c r="X11" s="14"/>
      <c r="Y11" s="14"/>
      <c r="Z11" s="14"/>
    </row>
    <row r="12">
      <c r="A12" s="13" t="s">
        <v>215</v>
      </c>
      <c r="B12" s="13">
        <v>112.0</v>
      </c>
      <c r="C12" s="13" t="s">
        <v>36</v>
      </c>
      <c r="D12" s="14"/>
      <c r="E12" s="14"/>
      <c r="G12" s="14"/>
      <c r="H12" s="14"/>
      <c r="I12" s="14"/>
      <c r="J12" s="14"/>
      <c r="K12" s="14"/>
      <c r="L12" s="14"/>
      <c r="M12" s="14"/>
      <c r="N12" s="14"/>
      <c r="O12" s="14"/>
      <c r="P12" s="14"/>
      <c r="Q12" s="14"/>
      <c r="R12" s="14"/>
      <c r="S12" s="14"/>
      <c r="T12" s="14"/>
      <c r="U12" s="14"/>
      <c r="V12" s="14"/>
      <c r="W12" s="14"/>
      <c r="X12" s="14"/>
      <c r="Y12" s="14"/>
      <c r="Z12" s="14"/>
    </row>
    <row r="13">
      <c r="A13" s="13" t="s">
        <v>215</v>
      </c>
      <c r="B13" s="13">
        <v>113.0</v>
      </c>
      <c r="C13" s="13" t="s">
        <v>31</v>
      </c>
      <c r="D13" s="14"/>
      <c r="E13" s="14"/>
      <c r="G13" s="14"/>
      <c r="H13" s="14"/>
      <c r="I13" s="14"/>
      <c r="J13" s="14"/>
      <c r="K13" s="14"/>
      <c r="L13" s="14"/>
      <c r="M13" s="14"/>
      <c r="N13" s="14"/>
      <c r="O13" s="14"/>
      <c r="P13" s="14"/>
      <c r="Q13" s="14"/>
      <c r="R13" s="14"/>
      <c r="S13" s="14"/>
      <c r="T13" s="14"/>
      <c r="U13" s="14"/>
      <c r="V13" s="14"/>
      <c r="W13" s="14"/>
      <c r="X13" s="14"/>
      <c r="Y13" s="14"/>
      <c r="Z13" s="14"/>
    </row>
    <row r="14">
      <c r="A14" s="13" t="s">
        <v>215</v>
      </c>
      <c r="B14" s="13">
        <v>114.0</v>
      </c>
      <c r="C14" s="13" t="s">
        <v>31</v>
      </c>
      <c r="D14" s="14"/>
      <c r="E14" s="14"/>
      <c r="G14" s="14"/>
      <c r="H14" s="14"/>
      <c r="I14" s="14"/>
      <c r="J14" s="14"/>
      <c r="K14" s="14"/>
      <c r="L14" s="14"/>
      <c r="M14" s="14"/>
      <c r="N14" s="14"/>
      <c r="O14" s="14"/>
      <c r="P14" s="14"/>
      <c r="Q14" s="14"/>
      <c r="R14" s="14"/>
      <c r="S14" s="14"/>
      <c r="T14" s="14"/>
      <c r="U14" s="14"/>
      <c r="V14" s="14"/>
      <c r="W14" s="14"/>
      <c r="X14" s="14"/>
      <c r="Y14" s="14"/>
      <c r="Z14" s="14"/>
    </row>
    <row r="15">
      <c r="A15" s="13" t="s">
        <v>215</v>
      </c>
      <c r="B15" s="13">
        <v>115.0</v>
      </c>
      <c r="C15" s="13" t="s">
        <v>228</v>
      </c>
      <c r="D15" s="14"/>
      <c r="E15" s="14"/>
      <c r="G15" s="14"/>
      <c r="H15" s="14"/>
      <c r="I15" s="14"/>
      <c r="J15" s="14"/>
      <c r="K15" s="14"/>
      <c r="L15" s="14"/>
      <c r="M15" s="14"/>
      <c r="N15" s="14"/>
      <c r="O15" s="14"/>
      <c r="P15" s="14"/>
      <c r="Q15" s="14"/>
      <c r="R15" s="14"/>
      <c r="S15" s="14"/>
      <c r="T15" s="14"/>
      <c r="U15" s="14"/>
      <c r="V15" s="14"/>
      <c r="W15" s="14"/>
      <c r="X15" s="14"/>
      <c r="Y15" s="14"/>
      <c r="Z15" s="14"/>
    </row>
    <row r="16">
      <c r="A16" s="13" t="s">
        <v>215</v>
      </c>
      <c r="B16" s="13">
        <v>116.0</v>
      </c>
      <c r="C16" s="13" t="s">
        <v>229</v>
      </c>
      <c r="D16" s="14"/>
      <c r="E16" s="14"/>
      <c r="G16" s="14"/>
      <c r="H16" s="14"/>
      <c r="I16" s="14"/>
      <c r="J16" s="14"/>
      <c r="K16" s="14"/>
      <c r="L16" s="14"/>
      <c r="M16" s="14"/>
      <c r="N16" s="14"/>
      <c r="O16" s="14"/>
      <c r="P16" s="14"/>
      <c r="Q16" s="14"/>
      <c r="R16" s="14"/>
      <c r="S16" s="14"/>
      <c r="T16" s="14"/>
      <c r="U16" s="14"/>
      <c r="V16" s="14"/>
      <c r="W16" s="14"/>
      <c r="X16" s="14"/>
      <c r="Y16" s="14"/>
      <c r="Z16" s="14"/>
    </row>
    <row r="17">
      <c r="A17" s="13" t="s">
        <v>215</v>
      </c>
      <c r="B17" s="13">
        <v>117.0</v>
      </c>
      <c r="C17" s="13" t="s">
        <v>130</v>
      </c>
      <c r="D17" s="14"/>
      <c r="E17" s="14"/>
      <c r="G17" s="14"/>
      <c r="H17" s="14"/>
      <c r="I17" s="14"/>
      <c r="J17" s="14"/>
      <c r="K17" s="14"/>
      <c r="L17" s="14"/>
      <c r="M17" s="14"/>
      <c r="N17" s="14"/>
      <c r="O17" s="14"/>
      <c r="P17" s="14"/>
      <c r="Q17" s="14"/>
      <c r="R17" s="14"/>
      <c r="S17" s="14"/>
      <c r="T17" s="14"/>
      <c r="U17" s="14"/>
      <c r="V17" s="14"/>
      <c r="W17" s="14"/>
      <c r="X17" s="14"/>
      <c r="Y17" s="14"/>
      <c r="Z17" s="14"/>
    </row>
    <row r="18">
      <c r="A18" s="13" t="s">
        <v>215</v>
      </c>
      <c r="B18" s="13">
        <v>118.0</v>
      </c>
      <c r="C18" s="13" t="s">
        <v>230</v>
      </c>
      <c r="D18" s="14"/>
      <c r="E18" s="14"/>
      <c r="G18" s="14"/>
      <c r="H18" s="14"/>
      <c r="I18" s="14"/>
      <c r="J18" s="14"/>
      <c r="K18" s="14"/>
      <c r="L18" s="14"/>
      <c r="M18" s="14"/>
      <c r="N18" s="14"/>
      <c r="O18" s="14"/>
      <c r="P18" s="14"/>
      <c r="Q18" s="14"/>
      <c r="R18" s="14"/>
      <c r="S18" s="14"/>
      <c r="T18" s="14"/>
      <c r="U18" s="14"/>
      <c r="V18" s="14"/>
      <c r="W18" s="14"/>
      <c r="X18" s="14"/>
      <c r="Y18" s="14"/>
      <c r="Z18" s="14"/>
    </row>
    <row r="19">
      <c r="A19" s="13" t="s">
        <v>215</v>
      </c>
      <c r="B19" s="13">
        <v>119.0</v>
      </c>
      <c r="C19" s="13" t="s">
        <v>231</v>
      </c>
      <c r="D19" s="14"/>
      <c r="E19" s="14"/>
      <c r="G19" s="14"/>
      <c r="H19" s="14"/>
      <c r="I19" s="14"/>
      <c r="J19" s="14"/>
      <c r="K19" s="14"/>
      <c r="L19" s="14"/>
      <c r="M19" s="14"/>
      <c r="N19" s="14"/>
      <c r="O19" s="14"/>
      <c r="P19" s="14"/>
      <c r="Q19" s="14"/>
      <c r="R19" s="14"/>
      <c r="S19" s="14"/>
      <c r="T19" s="14"/>
      <c r="U19" s="14"/>
      <c r="V19" s="14"/>
      <c r="W19" s="14"/>
      <c r="X19" s="14"/>
      <c r="Y19" s="14"/>
      <c r="Z19" s="14"/>
    </row>
    <row r="20">
      <c r="A20" s="13" t="s">
        <v>215</v>
      </c>
      <c r="B20" s="13">
        <v>120.0</v>
      </c>
      <c r="C20" s="13" t="s">
        <v>231</v>
      </c>
      <c r="D20" s="14"/>
      <c r="E20" s="14"/>
      <c r="G20" s="14"/>
      <c r="H20" s="14"/>
      <c r="I20" s="14"/>
      <c r="J20" s="14"/>
      <c r="K20" s="14"/>
      <c r="L20" s="14"/>
      <c r="M20" s="14"/>
      <c r="N20" s="14"/>
      <c r="O20" s="14"/>
      <c r="P20" s="14"/>
      <c r="Q20" s="14"/>
      <c r="R20" s="14"/>
      <c r="S20" s="14"/>
      <c r="T20" s="14"/>
      <c r="U20" s="14"/>
      <c r="V20" s="14"/>
      <c r="W20" s="14"/>
      <c r="X20" s="14"/>
      <c r="Y20" s="14"/>
      <c r="Z20" s="14"/>
    </row>
    <row r="21">
      <c r="A21" s="13" t="s">
        <v>215</v>
      </c>
      <c r="B21" s="13">
        <v>121.0</v>
      </c>
      <c r="C21" s="15" t="s">
        <v>231</v>
      </c>
      <c r="D21" s="14"/>
      <c r="E21" s="14"/>
      <c r="G21" s="14"/>
      <c r="H21" s="14"/>
      <c r="I21" s="14"/>
      <c r="J21" s="14"/>
      <c r="K21" s="14"/>
      <c r="L21" s="14"/>
      <c r="M21" s="14"/>
      <c r="N21" s="14"/>
      <c r="O21" s="14"/>
      <c r="P21" s="14"/>
      <c r="Q21" s="14"/>
      <c r="R21" s="14"/>
      <c r="S21" s="14"/>
      <c r="T21" s="14"/>
      <c r="U21" s="14"/>
      <c r="V21" s="14"/>
      <c r="W21" s="14"/>
      <c r="X21" s="14"/>
      <c r="Y21" s="14"/>
      <c r="Z21" s="14"/>
    </row>
    <row r="22">
      <c r="A22" s="13" t="s">
        <v>215</v>
      </c>
      <c r="B22" s="13">
        <v>122.0</v>
      </c>
      <c r="C22" s="15" t="s">
        <v>48</v>
      </c>
      <c r="D22" s="14"/>
      <c r="E22" s="14"/>
      <c r="G22" s="14"/>
      <c r="H22" s="14"/>
      <c r="I22" s="14"/>
      <c r="J22" s="14"/>
      <c r="K22" s="14"/>
      <c r="L22" s="14"/>
      <c r="M22" s="14"/>
      <c r="N22" s="14"/>
      <c r="O22" s="14"/>
      <c r="P22" s="14"/>
      <c r="Q22" s="14"/>
      <c r="R22" s="14"/>
      <c r="S22" s="14"/>
      <c r="T22" s="14"/>
      <c r="U22" s="14"/>
      <c r="V22" s="14"/>
      <c r="W22" s="14"/>
      <c r="X22" s="14"/>
      <c r="Y22" s="14"/>
      <c r="Z22" s="14"/>
    </row>
    <row r="23">
      <c r="A23" s="13" t="s">
        <v>215</v>
      </c>
      <c r="B23" s="13">
        <v>123.0</v>
      </c>
      <c r="C23" s="15" t="s">
        <v>48</v>
      </c>
      <c r="D23" s="14"/>
      <c r="E23" s="14"/>
      <c r="G23" s="14"/>
      <c r="H23" s="14"/>
      <c r="I23" s="14"/>
      <c r="J23" s="14"/>
      <c r="K23" s="14"/>
      <c r="L23" s="14"/>
      <c r="M23" s="14"/>
      <c r="N23" s="14"/>
      <c r="O23" s="14"/>
      <c r="P23" s="14"/>
      <c r="Q23" s="14"/>
      <c r="R23" s="14"/>
      <c r="S23" s="14"/>
      <c r="T23" s="14"/>
      <c r="U23" s="14"/>
      <c r="V23" s="14"/>
      <c r="W23" s="14"/>
      <c r="X23" s="14"/>
      <c r="Y23" s="14"/>
      <c r="Z23" s="14"/>
    </row>
    <row r="24">
      <c r="A24" s="13" t="s">
        <v>215</v>
      </c>
      <c r="B24" s="13">
        <v>124.0</v>
      </c>
      <c r="C24" s="13" t="s">
        <v>48</v>
      </c>
      <c r="D24" s="14"/>
      <c r="E24" s="14"/>
      <c r="G24" s="14"/>
      <c r="H24" s="14"/>
      <c r="I24" s="14"/>
      <c r="J24" s="14"/>
      <c r="K24" s="14"/>
      <c r="L24" s="14"/>
      <c r="M24" s="14"/>
      <c r="N24" s="14"/>
      <c r="O24" s="14"/>
      <c r="P24" s="14"/>
      <c r="Q24" s="14"/>
      <c r="R24" s="14"/>
      <c r="S24" s="14"/>
      <c r="T24" s="14"/>
      <c r="U24" s="14"/>
      <c r="V24" s="14"/>
      <c r="W24" s="14"/>
      <c r="X24" s="14"/>
      <c r="Y24" s="14"/>
      <c r="Z24" s="14"/>
    </row>
    <row r="25">
      <c r="A25" s="13" t="s">
        <v>215</v>
      </c>
      <c r="B25" s="13">
        <v>125.0</v>
      </c>
      <c r="C25" s="13" t="s">
        <v>232</v>
      </c>
      <c r="D25" s="14"/>
      <c r="E25" s="14"/>
      <c r="G25" s="14"/>
      <c r="H25" s="14"/>
      <c r="I25" s="14"/>
      <c r="J25" s="14"/>
      <c r="K25" s="14"/>
      <c r="L25" s="14"/>
      <c r="M25" s="14"/>
      <c r="N25" s="14"/>
      <c r="O25" s="14"/>
      <c r="P25" s="14"/>
      <c r="Q25" s="14"/>
      <c r="R25" s="14"/>
      <c r="S25" s="14"/>
      <c r="T25" s="14"/>
      <c r="U25" s="14"/>
      <c r="V25" s="14"/>
      <c r="W25" s="14"/>
      <c r="X25" s="14"/>
      <c r="Y25" s="14"/>
      <c r="Z25" s="14"/>
    </row>
    <row r="26">
      <c r="A26" s="13" t="s">
        <v>215</v>
      </c>
      <c r="B26" s="13">
        <v>126.0</v>
      </c>
      <c r="C26" s="13" t="s">
        <v>232</v>
      </c>
      <c r="D26" s="14"/>
      <c r="E26" s="14"/>
      <c r="G26" s="14"/>
      <c r="H26" s="14"/>
      <c r="I26" s="14"/>
      <c r="J26" s="14"/>
      <c r="K26" s="14"/>
      <c r="L26" s="14"/>
      <c r="M26" s="14"/>
      <c r="N26" s="14"/>
      <c r="O26" s="14"/>
      <c r="P26" s="14"/>
      <c r="Q26" s="14"/>
      <c r="R26" s="14"/>
      <c r="S26" s="14"/>
      <c r="T26" s="14"/>
      <c r="U26" s="14"/>
      <c r="V26" s="14"/>
      <c r="W26" s="14"/>
      <c r="X26" s="14"/>
      <c r="Y26" s="14"/>
      <c r="Z26" s="14"/>
    </row>
    <row r="27">
      <c r="A27" s="13" t="s">
        <v>215</v>
      </c>
      <c r="B27" s="13">
        <v>127.0</v>
      </c>
      <c r="C27" s="13" t="s">
        <v>62</v>
      </c>
      <c r="D27" s="14"/>
      <c r="E27" s="14"/>
      <c r="G27" s="14"/>
      <c r="H27" s="14"/>
      <c r="I27" s="14"/>
      <c r="J27" s="14"/>
      <c r="K27" s="14"/>
      <c r="L27" s="14"/>
      <c r="M27" s="14"/>
      <c r="N27" s="14"/>
      <c r="O27" s="14"/>
      <c r="P27" s="14"/>
      <c r="Q27" s="14"/>
      <c r="R27" s="14"/>
      <c r="S27" s="14"/>
      <c r="T27" s="14"/>
      <c r="U27" s="14"/>
      <c r="V27" s="14"/>
      <c r="W27" s="14"/>
      <c r="X27" s="14"/>
      <c r="Y27" s="14"/>
      <c r="Z27" s="14"/>
    </row>
    <row r="28">
      <c r="A28" s="13" t="s">
        <v>215</v>
      </c>
      <c r="B28" s="13">
        <v>128.0</v>
      </c>
      <c r="C28" s="13" t="s">
        <v>233</v>
      </c>
      <c r="D28" s="14"/>
      <c r="E28" s="14"/>
      <c r="G28" s="14"/>
      <c r="H28" s="14"/>
      <c r="I28" s="14"/>
      <c r="J28" s="14"/>
      <c r="K28" s="14"/>
      <c r="L28" s="14"/>
      <c r="M28" s="14"/>
      <c r="N28" s="14"/>
      <c r="O28" s="14"/>
      <c r="P28" s="14"/>
      <c r="Q28" s="14"/>
      <c r="R28" s="14"/>
      <c r="S28" s="14"/>
      <c r="T28" s="14"/>
      <c r="U28" s="14"/>
      <c r="V28" s="14"/>
      <c r="W28" s="14"/>
      <c r="X28" s="14"/>
      <c r="Y28" s="14"/>
      <c r="Z28" s="14"/>
    </row>
    <row r="29">
      <c r="A29" s="13" t="s">
        <v>215</v>
      </c>
      <c r="B29" s="13">
        <v>129.0</v>
      </c>
      <c r="C29" s="13" t="s">
        <v>234</v>
      </c>
      <c r="D29" s="14"/>
      <c r="E29" s="14"/>
      <c r="G29" s="14"/>
      <c r="H29" s="14"/>
      <c r="I29" s="14"/>
      <c r="J29" s="14"/>
      <c r="K29" s="14"/>
      <c r="L29" s="14"/>
      <c r="M29" s="14"/>
      <c r="N29" s="14"/>
      <c r="O29" s="14"/>
      <c r="P29" s="14"/>
      <c r="Q29" s="14"/>
      <c r="R29" s="14"/>
      <c r="S29" s="14"/>
      <c r="T29" s="14"/>
      <c r="U29" s="14"/>
      <c r="V29" s="14"/>
      <c r="W29" s="14"/>
      <c r="X29" s="14"/>
      <c r="Y29" s="14"/>
      <c r="Z29" s="14"/>
    </row>
    <row r="30">
      <c r="A30" s="13" t="s">
        <v>215</v>
      </c>
      <c r="B30" s="13">
        <v>130.0</v>
      </c>
      <c r="C30" s="13" t="s">
        <v>235</v>
      </c>
      <c r="D30" s="14"/>
      <c r="E30" s="14"/>
      <c r="G30" s="14"/>
      <c r="H30" s="14"/>
      <c r="I30" s="14"/>
      <c r="J30" s="14"/>
      <c r="K30" s="14"/>
      <c r="L30" s="14"/>
      <c r="M30" s="14"/>
      <c r="N30" s="14"/>
      <c r="O30" s="14"/>
      <c r="P30" s="14"/>
      <c r="Q30" s="14"/>
      <c r="R30" s="14"/>
      <c r="S30" s="14"/>
      <c r="T30" s="14"/>
      <c r="U30" s="14"/>
      <c r="V30" s="14"/>
      <c r="W30" s="14"/>
      <c r="X30" s="14"/>
      <c r="Y30" s="14"/>
      <c r="Z30" s="14"/>
    </row>
    <row r="31">
      <c r="A31" s="13"/>
      <c r="B31" s="13">
        <v>150.0</v>
      </c>
      <c r="C31" s="13"/>
      <c r="D31" s="14"/>
      <c r="E31" s="14"/>
      <c r="G31" s="14"/>
      <c r="H31" s="14"/>
      <c r="I31" s="14"/>
      <c r="J31" s="14"/>
      <c r="K31" s="14"/>
      <c r="L31" s="14"/>
      <c r="M31" s="14"/>
      <c r="N31" s="14"/>
      <c r="O31" s="14"/>
      <c r="P31" s="14"/>
      <c r="Q31" s="14"/>
      <c r="R31" s="14"/>
      <c r="S31" s="14"/>
      <c r="T31" s="14"/>
      <c r="U31" s="14"/>
      <c r="V31" s="14"/>
      <c r="W31" s="14"/>
      <c r="X31" s="14"/>
      <c r="Y31" s="14"/>
      <c r="Z31" s="14"/>
    </row>
    <row r="32">
      <c r="A32" s="13" t="s">
        <v>236</v>
      </c>
      <c r="B32" s="13">
        <v>301.0</v>
      </c>
      <c r="C32" s="13" t="s">
        <v>237</v>
      </c>
      <c r="D32" s="14"/>
      <c r="E32" s="14"/>
      <c r="G32" s="14"/>
      <c r="H32" s="14"/>
      <c r="I32" s="14"/>
      <c r="J32" s="14"/>
      <c r="K32" s="14"/>
      <c r="L32" s="14"/>
      <c r="M32" s="14"/>
      <c r="N32" s="14"/>
      <c r="O32" s="14"/>
      <c r="P32" s="14"/>
      <c r="Q32" s="14"/>
      <c r="R32" s="14"/>
      <c r="S32" s="14"/>
      <c r="T32" s="14"/>
      <c r="U32" s="14"/>
      <c r="V32" s="14"/>
      <c r="W32" s="14"/>
      <c r="X32" s="14"/>
      <c r="Y32" s="14"/>
      <c r="Z32" s="14"/>
    </row>
    <row r="33">
      <c r="A33" s="13" t="s">
        <v>236</v>
      </c>
      <c r="B33" s="13">
        <v>302.0</v>
      </c>
      <c r="C33" s="13" t="s">
        <v>237</v>
      </c>
      <c r="D33" s="14"/>
      <c r="E33" s="14"/>
      <c r="G33" s="14"/>
      <c r="H33" s="14"/>
      <c r="I33" s="14"/>
      <c r="J33" s="14"/>
      <c r="K33" s="14"/>
      <c r="L33" s="14"/>
      <c r="M33" s="14"/>
      <c r="N33" s="14"/>
      <c r="O33" s="14"/>
      <c r="P33" s="14"/>
      <c r="Q33" s="14"/>
      <c r="R33" s="14"/>
      <c r="S33" s="14"/>
      <c r="T33" s="14"/>
      <c r="U33" s="14"/>
      <c r="V33" s="14"/>
      <c r="W33" s="14"/>
      <c r="X33" s="14"/>
      <c r="Y33" s="14"/>
      <c r="Z33" s="14"/>
    </row>
    <row r="34">
      <c r="A34" s="13" t="s">
        <v>236</v>
      </c>
      <c r="B34" s="13">
        <v>303.0</v>
      </c>
      <c r="C34" s="13" t="s">
        <v>74</v>
      </c>
      <c r="D34" s="14"/>
      <c r="E34" s="14"/>
      <c r="G34" s="14"/>
      <c r="H34" s="14"/>
      <c r="I34" s="14"/>
      <c r="J34" s="14"/>
      <c r="K34" s="14"/>
      <c r="L34" s="14"/>
      <c r="M34" s="14"/>
      <c r="N34" s="14"/>
      <c r="O34" s="14"/>
      <c r="P34" s="14"/>
      <c r="Q34" s="14"/>
      <c r="R34" s="14"/>
      <c r="S34" s="14"/>
      <c r="T34" s="14"/>
      <c r="U34" s="14"/>
      <c r="V34" s="14"/>
      <c r="W34" s="14"/>
      <c r="X34" s="14"/>
      <c r="Y34" s="14"/>
      <c r="Z34" s="14"/>
    </row>
    <row r="35">
      <c r="A35" s="13" t="s">
        <v>236</v>
      </c>
      <c r="B35" s="13">
        <v>304.0</v>
      </c>
      <c r="C35" s="13" t="s">
        <v>74</v>
      </c>
      <c r="D35" s="14"/>
      <c r="E35" s="14"/>
      <c r="G35" s="14"/>
      <c r="H35" s="14"/>
      <c r="I35" s="14"/>
      <c r="J35" s="14"/>
      <c r="K35" s="14"/>
      <c r="L35" s="14"/>
      <c r="M35" s="14"/>
      <c r="N35" s="14"/>
      <c r="O35" s="14"/>
      <c r="P35" s="14"/>
      <c r="Q35" s="14"/>
      <c r="R35" s="14"/>
      <c r="S35" s="14"/>
      <c r="T35" s="14"/>
      <c r="U35" s="14"/>
      <c r="V35" s="14"/>
      <c r="W35" s="14"/>
      <c r="X35" s="14"/>
      <c r="Y35" s="14"/>
      <c r="Z35" s="14"/>
    </row>
    <row r="36">
      <c r="A36" s="13" t="s">
        <v>236</v>
      </c>
      <c r="B36" s="13">
        <v>305.0</v>
      </c>
      <c r="C36" s="13" t="s">
        <v>74</v>
      </c>
      <c r="D36" s="14"/>
      <c r="E36" s="14"/>
      <c r="G36" s="14"/>
      <c r="H36" s="14"/>
      <c r="I36" s="14"/>
      <c r="J36" s="14"/>
      <c r="K36" s="14"/>
      <c r="L36" s="14"/>
      <c r="M36" s="14"/>
      <c r="N36" s="14"/>
      <c r="O36" s="14"/>
      <c r="P36" s="14"/>
      <c r="Q36" s="14"/>
      <c r="R36" s="14"/>
      <c r="S36" s="14"/>
      <c r="T36" s="14"/>
      <c r="U36" s="14"/>
      <c r="V36" s="14"/>
      <c r="W36" s="14"/>
      <c r="X36" s="14"/>
      <c r="Y36" s="14"/>
      <c r="Z36" s="14"/>
    </row>
    <row r="37">
      <c r="A37" s="13" t="s">
        <v>236</v>
      </c>
      <c r="B37" s="13">
        <v>306.0</v>
      </c>
      <c r="C37" s="13" t="s">
        <v>74</v>
      </c>
      <c r="D37" s="14"/>
      <c r="E37" s="14"/>
      <c r="G37" s="14"/>
      <c r="H37" s="14"/>
      <c r="I37" s="14"/>
      <c r="J37" s="14"/>
      <c r="K37" s="14"/>
      <c r="L37" s="14"/>
      <c r="M37" s="14"/>
      <c r="N37" s="14"/>
      <c r="O37" s="14"/>
      <c r="P37" s="14"/>
      <c r="Q37" s="14"/>
      <c r="R37" s="14"/>
      <c r="S37" s="14"/>
      <c r="T37" s="14"/>
      <c r="U37" s="14"/>
      <c r="V37" s="14"/>
      <c r="W37" s="14"/>
      <c r="X37" s="14"/>
      <c r="Y37" s="14"/>
      <c r="Z37" s="14"/>
    </row>
    <row r="38">
      <c r="A38" s="13" t="s">
        <v>236</v>
      </c>
      <c r="B38" s="13">
        <v>307.0</v>
      </c>
      <c r="C38" s="13" t="s">
        <v>238</v>
      </c>
      <c r="D38" s="14"/>
      <c r="E38" s="14"/>
      <c r="G38" s="14"/>
      <c r="H38" s="14"/>
      <c r="I38" s="14"/>
      <c r="J38" s="14"/>
      <c r="K38" s="14"/>
      <c r="L38" s="14"/>
      <c r="M38" s="14"/>
      <c r="N38" s="14"/>
      <c r="O38" s="14"/>
      <c r="P38" s="14"/>
      <c r="Q38" s="14"/>
      <c r="R38" s="14"/>
      <c r="S38" s="14"/>
      <c r="T38" s="14"/>
      <c r="U38" s="14"/>
      <c r="V38" s="14"/>
      <c r="W38" s="14"/>
      <c r="X38" s="14"/>
      <c r="Y38" s="14"/>
      <c r="Z38" s="14"/>
    </row>
    <row r="39">
      <c r="A39" s="13" t="s">
        <v>236</v>
      </c>
      <c r="B39" s="13">
        <v>308.0</v>
      </c>
      <c r="C39" s="13" t="s">
        <v>238</v>
      </c>
      <c r="D39" s="14"/>
      <c r="E39" s="14"/>
      <c r="G39" s="14"/>
      <c r="H39" s="14"/>
      <c r="I39" s="14"/>
      <c r="J39" s="14"/>
      <c r="K39" s="14"/>
      <c r="L39" s="14"/>
      <c r="M39" s="14"/>
      <c r="N39" s="14"/>
      <c r="O39" s="14"/>
      <c r="P39" s="14"/>
      <c r="Q39" s="14"/>
      <c r="R39" s="14"/>
      <c r="S39" s="14"/>
      <c r="T39" s="14"/>
      <c r="U39" s="14"/>
      <c r="V39" s="14"/>
      <c r="W39" s="14"/>
      <c r="X39" s="14"/>
      <c r="Y39" s="14"/>
      <c r="Z39" s="14"/>
    </row>
    <row r="40">
      <c r="A40" s="13" t="s">
        <v>236</v>
      </c>
      <c r="B40" s="13">
        <v>309.0</v>
      </c>
      <c r="C40" s="13" t="s">
        <v>153</v>
      </c>
      <c r="D40" s="14"/>
      <c r="E40" s="14"/>
      <c r="G40" s="14"/>
      <c r="H40" s="14"/>
      <c r="I40" s="14"/>
      <c r="J40" s="14"/>
      <c r="K40" s="14"/>
      <c r="L40" s="14"/>
      <c r="M40" s="14"/>
      <c r="N40" s="14"/>
      <c r="O40" s="14"/>
      <c r="P40" s="14"/>
      <c r="Q40" s="14"/>
      <c r="R40" s="14"/>
      <c r="S40" s="14"/>
      <c r="T40" s="14"/>
      <c r="U40" s="14"/>
      <c r="V40" s="14"/>
      <c r="W40" s="14"/>
      <c r="X40" s="14"/>
      <c r="Y40" s="14"/>
      <c r="Z40" s="14"/>
    </row>
    <row r="41">
      <c r="A41" s="13" t="s">
        <v>236</v>
      </c>
      <c r="B41" s="13">
        <v>310.0</v>
      </c>
      <c r="C41" s="13" t="s">
        <v>153</v>
      </c>
      <c r="D41" s="14"/>
      <c r="E41" s="14"/>
      <c r="G41" s="14"/>
      <c r="H41" s="14"/>
      <c r="I41" s="14"/>
      <c r="J41" s="14"/>
      <c r="K41" s="14"/>
      <c r="L41" s="14"/>
      <c r="M41" s="14"/>
      <c r="N41" s="14"/>
      <c r="O41" s="14"/>
      <c r="P41" s="14"/>
      <c r="Q41" s="14"/>
      <c r="R41" s="14"/>
      <c r="S41" s="14"/>
      <c r="T41" s="14"/>
      <c r="U41" s="14"/>
      <c r="V41" s="14"/>
      <c r="W41" s="14"/>
      <c r="X41" s="14"/>
      <c r="Y41" s="14"/>
      <c r="Z41" s="14"/>
    </row>
    <row r="42">
      <c r="A42" s="13" t="s">
        <v>236</v>
      </c>
      <c r="B42" s="13">
        <v>311.0</v>
      </c>
      <c r="C42" s="13" t="s">
        <v>153</v>
      </c>
      <c r="D42" s="14"/>
      <c r="E42" s="14"/>
      <c r="G42" s="14"/>
      <c r="H42" s="14"/>
      <c r="I42" s="14"/>
      <c r="J42" s="14"/>
      <c r="K42" s="14"/>
      <c r="L42" s="14"/>
      <c r="M42" s="14"/>
      <c r="N42" s="14"/>
      <c r="O42" s="14"/>
      <c r="P42" s="14"/>
      <c r="Q42" s="14"/>
      <c r="R42" s="14"/>
      <c r="S42" s="14"/>
      <c r="T42" s="14"/>
      <c r="U42" s="14"/>
      <c r="V42" s="14"/>
      <c r="W42" s="14"/>
      <c r="X42" s="14"/>
      <c r="Y42" s="14"/>
      <c r="Z42" s="14"/>
    </row>
    <row r="43">
      <c r="A43" s="13" t="s">
        <v>236</v>
      </c>
      <c r="B43" s="13">
        <v>312.0</v>
      </c>
      <c r="C43" s="13" t="s">
        <v>153</v>
      </c>
      <c r="D43" s="14"/>
      <c r="E43" s="14"/>
      <c r="G43" s="14"/>
      <c r="H43" s="14"/>
      <c r="I43" s="14"/>
      <c r="J43" s="14"/>
      <c r="K43" s="14"/>
      <c r="L43" s="14"/>
      <c r="M43" s="14"/>
      <c r="N43" s="14"/>
      <c r="O43" s="14"/>
      <c r="P43" s="14"/>
      <c r="Q43" s="14"/>
      <c r="R43" s="14"/>
      <c r="S43" s="14"/>
      <c r="T43" s="14"/>
      <c r="U43" s="14"/>
      <c r="V43" s="14"/>
      <c r="W43" s="14"/>
      <c r="X43" s="14"/>
      <c r="Y43" s="14"/>
      <c r="Z43" s="14"/>
    </row>
    <row r="44">
      <c r="A44" s="13" t="s">
        <v>236</v>
      </c>
      <c r="B44" s="13">
        <v>313.0</v>
      </c>
      <c r="C44" s="13" t="s">
        <v>99</v>
      </c>
      <c r="D44" s="14"/>
      <c r="E44" s="14"/>
      <c r="G44" s="14"/>
      <c r="H44" s="14"/>
      <c r="I44" s="14"/>
      <c r="J44" s="14"/>
      <c r="K44" s="14"/>
      <c r="L44" s="14"/>
      <c r="M44" s="14"/>
      <c r="N44" s="14"/>
      <c r="O44" s="14"/>
      <c r="P44" s="14"/>
      <c r="Q44" s="14"/>
      <c r="R44" s="14"/>
      <c r="S44" s="14"/>
      <c r="T44" s="14"/>
      <c r="U44" s="14"/>
      <c r="V44" s="14"/>
      <c r="W44" s="14"/>
      <c r="X44" s="14"/>
      <c r="Y44" s="14"/>
      <c r="Z44" s="14"/>
    </row>
    <row r="45">
      <c r="A45" s="13" t="s">
        <v>236</v>
      </c>
      <c r="B45" s="13">
        <v>314.0</v>
      </c>
      <c r="C45" s="13" t="s">
        <v>99</v>
      </c>
      <c r="D45" s="14"/>
      <c r="E45" s="14"/>
      <c r="G45" s="14"/>
      <c r="H45" s="14"/>
      <c r="I45" s="14"/>
      <c r="J45" s="14"/>
      <c r="K45" s="14"/>
      <c r="L45" s="14"/>
      <c r="M45" s="14"/>
      <c r="N45" s="14"/>
      <c r="O45" s="14"/>
      <c r="P45" s="14"/>
      <c r="Q45" s="14"/>
      <c r="R45" s="14"/>
      <c r="S45" s="14"/>
      <c r="T45" s="14"/>
      <c r="U45" s="14"/>
      <c r="V45" s="14"/>
      <c r="W45" s="14"/>
      <c r="X45" s="14"/>
      <c r="Y45" s="14"/>
      <c r="Z45" s="14"/>
    </row>
    <row r="46">
      <c r="A46" s="13" t="s">
        <v>236</v>
      </c>
      <c r="B46" s="13">
        <v>315.0</v>
      </c>
      <c r="C46" s="13" t="s">
        <v>115</v>
      </c>
      <c r="D46" s="14"/>
      <c r="E46" s="14"/>
      <c r="G46" s="14"/>
      <c r="H46" s="14"/>
      <c r="I46" s="14"/>
      <c r="J46" s="14"/>
      <c r="K46" s="14"/>
      <c r="L46" s="14"/>
      <c r="M46" s="14"/>
      <c r="N46" s="14"/>
      <c r="O46" s="14"/>
      <c r="P46" s="14"/>
      <c r="Q46" s="14"/>
      <c r="R46" s="14"/>
      <c r="S46" s="14"/>
      <c r="T46" s="14"/>
      <c r="U46" s="14"/>
      <c r="V46" s="14"/>
      <c r="W46" s="14"/>
      <c r="X46" s="14"/>
      <c r="Y46" s="14"/>
      <c r="Z46" s="14"/>
    </row>
    <row r="47">
      <c r="A47" s="13" t="s">
        <v>236</v>
      </c>
      <c r="B47" s="13">
        <v>316.0</v>
      </c>
      <c r="C47" s="13" t="s">
        <v>115</v>
      </c>
      <c r="D47" s="14"/>
      <c r="E47" s="14"/>
      <c r="G47" s="14"/>
      <c r="H47" s="14"/>
      <c r="I47" s="14"/>
      <c r="J47" s="14"/>
      <c r="K47" s="14"/>
      <c r="L47" s="14"/>
      <c r="M47" s="14"/>
      <c r="N47" s="14"/>
      <c r="O47" s="14"/>
      <c r="P47" s="14"/>
      <c r="Q47" s="14"/>
      <c r="R47" s="14"/>
      <c r="S47" s="14"/>
      <c r="T47" s="14"/>
      <c r="U47" s="14"/>
      <c r="V47" s="14"/>
      <c r="W47" s="14"/>
      <c r="X47" s="14"/>
      <c r="Y47" s="14"/>
      <c r="Z47" s="14"/>
    </row>
    <row r="48">
      <c r="A48" s="13" t="s">
        <v>236</v>
      </c>
      <c r="B48" s="13">
        <v>317.0</v>
      </c>
      <c r="C48" s="13" t="s">
        <v>115</v>
      </c>
      <c r="D48" s="14"/>
      <c r="E48" s="14"/>
      <c r="G48" s="14"/>
      <c r="H48" s="14"/>
      <c r="I48" s="14"/>
      <c r="J48" s="14"/>
      <c r="K48" s="14"/>
      <c r="L48" s="14"/>
      <c r="M48" s="14"/>
      <c r="N48" s="14"/>
      <c r="O48" s="14"/>
      <c r="P48" s="14"/>
      <c r="Q48" s="14"/>
      <c r="R48" s="14"/>
      <c r="S48" s="14"/>
      <c r="T48" s="14"/>
      <c r="U48" s="14"/>
      <c r="V48" s="14"/>
      <c r="W48" s="14"/>
      <c r="X48" s="14"/>
      <c r="Y48" s="14"/>
      <c r="Z48" s="14"/>
    </row>
    <row r="49">
      <c r="A49" s="13" t="s">
        <v>236</v>
      </c>
      <c r="B49" s="13">
        <v>318.0</v>
      </c>
      <c r="C49" s="13" t="s">
        <v>239</v>
      </c>
      <c r="D49" s="14"/>
      <c r="E49" s="14"/>
      <c r="G49" s="14"/>
      <c r="H49" s="14"/>
      <c r="I49" s="14"/>
      <c r="J49" s="14"/>
      <c r="K49" s="14"/>
      <c r="L49" s="14"/>
      <c r="M49" s="14"/>
      <c r="N49" s="14"/>
      <c r="O49" s="14"/>
      <c r="P49" s="14"/>
      <c r="Q49" s="14"/>
      <c r="R49" s="14"/>
      <c r="S49" s="14"/>
      <c r="T49" s="14"/>
      <c r="U49" s="14"/>
      <c r="V49" s="14"/>
      <c r="W49" s="14"/>
      <c r="X49" s="14"/>
      <c r="Y49" s="14"/>
      <c r="Z49" s="14"/>
    </row>
    <row r="50">
      <c r="A50" s="13" t="s">
        <v>236</v>
      </c>
      <c r="B50" s="13">
        <v>319.0</v>
      </c>
      <c r="C50" s="13" t="s">
        <v>239</v>
      </c>
      <c r="D50" s="14"/>
      <c r="E50" s="14"/>
      <c r="G50" s="14"/>
      <c r="H50" s="14"/>
      <c r="I50" s="14"/>
      <c r="J50" s="14"/>
      <c r="K50" s="14"/>
      <c r="L50" s="14"/>
      <c r="M50" s="14"/>
      <c r="N50" s="14"/>
      <c r="O50" s="14"/>
      <c r="P50" s="14"/>
      <c r="Q50" s="14"/>
      <c r="R50" s="14"/>
      <c r="S50" s="14"/>
      <c r="T50" s="14"/>
      <c r="U50" s="14"/>
      <c r="V50" s="14"/>
      <c r="W50" s="14"/>
      <c r="X50" s="14"/>
      <c r="Y50" s="14"/>
      <c r="Z50" s="14"/>
    </row>
    <row r="51">
      <c r="A51" s="13" t="s">
        <v>236</v>
      </c>
      <c r="B51" s="13">
        <v>320.0</v>
      </c>
      <c r="C51" s="13" t="s">
        <v>80</v>
      </c>
      <c r="D51" s="14"/>
      <c r="E51" s="14"/>
      <c r="G51" s="14"/>
      <c r="H51" s="14"/>
      <c r="I51" s="14"/>
      <c r="J51" s="14"/>
      <c r="K51" s="14"/>
      <c r="L51" s="14"/>
      <c r="M51" s="14"/>
      <c r="N51" s="14"/>
      <c r="O51" s="14"/>
      <c r="P51" s="14"/>
      <c r="Q51" s="14"/>
      <c r="R51" s="14"/>
      <c r="S51" s="14"/>
      <c r="T51" s="14"/>
      <c r="U51" s="14"/>
      <c r="V51" s="14"/>
      <c r="W51" s="14"/>
      <c r="X51" s="14"/>
      <c r="Y51" s="14"/>
      <c r="Z51" s="14"/>
    </row>
    <row r="52">
      <c r="A52" s="13" t="s">
        <v>236</v>
      </c>
      <c r="B52" s="13">
        <v>321.0</v>
      </c>
      <c r="C52" s="13" t="s">
        <v>80</v>
      </c>
      <c r="D52" s="14"/>
      <c r="E52" s="14"/>
      <c r="G52" s="14"/>
      <c r="H52" s="14"/>
      <c r="I52" s="14"/>
      <c r="J52" s="14"/>
      <c r="K52" s="14"/>
      <c r="L52" s="14"/>
      <c r="M52" s="14"/>
      <c r="N52" s="14"/>
      <c r="O52" s="14"/>
      <c r="P52" s="14"/>
      <c r="Q52" s="14"/>
      <c r="R52" s="14"/>
      <c r="S52" s="14"/>
      <c r="T52" s="14"/>
      <c r="U52" s="14"/>
      <c r="V52" s="14"/>
      <c r="W52" s="14"/>
      <c r="X52" s="14"/>
      <c r="Y52" s="14"/>
      <c r="Z52" s="14"/>
    </row>
    <row r="53">
      <c r="A53" s="13" t="s">
        <v>236</v>
      </c>
      <c r="B53" s="13">
        <v>322.0</v>
      </c>
      <c r="C53" s="13" t="s">
        <v>48</v>
      </c>
      <c r="D53" s="14"/>
      <c r="E53" s="14"/>
      <c r="G53" s="14"/>
      <c r="H53" s="14"/>
      <c r="I53" s="14"/>
      <c r="J53" s="14"/>
      <c r="K53" s="14"/>
      <c r="L53" s="14"/>
      <c r="M53" s="14"/>
      <c r="N53" s="14"/>
      <c r="O53" s="14"/>
      <c r="P53" s="14"/>
      <c r="Q53" s="14"/>
      <c r="R53" s="14"/>
      <c r="S53" s="14"/>
      <c r="T53" s="14"/>
      <c r="U53" s="14"/>
      <c r="V53" s="14"/>
      <c r="W53" s="14"/>
      <c r="X53" s="14"/>
      <c r="Y53" s="14"/>
      <c r="Z53" s="14"/>
    </row>
    <row r="54">
      <c r="A54" s="13" t="s">
        <v>236</v>
      </c>
      <c r="B54" s="13">
        <v>323.0</v>
      </c>
      <c r="C54" s="13" t="s">
        <v>48</v>
      </c>
      <c r="D54" s="14"/>
      <c r="E54" s="14"/>
      <c r="G54" s="14"/>
      <c r="H54" s="14"/>
      <c r="I54" s="14"/>
      <c r="J54" s="14"/>
      <c r="K54" s="14"/>
      <c r="L54" s="14"/>
      <c r="M54" s="14"/>
      <c r="N54" s="14"/>
      <c r="O54" s="14"/>
      <c r="P54" s="14"/>
      <c r="Q54" s="14"/>
      <c r="R54" s="14"/>
      <c r="S54" s="14"/>
      <c r="T54" s="14"/>
      <c r="U54" s="14"/>
      <c r="V54" s="14"/>
      <c r="W54" s="14"/>
      <c r="X54" s="14"/>
      <c r="Y54" s="14"/>
      <c r="Z54" s="14"/>
    </row>
    <row r="55">
      <c r="A55" s="13" t="s">
        <v>236</v>
      </c>
      <c r="B55" s="13">
        <v>324.0</v>
      </c>
      <c r="C55" s="13" t="s">
        <v>89</v>
      </c>
      <c r="D55" s="14"/>
      <c r="E55" s="14"/>
      <c r="G55" s="14"/>
      <c r="H55" s="14"/>
      <c r="I55" s="14"/>
      <c r="J55" s="14"/>
      <c r="K55" s="14"/>
      <c r="L55" s="14"/>
      <c r="M55" s="14"/>
      <c r="N55" s="14"/>
      <c r="O55" s="14"/>
      <c r="P55" s="14"/>
      <c r="Q55" s="14"/>
      <c r="R55" s="14"/>
      <c r="S55" s="14"/>
      <c r="T55" s="14"/>
      <c r="U55" s="14"/>
      <c r="V55" s="14"/>
      <c r="W55" s="14"/>
      <c r="X55" s="14"/>
      <c r="Y55" s="14"/>
      <c r="Z55" s="14"/>
    </row>
    <row r="56">
      <c r="A56" s="13" t="s">
        <v>236</v>
      </c>
      <c r="B56" s="13">
        <v>325.0</v>
      </c>
      <c r="C56" s="13" t="s">
        <v>89</v>
      </c>
      <c r="D56" s="14"/>
      <c r="E56" s="14"/>
      <c r="G56" s="14"/>
      <c r="H56" s="14"/>
      <c r="I56" s="14"/>
      <c r="J56" s="14"/>
      <c r="K56" s="14"/>
      <c r="L56" s="14"/>
      <c r="M56" s="14"/>
      <c r="N56" s="14"/>
      <c r="O56" s="14"/>
      <c r="P56" s="14"/>
      <c r="Q56" s="14"/>
      <c r="R56" s="14"/>
      <c r="S56" s="14"/>
      <c r="T56" s="14"/>
      <c r="U56" s="14"/>
      <c r="V56" s="14"/>
      <c r="W56" s="14"/>
      <c r="X56" s="14"/>
      <c r="Y56" s="14"/>
      <c r="Z56" s="14"/>
    </row>
    <row r="57">
      <c r="A57" s="13" t="s">
        <v>236</v>
      </c>
      <c r="B57" s="13">
        <v>326.0</v>
      </c>
      <c r="C57" s="13" t="s">
        <v>110</v>
      </c>
      <c r="D57" s="14"/>
      <c r="E57" s="14"/>
      <c r="G57" s="14"/>
      <c r="H57" s="14"/>
      <c r="I57" s="14"/>
      <c r="J57" s="14"/>
      <c r="K57" s="14"/>
      <c r="L57" s="14"/>
      <c r="M57" s="14"/>
      <c r="N57" s="14"/>
      <c r="O57" s="14"/>
      <c r="P57" s="14"/>
      <c r="Q57" s="14"/>
      <c r="R57" s="14"/>
      <c r="S57" s="14"/>
      <c r="T57" s="14"/>
      <c r="U57" s="14"/>
      <c r="V57" s="14"/>
      <c r="W57" s="14"/>
      <c r="X57" s="14"/>
      <c r="Y57" s="14"/>
      <c r="Z57" s="14"/>
    </row>
    <row r="58">
      <c r="A58" s="13" t="s">
        <v>236</v>
      </c>
      <c r="B58" s="13">
        <v>327.0</v>
      </c>
      <c r="C58" s="13" t="s">
        <v>240</v>
      </c>
      <c r="D58" s="14"/>
      <c r="E58" s="14"/>
      <c r="G58" s="14"/>
      <c r="H58" s="14"/>
      <c r="I58" s="14"/>
      <c r="J58" s="14"/>
      <c r="K58" s="14"/>
      <c r="L58" s="14"/>
      <c r="M58" s="14"/>
      <c r="N58" s="14"/>
      <c r="O58" s="14"/>
      <c r="P58" s="14"/>
      <c r="Q58" s="14"/>
      <c r="R58" s="14"/>
      <c r="S58" s="14"/>
      <c r="T58" s="14"/>
      <c r="U58" s="14"/>
      <c r="V58" s="14"/>
      <c r="W58" s="14"/>
      <c r="X58" s="14"/>
      <c r="Y58" s="14"/>
      <c r="Z58" s="14"/>
    </row>
    <row r="59">
      <c r="A59" s="13" t="s">
        <v>236</v>
      </c>
      <c r="B59" s="13">
        <v>328.0</v>
      </c>
      <c r="C59" s="13" t="s">
        <v>240</v>
      </c>
      <c r="D59" s="14"/>
      <c r="E59" s="14"/>
      <c r="G59" s="14"/>
      <c r="H59" s="14"/>
      <c r="I59" s="14"/>
      <c r="J59" s="14"/>
      <c r="K59" s="14"/>
      <c r="L59" s="14"/>
      <c r="M59" s="14"/>
      <c r="N59" s="14"/>
      <c r="O59" s="14"/>
      <c r="P59" s="14"/>
      <c r="Q59" s="14"/>
      <c r="R59" s="14"/>
      <c r="S59" s="14"/>
      <c r="T59" s="14"/>
      <c r="U59" s="14"/>
      <c r="V59" s="14"/>
      <c r="W59" s="14"/>
      <c r="X59" s="14"/>
      <c r="Y59" s="14"/>
      <c r="Z59" s="14"/>
    </row>
    <row r="60">
      <c r="A60" s="13" t="s">
        <v>236</v>
      </c>
      <c r="B60" s="13">
        <v>329.0</v>
      </c>
      <c r="C60" s="13" t="s">
        <v>241</v>
      </c>
      <c r="D60" s="14"/>
      <c r="E60" s="14"/>
      <c r="G60" s="14"/>
      <c r="H60" s="14"/>
      <c r="I60" s="14"/>
      <c r="J60" s="14"/>
      <c r="K60" s="14"/>
      <c r="L60" s="14"/>
      <c r="M60" s="14"/>
      <c r="N60" s="14"/>
      <c r="O60" s="14"/>
      <c r="P60" s="14"/>
      <c r="Q60" s="14"/>
      <c r="R60" s="14"/>
      <c r="S60" s="14"/>
      <c r="T60" s="14"/>
      <c r="U60" s="14"/>
      <c r="V60" s="14"/>
      <c r="W60" s="14"/>
      <c r="X60" s="14"/>
      <c r="Y60" s="14"/>
      <c r="Z60" s="14"/>
    </row>
    <row r="61">
      <c r="A61" s="13" t="s">
        <v>236</v>
      </c>
      <c r="B61" s="13">
        <v>330.0</v>
      </c>
      <c r="C61" s="13" t="s">
        <v>241</v>
      </c>
      <c r="D61" s="14"/>
      <c r="E61" s="14"/>
      <c r="G61" s="14"/>
      <c r="H61" s="14"/>
      <c r="I61" s="14"/>
      <c r="J61" s="14"/>
      <c r="K61" s="14"/>
      <c r="L61" s="14"/>
      <c r="M61" s="14"/>
      <c r="N61" s="14"/>
      <c r="O61" s="14"/>
      <c r="P61" s="14"/>
      <c r="Q61" s="14"/>
      <c r="R61" s="14"/>
      <c r="S61" s="14"/>
      <c r="T61" s="14"/>
      <c r="U61" s="14"/>
      <c r="V61" s="14"/>
      <c r="W61" s="14"/>
      <c r="X61" s="14"/>
      <c r="Y61" s="14"/>
      <c r="Z61" s="14"/>
    </row>
    <row r="62">
      <c r="A62" s="13"/>
      <c r="B62" s="13">
        <v>350.0</v>
      </c>
      <c r="C62" s="13"/>
      <c r="D62" s="14"/>
      <c r="E62" s="14"/>
      <c r="F62" s="14"/>
      <c r="G62" s="14"/>
      <c r="H62" s="14"/>
      <c r="I62" s="14"/>
      <c r="J62" s="14"/>
      <c r="K62" s="14"/>
      <c r="L62" s="14"/>
      <c r="M62" s="14"/>
      <c r="N62" s="14"/>
      <c r="O62" s="14"/>
      <c r="P62" s="14"/>
      <c r="Q62" s="14"/>
      <c r="R62" s="14"/>
      <c r="S62" s="14"/>
      <c r="T62" s="14"/>
      <c r="U62" s="14"/>
      <c r="V62" s="14"/>
      <c r="W62" s="14"/>
      <c r="X62" s="14"/>
      <c r="Y62" s="14"/>
      <c r="Z62" s="14"/>
    </row>
    <row r="63">
      <c r="A63" s="13" t="s">
        <v>242</v>
      </c>
      <c r="B63" s="13">
        <v>401.0</v>
      </c>
      <c r="C63" s="13"/>
      <c r="D63" s="14"/>
      <c r="E63" s="14"/>
      <c r="F63" s="14"/>
      <c r="G63" s="14"/>
      <c r="H63" s="14"/>
      <c r="I63" s="14"/>
      <c r="J63" s="14"/>
      <c r="K63" s="14"/>
      <c r="L63" s="14"/>
      <c r="M63" s="14"/>
      <c r="N63" s="14"/>
      <c r="O63" s="14"/>
      <c r="P63" s="14"/>
      <c r="Q63" s="14"/>
      <c r="R63" s="14"/>
      <c r="S63" s="14"/>
      <c r="T63" s="14"/>
      <c r="U63" s="14"/>
      <c r="V63" s="14"/>
      <c r="W63" s="14"/>
      <c r="X63" s="14"/>
      <c r="Y63" s="14"/>
      <c r="Z63" s="14"/>
    </row>
    <row r="64">
      <c r="A64" s="13" t="s">
        <v>242</v>
      </c>
      <c r="B64" s="13">
        <v>402.0</v>
      </c>
      <c r="C64" s="13"/>
      <c r="D64" s="14"/>
      <c r="E64" s="14"/>
      <c r="F64" s="14"/>
      <c r="G64" s="14"/>
      <c r="H64" s="14"/>
      <c r="I64" s="14"/>
      <c r="J64" s="14"/>
      <c r="K64" s="14"/>
      <c r="L64" s="14"/>
      <c r="M64" s="14"/>
      <c r="N64" s="14"/>
      <c r="O64" s="14"/>
      <c r="P64" s="14"/>
      <c r="Q64" s="14"/>
      <c r="R64" s="14"/>
      <c r="S64" s="14"/>
      <c r="T64" s="14"/>
      <c r="U64" s="14"/>
      <c r="V64" s="14"/>
      <c r="W64" s="14"/>
      <c r="X64" s="14"/>
      <c r="Y64" s="14"/>
      <c r="Z64" s="14"/>
    </row>
    <row r="65">
      <c r="A65" s="13" t="s">
        <v>242</v>
      </c>
      <c r="B65" s="13">
        <v>403.0</v>
      </c>
      <c r="C65" s="13"/>
      <c r="D65" s="14"/>
      <c r="E65" s="14"/>
      <c r="F65" s="14"/>
      <c r="G65" s="14"/>
      <c r="H65" s="14"/>
      <c r="I65" s="14"/>
      <c r="J65" s="14"/>
      <c r="K65" s="14"/>
      <c r="L65" s="14"/>
      <c r="M65" s="14"/>
      <c r="N65" s="14"/>
      <c r="O65" s="14"/>
      <c r="P65" s="14"/>
      <c r="Q65" s="14"/>
      <c r="R65" s="14"/>
      <c r="S65" s="14"/>
      <c r="T65" s="14"/>
      <c r="U65" s="14"/>
      <c r="V65" s="14"/>
      <c r="W65" s="14"/>
      <c r="X65" s="14"/>
      <c r="Y65" s="14"/>
      <c r="Z65" s="14"/>
    </row>
    <row r="66">
      <c r="A66" s="13"/>
      <c r="B66" s="13">
        <v>450.0</v>
      </c>
      <c r="C66" s="16"/>
      <c r="D66" s="14"/>
      <c r="E66" s="14"/>
      <c r="F66" s="13"/>
      <c r="G66" s="14"/>
      <c r="H66" s="14"/>
      <c r="I66" s="14"/>
      <c r="J66" s="14"/>
      <c r="K66" s="14"/>
      <c r="L66" s="14"/>
      <c r="M66" s="14"/>
      <c r="N66" s="14"/>
      <c r="O66" s="14"/>
      <c r="P66" s="14"/>
      <c r="Q66" s="14"/>
      <c r="R66" s="14"/>
      <c r="S66" s="14"/>
      <c r="T66" s="14"/>
      <c r="U66" s="14"/>
      <c r="V66" s="14"/>
      <c r="W66" s="14"/>
      <c r="X66" s="14"/>
      <c r="Y66" s="14"/>
      <c r="Z66" s="14"/>
    </row>
    <row r="67">
      <c r="A67" s="13" t="s">
        <v>243</v>
      </c>
      <c r="B67" s="13">
        <v>501.0</v>
      </c>
      <c r="C67" s="16"/>
      <c r="D67" s="14"/>
      <c r="E67" s="14"/>
      <c r="F67" s="13"/>
      <c r="G67" s="14"/>
      <c r="H67" s="14"/>
      <c r="I67" s="14"/>
      <c r="J67" s="14"/>
      <c r="K67" s="14"/>
      <c r="L67" s="14"/>
      <c r="M67" s="14"/>
      <c r="N67" s="14"/>
      <c r="O67" s="14"/>
      <c r="P67" s="14"/>
      <c r="Q67" s="14"/>
      <c r="R67" s="14"/>
      <c r="S67" s="14"/>
      <c r="T67" s="14"/>
      <c r="U67" s="14"/>
      <c r="V67" s="14"/>
      <c r="W67" s="14"/>
      <c r="X67" s="14"/>
      <c r="Y67" s="14"/>
      <c r="Z67" s="14"/>
    </row>
    <row r="68">
      <c r="A68" s="13" t="s">
        <v>243</v>
      </c>
      <c r="B68" s="13">
        <v>502.0</v>
      </c>
      <c r="C68" s="16"/>
      <c r="D68" s="14"/>
      <c r="E68" s="14"/>
      <c r="F68" s="14"/>
      <c r="G68" s="14"/>
      <c r="H68" s="14"/>
      <c r="I68" s="14"/>
      <c r="J68" s="14"/>
      <c r="K68" s="14"/>
      <c r="L68" s="14"/>
      <c r="M68" s="14"/>
      <c r="N68" s="14"/>
      <c r="O68" s="14"/>
      <c r="P68" s="14"/>
      <c r="Q68" s="14"/>
      <c r="R68" s="14"/>
      <c r="S68" s="14"/>
      <c r="T68" s="14"/>
      <c r="U68" s="14"/>
      <c r="V68" s="14"/>
      <c r="W68" s="14"/>
      <c r="X68" s="14"/>
      <c r="Y68" s="14"/>
      <c r="Z68" s="14"/>
    </row>
    <row r="69">
      <c r="A69" s="13" t="s">
        <v>243</v>
      </c>
      <c r="B69" s="13">
        <v>503.0</v>
      </c>
      <c r="C69" s="16"/>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G71" s="14"/>
      <c r="H71" s="14"/>
      <c r="I71" s="14"/>
      <c r="J71" s="14"/>
      <c r="K71" s="14"/>
      <c r="L71" s="14"/>
      <c r="M71" s="14"/>
      <c r="N71" s="14"/>
      <c r="O71" s="14"/>
      <c r="P71" s="14"/>
      <c r="Q71" s="14"/>
      <c r="R71" s="14"/>
      <c r="S71" s="14"/>
      <c r="T71" s="14"/>
      <c r="U71" s="14"/>
      <c r="V71" s="14"/>
      <c r="W71" s="14"/>
      <c r="X71" s="14"/>
      <c r="Y71" s="14"/>
      <c r="Z71" s="14"/>
    </row>
    <row r="72">
      <c r="A72" s="14"/>
      <c r="B72" s="14"/>
      <c r="C72" s="13" t="s">
        <v>110</v>
      </c>
      <c r="D72" s="14"/>
      <c r="E72" s="14"/>
      <c r="G72" s="14"/>
      <c r="H72" s="14"/>
      <c r="I72" s="14"/>
      <c r="J72" s="14"/>
      <c r="K72" s="14"/>
      <c r="L72" s="14"/>
      <c r="M72" s="14"/>
      <c r="N72" s="14"/>
      <c r="O72" s="14"/>
      <c r="P72" s="14"/>
      <c r="Q72" s="14"/>
      <c r="R72" s="14"/>
      <c r="S72" s="14"/>
      <c r="T72" s="14"/>
      <c r="U72" s="14"/>
      <c r="V72" s="14"/>
      <c r="W72" s="14"/>
      <c r="X72" s="14"/>
      <c r="Y72" s="14"/>
      <c r="Z72" s="14"/>
    </row>
    <row r="73">
      <c r="A73" s="14"/>
      <c r="B73" s="14"/>
      <c r="C73" s="13" t="s">
        <v>229</v>
      </c>
      <c r="D73" s="14"/>
      <c r="E73" s="14"/>
      <c r="G73" s="14"/>
      <c r="H73" s="14"/>
      <c r="I73" s="14"/>
      <c r="J73" s="14"/>
      <c r="K73" s="14"/>
      <c r="L73" s="14"/>
      <c r="M73" s="14"/>
      <c r="N73" s="14"/>
      <c r="O73" s="14"/>
      <c r="P73" s="14"/>
      <c r="Q73" s="14"/>
      <c r="R73" s="14"/>
      <c r="S73" s="14"/>
      <c r="T73" s="14"/>
      <c r="U73" s="14"/>
      <c r="V73" s="14"/>
      <c r="W73" s="14"/>
      <c r="X73" s="14"/>
      <c r="Y73" s="14"/>
      <c r="Z73" s="14"/>
    </row>
    <row r="74">
      <c r="A74" s="14"/>
      <c r="B74" s="14"/>
      <c r="C74" s="13" t="s">
        <v>89</v>
      </c>
      <c r="D74" s="14"/>
      <c r="E74" s="14"/>
      <c r="G74" s="14"/>
      <c r="H74" s="14"/>
      <c r="I74" s="14"/>
      <c r="J74" s="14"/>
      <c r="K74" s="14"/>
      <c r="L74" s="14"/>
      <c r="M74" s="14"/>
      <c r="N74" s="14"/>
      <c r="O74" s="14"/>
      <c r="P74" s="14"/>
      <c r="Q74" s="14"/>
      <c r="R74" s="14"/>
      <c r="S74" s="14"/>
      <c r="T74" s="14"/>
      <c r="U74" s="14"/>
      <c r="V74" s="14"/>
      <c r="W74" s="14"/>
      <c r="X74" s="14"/>
      <c r="Y74" s="14"/>
      <c r="Z74" s="14"/>
    </row>
    <row r="75">
      <c r="A75" s="14"/>
      <c r="B75" s="14"/>
      <c r="C75" s="13" t="s">
        <v>130</v>
      </c>
      <c r="D75" s="14"/>
      <c r="E75" s="14"/>
      <c r="G75" s="14"/>
      <c r="H75" s="14"/>
      <c r="I75" s="14"/>
      <c r="J75" s="14"/>
      <c r="K75" s="14"/>
      <c r="L75" s="14"/>
      <c r="M75" s="14"/>
      <c r="N75" s="14"/>
      <c r="O75" s="14"/>
      <c r="P75" s="14"/>
      <c r="Q75" s="14"/>
      <c r="R75" s="14"/>
      <c r="S75" s="14"/>
      <c r="T75" s="14"/>
      <c r="U75" s="14"/>
      <c r="V75" s="14"/>
      <c r="W75" s="14"/>
      <c r="X75" s="14"/>
      <c r="Y75" s="14"/>
      <c r="Z75" s="14"/>
    </row>
    <row r="76">
      <c r="A76" s="14"/>
      <c r="B76" s="14"/>
      <c r="C76" s="13" t="s">
        <v>235</v>
      </c>
      <c r="D76" s="14"/>
      <c r="E76" s="14"/>
      <c r="G76" s="14"/>
      <c r="H76" s="14"/>
      <c r="I76" s="14"/>
      <c r="J76" s="14"/>
      <c r="K76" s="14"/>
      <c r="L76" s="14"/>
      <c r="M76" s="14"/>
      <c r="N76" s="14"/>
      <c r="O76" s="14"/>
      <c r="P76" s="14"/>
      <c r="Q76" s="14"/>
      <c r="R76" s="14"/>
      <c r="S76" s="14"/>
      <c r="T76" s="14"/>
      <c r="U76" s="14"/>
      <c r="V76" s="14"/>
      <c r="W76" s="14"/>
      <c r="X76" s="14"/>
      <c r="Y76" s="14"/>
      <c r="Z76" s="14"/>
    </row>
    <row r="77">
      <c r="A77" s="14"/>
      <c r="B77" s="14"/>
      <c r="C77" s="13" t="s">
        <v>218</v>
      </c>
      <c r="D77" s="14"/>
      <c r="E77" s="14"/>
      <c r="G77" s="14"/>
      <c r="H77" s="14"/>
      <c r="I77" s="14"/>
      <c r="J77" s="14"/>
      <c r="K77" s="14"/>
      <c r="L77" s="14"/>
      <c r="M77" s="14"/>
      <c r="N77" s="14"/>
      <c r="O77" s="14"/>
      <c r="P77" s="14"/>
      <c r="Q77" s="14"/>
      <c r="R77" s="14"/>
      <c r="S77" s="14"/>
      <c r="T77" s="14"/>
      <c r="U77" s="14"/>
      <c r="V77" s="14"/>
      <c r="W77" s="14"/>
      <c r="X77" s="14"/>
      <c r="Y77" s="14"/>
      <c r="Z77" s="14"/>
    </row>
    <row r="78">
      <c r="A78" s="14"/>
      <c r="B78" s="14"/>
      <c r="C78" s="13" t="s">
        <v>232</v>
      </c>
      <c r="D78" s="14"/>
      <c r="E78" s="14"/>
      <c r="G78" s="14"/>
      <c r="H78" s="14"/>
      <c r="I78" s="14"/>
      <c r="J78" s="14"/>
      <c r="K78" s="14"/>
      <c r="L78" s="14"/>
      <c r="M78" s="14"/>
      <c r="N78" s="14"/>
      <c r="O78" s="14"/>
      <c r="P78" s="14"/>
      <c r="Q78" s="14"/>
      <c r="R78" s="14"/>
      <c r="S78" s="14"/>
      <c r="T78" s="14"/>
      <c r="U78" s="14"/>
      <c r="V78" s="14"/>
      <c r="W78" s="14"/>
      <c r="X78" s="14"/>
      <c r="Y78" s="14"/>
      <c r="Z78" s="14"/>
    </row>
    <row r="79">
      <c r="A79" s="14"/>
      <c r="B79" s="14"/>
      <c r="C79" s="13" t="s">
        <v>125</v>
      </c>
      <c r="D79" s="14"/>
      <c r="E79" s="14"/>
      <c r="G79" s="14"/>
      <c r="H79" s="14"/>
      <c r="I79" s="14"/>
      <c r="J79" s="14"/>
      <c r="K79" s="14"/>
      <c r="L79" s="14"/>
      <c r="M79" s="14"/>
      <c r="N79" s="14"/>
      <c r="O79" s="14"/>
      <c r="P79" s="14"/>
      <c r="Q79" s="14"/>
      <c r="R79" s="14"/>
      <c r="S79" s="14"/>
      <c r="T79" s="14"/>
      <c r="U79" s="14"/>
      <c r="V79" s="14"/>
      <c r="W79" s="14"/>
      <c r="X79" s="14"/>
      <c r="Y79" s="14"/>
      <c r="Z79" s="14"/>
    </row>
    <row r="80">
      <c r="A80" s="14"/>
      <c r="B80" s="14"/>
      <c r="C80" s="13" t="s">
        <v>216</v>
      </c>
      <c r="D80" s="14"/>
      <c r="E80" s="14"/>
      <c r="G80" s="14"/>
      <c r="H80" s="14"/>
      <c r="I80" s="14"/>
      <c r="J80" s="14"/>
      <c r="K80" s="14"/>
      <c r="L80" s="14"/>
      <c r="M80" s="14"/>
      <c r="N80" s="14"/>
      <c r="O80" s="14"/>
      <c r="P80" s="14"/>
      <c r="Q80" s="14"/>
      <c r="R80" s="14"/>
      <c r="S80" s="14"/>
      <c r="T80" s="14"/>
      <c r="U80" s="14"/>
      <c r="V80" s="14"/>
      <c r="W80" s="14"/>
      <c r="X80" s="14"/>
      <c r="Y80" s="14"/>
      <c r="Z80" s="14"/>
    </row>
    <row r="81">
      <c r="A81" s="14"/>
      <c r="B81" s="14"/>
      <c r="C81" s="13" t="s">
        <v>238</v>
      </c>
      <c r="D81" s="14"/>
      <c r="E81" s="14"/>
      <c r="G81" s="14"/>
      <c r="H81" s="14"/>
      <c r="I81" s="14"/>
      <c r="J81" s="14"/>
      <c r="K81" s="14"/>
      <c r="L81" s="14"/>
      <c r="M81" s="14"/>
      <c r="N81" s="14"/>
      <c r="O81" s="14"/>
      <c r="P81" s="14"/>
      <c r="Q81" s="14"/>
      <c r="R81" s="14"/>
      <c r="S81" s="14"/>
      <c r="T81" s="14"/>
      <c r="U81" s="14"/>
      <c r="V81" s="14"/>
      <c r="W81" s="14"/>
      <c r="X81" s="14"/>
      <c r="Y81" s="14"/>
      <c r="Z81" s="14"/>
    </row>
    <row r="82">
      <c r="A82" s="14"/>
      <c r="B82" s="14"/>
      <c r="C82" s="13" t="s">
        <v>36</v>
      </c>
      <c r="D82" s="14"/>
      <c r="E82" s="14"/>
      <c r="G82" s="14"/>
      <c r="H82" s="14"/>
      <c r="I82" s="14"/>
      <c r="J82" s="14"/>
      <c r="K82" s="14"/>
      <c r="L82" s="14"/>
      <c r="M82" s="14"/>
      <c r="N82" s="14"/>
      <c r="O82" s="14"/>
      <c r="P82" s="14"/>
      <c r="Q82" s="14"/>
      <c r="R82" s="14"/>
      <c r="S82" s="14"/>
      <c r="T82" s="14"/>
      <c r="U82" s="14"/>
      <c r="V82" s="14"/>
      <c r="W82" s="14"/>
      <c r="X82" s="14"/>
      <c r="Y82" s="14"/>
      <c r="Z82" s="14"/>
    </row>
    <row r="83">
      <c r="A83" s="14"/>
      <c r="B83" s="14"/>
      <c r="C83" s="13" t="s">
        <v>234</v>
      </c>
      <c r="D83" s="14"/>
      <c r="E83" s="14"/>
      <c r="G83" s="14"/>
      <c r="H83" s="14"/>
      <c r="I83" s="14"/>
      <c r="J83" s="14"/>
      <c r="K83" s="14"/>
      <c r="L83" s="14"/>
      <c r="M83" s="14"/>
      <c r="N83" s="14"/>
      <c r="O83" s="14"/>
      <c r="P83" s="14"/>
      <c r="Q83" s="14"/>
      <c r="R83" s="14"/>
      <c r="S83" s="14"/>
      <c r="T83" s="14"/>
      <c r="U83" s="14"/>
      <c r="V83" s="14"/>
      <c r="W83" s="14"/>
      <c r="X83" s="14"/>
      <c r="Y83" s="14"/>
      <c r="Z83" s="14"/>
    </row>
    <row r="84">
      <c r="A84" s="14"/>
      <c r="B84" s="14"/>
      <c r="C84" s="13" t="s">
        <v>239</v>
      </c>
      <c r="D84" s="14"/>
      <c r="E84" s="14"/>
      <c r="G84" s="14"/>
      <c r="H84" s="14"/>
      <c r="I84" s="14"/>
      <c r="J84" s="14"/>
      <c r="K84" s="14"/>
      <c r="L84" s="14"/>
      <c r="M84" s="14"/>
      <c r="N84" s="14"/>
      <c r="O84" s="14"/>
      <c r="P84" s="14"/>
      <c r="Q84" s="14"/>
      <c r="R84" s="14"/>
      <c r="S84" s="14"/>
      <c r="T84" s="14"/>
      <c r="U84" s="14"/>
      <c r="V84" s="14"/>
      <c r="W84" s="14"/>
      <c r="X84" s="14"/>
      <c r="Y84" s="14"/>
      <c r="Z84" s="14"/>
    </row>
    <row r="85">
      <c r="A85" s="14"/>
      <c r="B85" s="14"/>
      <c r="C85" s="13" t="s">
        <v>227</v>
      </c>
      <c r="D85" s="14"/>
      <c r="E85" s="14"/>
      <c r="G85" s="14"/>
      <c r="H85" s="14"/>
      <c r="I85" s="14"/>
      <c r="J85" s="14"/>
      <c r="K85" s="14"/>
      <c r="L85" s="14"/>
      <c r="M85" s="14"/>
      <c r="N85" s="14"/>
      <c r="O85" s="14"/>
      <c r="P85" s="14"/>
      <c r="Q85" s="14"/>
      <c r="R85" s="14"/>
      <c r="S85" s="14"/>
      <c r="T85" s="14"/>
      <c r="U85" s="14"/>
      <c r="V85" s="14"/>
      <c r="W85" s="14"/>
      <c r="X85" s="14"/>
      <c r="Y85" s="14"/>
      <c r="Z85" s="14"/>
    </row>
    <row r="86">
      <c r="A86" s="14"/>
      <c r="B86" s="14"/>
      <c r="C86" s="13" t="s">
        <v>230</v>
      </c>
      <c r="D86" s="14"/>
      <c r="E86" s="14"/>
      <c r="G86" s="14"/>
      <c r="H86" s="14"/>
      <c r="I86" s="14"/>
      <c r="J86" s="14"/>
      <c r="K86" s="14"/>
      <c r="L86" s="14"/>
      <c r="M86" s="14"/>
      <c r="N86" s="14"/>
      <c r="O86" s="14"/>
      <c r="P86" s="14"/>
      <c r="Q86" s="14"/>
      <c r="R86" s="14"/>
      <c r="S86" s="14"/>
      <c r="T86" s="14"/>
      <c r="U86" s="14"/>
      <c r="V86" s="14"/>
      <c r="W86" s="14"/>
      <c r="X86" s="14"/>
      <c r="Y86" s="14"/>
      <c r="Z86" s="14"/>
    </row>
    <row r="87">
      <c r="A87" s="14"/>
      <c r="B87" s="14"/>
      <c r="C87" s="13" t="s">
        <v>31</v>
      </c>
      <c r="D87" s="14"/>
      <c r="E87" s="14"/>
      <c r="G87" s="14"/>
      <c r="H87" s="14"/>
      <c r="I87" s="14"/>
      <c r="J87" s="14"/>
      <c r="K87" s="14"/>
      <c r="L87" s="14"/>
      <c r="M87" s="14"/>
      <c r="N87" s="14"/>
      <c r="O87" s="14"/>
      <c r="P87" s="14"/>
      <c r="Q87" s="14"/>
      <c r="R87" s="14"/>
      <c r="S87" s="14"/>
      <c r="T87" s="14"/>
      <c r="U87" s="14"/>
      <c r="V87" s="14"/>
      <c r="W87" s="14"/>
      <c r="X87" s="14"/>
      <c r="Y87" s="14"/>
      <c r="Z87" s="14"/>
    </row>
    <row r="88">
      <c r="A88" s="14"/>
      <c r="B88" s="14"/>
      <c r="C88" s="13" t="s">
        <v>244</v>
      </c>
      <c r="D88" s="14"/>
      <c r="E88" s="14"/>
      <c r="G88" s="14"/>
      <c r="H88" s="14"/>
      <c r="I88" s="14"/>
      <c r="J88" s="14"/>
      <c r="K88" s="14"/>
      <c r="L88" s="14"/>
      <c r="M88" s="14"/>
      <c r="N88" s="14"/>
      <c r="O88" s="14"/>
      <c r="P88" s="14"/>
      <c r="Q88" s="14"/>
      <c r="R88" s="14"/>
      <c r="S88" s="14"/>
      <c r="T88" s="14"/>
      <c r="U88" s="14"/>
      <c r="V88" s="14"/>
      <c r="W88" s="14"/>
      <c r="X88" s="14"/>
      <c r="Y88" s="14"/>
      <c r="Z88" s="14"/>
    </row>
    <row r="89">
      <c r="A89" s="14"/>
      <c r="B89" s="14"/>
      <c r="C89" s="15" t="s">
        <v>231</v>
      </c>
      <c r="D89" s="14"/>
      <c r="E89" s="14"/>
      <c r="G89" s="14"/>
      <c r="H89" s="14"/>
      <c r="I89" s="14"/>
      <c r="J89" s="14"/>
      <c r="K89" s="14"/>
      <c r="L89" s="14"/>
      <c r="M89" s="14"/>
      <c r="N89" s="14"/>
      <c r="O89" s="14"/>
      <c r="P89" s="14"/>
      <c r="Q89" s="14"/>
      <c r="R89" s="14"/>
      <c r="S89" s="14"/>
      <c r="T89" s="14"/>
      <c r="U89" s="14"/>
      <c r="V89" s="14"/>
      <c r="W89" s="14"/>
      <c r="X89" s="14"/>
      <c r="Y89" s="14"/>
      <c r="Z89" s="14"/>
    </row>
    <row r="90">
      <c r="A90" s="14"/>
      <c r="B90" s="14"/>
      <c r="C90" s="13" t="s">
        <v>153</v>
      </c>
      <c r="D90" s="14"/>
      <c r="E90" s="14"/>
      <c r="G90" s="14"/>
      <c r="H90" s="14"/>
      <c r="I90" s="14"/>
      <c r="J90" s="14"/>
      <c r="K90" s="14"/>
      <c r="L90" s="14"/>
      <c r="M90" s="14"/>
      <c r="N90" s="14"/>
      <c r="O90" s="14"/>
      <c r="P90" s="14"/>
      <c r="Q90" s="14"/>
      <c r="R90" s="14"/>
      <c r="S90" s="14"/>
      <c r="T90" s="14"/>
      <c r="U90" s="14"/>
      <c r="V90" s="14"/>
      <c r="W90" s="14"/>
      <c r="X90" s="14"/>
      <c r="Y90" s="14"/>
      <c r="Z90" s="14"/>
    </row>
    <row r="91">
      <c r="A91" s="14"/>
      <c r="B91" s="14"/>
      <c r="C91" s="13" t="s">
        <v>222</v>
      </c>
      <c r="D91" s="14"/>
      <c r="E91" s="14"/>
      <c r="G91" s="14"/>
      <c r="H91" s="14"/>
      <c r="I91" s="14"/>
      <c r="J91" s="14"/>
      <c r="K91" s="14"/>
      <c r="L91" s="14"/>
      <c r="M91" s="14"/>
      <c r="N91" s="14"/>
      <c r="O91" s="14"/>
      <c r="P91" s="14"/>
      <c r="Q91" s="14"/>
      <c r="R91" s="14"/>
      <c r="S91" s="14"/>
      <c r="T91" s="14"/>
      <c r="U91" s="14"/>
      <c r="V91" s="14"/>
      <c r="W91" s="14"/>
      <c r="X91" s="14"/>
      <c r="Y91" s="14"/>
      <c r="Z91" s="14"/>
    </row>
    <row r="92">
      <c r="A92" s="14"/>
      <c r="B92" s="14"/>
      <c r="C92" s="13" t="s">
        <v>240</v>
      </c>
      <c r="D92" s="14"/>
      <c r="E92" s="14"/>
      <c r="G92" s="14"/>
      <c r="H92" s="14"/>
      <c r="I92" s="14"/>
      <c r="J92" s="14"/>
      <c r="K92" s="14"/>
      <c r="L92" s="14"/>
      <c r="M92" s="14"/>
      <c r="N92" s="14"/>
      <c r="O92" s="14"/>
      <c r="P92" s="14"/>
      <c r="Q92" s="14"/>
      <c r="R92" s="14"/>
      <c r="S92" s="14"/>
      <c r="T92" s="14"/>
      <c r="U92" s="14"/>
      <c r="V92" s="14"/>
      <c r="W92" s="14"/>
      <c r="X92" s="14"/>
      <c r="Y92" s="14"/>
      <c r="Z92" s="14"/>
    </row>
    <row r="93">
      <c r="A93" s="14"/>
      <c r="B93" s="14"/>
      <c r="C93" s="13" t="s">
        <v>74</v>
      </c>
      <c r="D93" s="14"/>
      <c r="E93" s="14"/>
      <c r="G93" s="14"/>
      <c r="H93" s="14"/>
      <c r="I93" s="14"/>
      <c r="J93" s="14"/>
      <c r="K93" s="14"/>
      <c r="L93" s="14"/>
      <c r="M93" s="14"/>
      <c r="N93" s="14"/>
      <c r="O93" s="14"/>
      <c r="P93" s="14"/>
      <c r="Q93" s="14"/>
      <c r="R93" s="14"/>
      <c r="S93" s="14"/>
      <c r="T93" s="14"/>
      <c r="U93" s="14"/>
      <c r="V93" s="14"/>
      <c r="W93" s="14"/>
      <c r="X93" s="14"/>
      <c r="Y93" s="14"/>
      <c r="Z93" s="14"/>
    </row>
    <row r="94">
      <c r="A94" s="14"/>
      <c r="B94" s="14"/>
      <c r="C94" s="13" t="s">
        <v>48</v>
      </c>
      <c r="D94" s="14"/>
      <c r="E94" s="14"/>
      <c r="G94" s="14"/>
      <c r="H94" s="14"/>
      <c r="I94" s="14"/>
      <c r="J94" s="14"/>
      <c r="K94" s="14"/>
      <c r="L94" s="14"/>
      <c r="M94" s="14"/>
      <c r="N94" s="14"/>
      <c r="O94" s="14"/>
      <c r="P94" s="14"/>
      <c r="Q94" s="14"/>
      <c r="R94" s="14"/>
      <c r="S94" s="14"/>
      <c r="T94" s="14"/>
      <c r="U94" s="14"/>
      <c r="V94" s="14"/>
      <c r="W94" s="14"/>
      <c r="X94" s="14"/>
      <c r="Y94" s="14"/>
      <c r="Z94" s="14"/>
    </row>
    <row r="95">
      <c r="A95" s="14"/>
      <c r="B95" s="14"/>
      <c r="C95" s="13" t="s">
        <v>228</v>
      </c>
      <c r="D95" s="14"/>
      <c r="E95" s="14"/>
      <c r="G95" s="14"/>
      <c r="H95" s="14"/>
      <c r="I95" s="14"/>
      <c r="J95" s="14"/>
      <c r="K95" s="14"/>
      <c r="L95" s="14"/>
      <c r="M95" s="14"/>
      <c r="N95" s="14"/>
      <c r="O95" s="14"/>
      <c r="P95" s="14"/>
      <c r="Q95" s="14"/>
      <c r="R95" s="14"/>
      <c r="S95" s="14"/>
      <c r="T95" s="14"/>
      <c r="U95" s="14"/>
      <c r="V95" s="14"/>
      <c r="W95" s="14"/>
      <c r="X95" s="14"/>
      <c r="Y95" s="14"/>
      <c r="Z95" s="14"/>
    </row>
    <row r="96">
      <c r="A96" s="14"/>
      <c r="B96" s="14"/>
      <c r="C96" s="13" t="s">
        <v>241</v>
      </c>
      <c r="D96" s="14"/>
      <c r="E96" s="14"/>
      <c r="G96" s="14"/>
      <c r="H96" s="14"/>
      <c r="I96" s="14"/>
      <c r="J96" s="14"/>
      <c r="K96" s="14"/>
      <c r="L96" s="14"/>
      <c r="M96" s="14"/>
      <c r="N96" s="14"/>
      <c r="O96" s="14"/>
      <c r="P96" s="14"/>
      <c r="Q96" s="14"/>
      <c r="R96" s="14"/>
      <c r="S96" s="14"/>
      <c r="T96" s="14"/>
      <c r="U96" s="14"/>
      <c r="V96" s="14"/>
      <c r="W96" s="14"/>
      <c r="X96" s="14"/>
      <c r="Y96" s="14"/>
      <c r="Z96" s="14"/>
    </row>
    <row r="97">
      <c r="A97" s="14"/>
      <c r="B97" s="14"/>
      <c r="C97" s="13" t="s">
        <v>99</v>
      </c>
      <c r="D97" s="14"/>
      <c r="E97" s="14"/>
      <c r="G97" s="14"/>
      <c r="H97" s="14"/>
      <c r="I97" s="14"/>
      <c r="J97" s="14"/>
      <c r="K97" s="14"/>
      <c r="L97" s="14"/>
      <c r="M97" s="14"/>
      <c r="N97" s="14"/>
      <c r="O97" s="14"/>
      <c r="P97" s="14"/>
      <c r="Q97" s="14"/>
      <c r="R97" s="14"/>
      <c r="S97" s="14"/>
      <c r="T97" s="14"/>
      <c r="U97" s="14"/>
      <c r="V97" s="14"/>
      <c r="W97" s="14"/>
      <c r="X97" s="14"/>
      <c r="Y97" s="14"/>
      <c r="Z97" s="14"/>
    </row>
    <row r="98">
      <c r="A98" s="14"/>
      <c r="B98" s="14"/>
      <c r="C98" s="13" t="s">
        <v>115</v>
      </c>
      <c r="D98" s="14"/>
      <c r="E98" s="14"/>
      <c r="G98" s="14"/>
      <c r="H98" s="14"/>
      <c r="I98" s="14"/>
      <c r="J98" s="14"/>
      <c r="K98" s="14"/>
      <c r="L98" s="14"/>
      <c r="M98" s="14"/>
      <c r="N98" s="14"/>
      <c r="O98" s="14"/>
      <c r="P98" s="14"/>
      <c r="Q98" s="14"/>
      <c r="R98" s="14"/>
      <c r="S98" s="14"/>
      <c r="T98" s="14"/>
      <c r="U98" s="14"/>
      <c r="V98" s="14"/>
      <c r="W98" s="14"/>
      <c r="X98" s="14"/>
      <c r="Y98" s="14"/>
      <c r="Z98" s="14"/>
    </row>
    <row r="99">
      <c r="A99" s="14"/>
      <c r="B99" s="14"/>
      <c r="C99" s="13" t="s">
        <v>80</v>
      </c>
      <c r="D99" s="14"/>
      <c r="E99" s="14"/>
      <c r="G99" s="14"/>
      <c r="H99" s="14"/>
      <c r="I99" s="14"/>
      <c r="J99" s="14"/>
      <c r="K99" s="14"/>
      <c r="L99" s="14"/>
      <c r="M99" s="14"/>
      <c r="N99" s="14"/>
      <c r="O99" s="14"/>
      <c r="P99" s="14"/>
      <c r="Q99" s="14"/>
      <c r="R99" s="14"/>
      <c r="S99" s="14"/>
      <c r="T99" s="14"/>
      <c r="U99" s="14"/>
      <c r="V99" s="14"/>
      <c r="W99" s="14"/>
      <c r="X99" s="14"/>
      <c r="Y99" s="14"/>
      <c r="Z99" s="14"/>
    </row>
    <row r="100">
      <c r="A100" s="14"/>
      <c r="B100" s="14"/>
      <c r="C100" s="13" t="s">
        <v>237</v>
      </c>
      <c r="D100" s="14"/>
      <c r="E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D101" s="14"/>
      <c r="E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3"/>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3"/>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3"/>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3"/>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3"/>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3"/>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3"/>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5"/>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5"/>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3"/>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3"/>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3"/>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3"/>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3"/>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3"/>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3"/>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3"/>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3"/>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3"/>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3"/>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3"/>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3"/>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3"/>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3"/>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3"/>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3"/>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3"/>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3"/>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3"/>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sheetData>
  <drawing r:id="rId1"/>
</worksheet>
</file>