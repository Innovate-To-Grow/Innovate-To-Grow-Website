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2025-I2G1-WEB" sheetId="1" r:id="rId5"/>
    <sheet state="visible" name="2025-I2G1-tracks" sheetId="2" r:id="rId6"/>
    <sheet state="visible" name="schedule-conflict+mix" sheetId="3" r:id="rId7"/>
    <sheet state="visible" name="schedule-client-d" sheetId="4" r:id="rId8"/>
    <sheet state="visible" name="schedule-order" sheetId="5" r:id="rId9"/>
    <sheet state="visible" name="&gt;&gt;&gt;&gt;&gt; work stuff" sheetId="6" r:id="rId10"/>
    <sheet state="visible" name="track-template" sheetId="7" r:id="rId11"/>
    <sheet state="visible" name="students"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57">
      <text>
        <t xml:space="preserve">Responder updated this value.</t>
      </text>
    </comment>
  </commentList>
</comments>
</file>

<file path=xl/sharedStrings.xml><?xml version="1.0" encoding="utf-8"?>
<sst xmlns="http://schemas.openxmlformats.org/spreadsheetml/2006/main" count="2779" uniqueCount="643">
  <si>
    <t>Track</t>
  </si>
  <si>
    <t>Order</t>
  </si>
  <si>
    <t>Year-Semester</t>
  </si>
  <si>
    <t>Class</t>
  </si>
  <si>
    <t>Team #</t>
  </si>
  <si>
    <t>Team Name</t>
  </si>
  <si>
    <t>Project Title</t>
  </si>
  <si>
    <t>Organization</t>
  </si>
  <si>
    <t>Industry</t>
  </si>
  <si>
    <t>Abstract</t>
  </si>
  <si>
    <t>Student Names</t>
  </si>
  <si>
    <t xml:space="preserve">Name: - Title: </t>
  </si>
  <si>
    <t>2025-1 Spring</t>
  </si>
  <si>
    <t>CAP</t>
  </si>
  <si>
    <t>General Rotary and Professional Engineering</t>
  </si>
  <si>
    <t>Rotary Joint Testing System</t>
  </si>
  <si>
    <t>E&amp;J Gallo Winery</t>
  </si>
  <si>
    <t>Food Processing</t>
  </si>
  <si>
    <t>E. &amp; J. Gallo Winery—the world’s largest wine producer—tasked our team with developing a straightforward, reliable method for verifying rotary joints prior to installation on the company’s high-volume bottling lines. Premature joint failure had previously caused leaks, unplanned downtime, and product loss. To address this issue, the 101 General Rotary and Professional Engineering Team designed a mobile, modular pressure-test bench deployable directly on the shop floor. The rig utilized quick-connect hardware compatible with the rotary joint’s existing ports, while an Arduino-based data acquisition system logged real-time pressure decay and provided an immediate pass/fail readout. Adjustable fixturing with interchangeable adapter plates accommodated every joint size in Gallo’s inventory, and an activated brake beam system ensured both mobility and stability. Factory trials, conducted during the week leading up to the I2G showcase, verified the system’s performance under real operating conditions. These trials were completed by the end of the project, confirming that the rig met Gallo’s 20-minute qualification time per joint—empowering on-site personnel to efficiently screen parts and prevent costly line stoppages.</t>
  </si>
  <si>
    <t>Alex Calderon, Alejandro Lopez-Vaca, Cody Cunningham, Neil Parkhi, Rafael Aguilar</t>
  </si>
  <si>
    <t>Processing Safety Innovations</t>
  </si>
  <si>
    <t>Cutting Deck Slicing Tray Cleaning Improvement</t>
  </si>
  <si>
    <t>Blue Diamond Growers</t>
  </si>
  <si>
    <t>Blue Diamond Growers is a global almond supplier with three almond processing plants in California’s Central Valley. The newest facility was opened in Turlock in 2013, which processes and packages various ready-to-eat almonds and almond milk. Build-up accumulates on trays eight feet off the ground that funnel the almonds into slicing units. The weekly maintenance method for these trays involved employees standing on six foot a-frame and rolling ladders in a restricted space between processing machinery to one-hand scrape the hardened build-up from the stainless-steel surface with minimal leverage. This caused many safety concerns that required evaluation to mitigate risk and increase efficiency. Our team developed a new system that allows a molded non-stick cover to be attached to the trays that can be quickly removed to allow the employees to clean the cover on solid ground which mitigates the need to scrape the stainless-steel surface while on the ladders. A new ladder suggested by our team was implemented that allows more stability by providing a larger surface for the employees to stand on while removing the cover and allows for two-handed leverage during cleaning,  if needed.</t>
  </si>
  <si>
    <t>Andres Alanis, Estefany Ortiz, Elijah Samuel, Gabriel Romero Ponce, Marlon Romero</t>
  </si>
  <si>
    <t>Heart Harmonics</t>
  </si>
  <si>
    <t>Interstitial Fluid as a Proxy for Blood</t>
  </si>
  <si>
    <t>UC Merced BioEngineering</t>
  </si>
  <si>
    <t>BioTech</t>
  </si>
  <si>
    <t>Cardiovascular disease is the leading cause of death in the U.S., with silent heart attacks being difficult to diagnose due to their asymptomatic nature. Our project aimed to use interstitial fluid (ISF) as a less-invasive proxy for blood to continuously detect metabolites Troponin and Cortisol, found in interstitial fluid. Their respective concentrations can be used to quantify heart health. Quantification implies developing an electrochemical sensor that can be attached to the body without interfering with daily activities and accurately detecting the metabolites continuously. In the first semester, we worked on a biosensor that detects lactic acid in ISF. After changes to our project in the second semester, we researched a biosensor that detects both Cortisol and Troponin within ISF. Our deliverable has shifted to a research proposal to test and produce statistically significant results to prove our device is safe for consumer use. We have written a research proposal that would replicate a real National Institutes of Health (NIH) research proposal, which would be the next step of our original project. In this research proposal, we have developed aims and testing methods that are novel to our theoretical research based on empirical research we have conducted.</t>
  </si>
  <si>
    <t>Arjun Singh, Reagan Chan, Lindsey Tatsumi, Robert Abramov, Robert Dudkin</t>
  </si>
  <si>
    <t>Cortisol-Troponin Scanners</t>
  </si>
  <si>
    <t>Ischemic heart disease has been the leading cause of death globally, accounting for roughly 13% of all deaths. Obtaining real-time data on cortisol and troponin, key biomarkers of ischemic heart disease, remains a challenge for both physicians and bioengineers. Utilizing interstitial fluid (ISF) sampling in a biosensor to detect ischemic heart disease does not exist in the market. We developed a procedure for the testing and production of a multi-analyte sensor that can be reproduced easily by others. We propose a two-microneedle design paired with an electrochemical sensing biocircuit to efficiently sample IS and provide a continuous stream of metabolite data. A two-microneedle design is a less invasive method localizing a specific area of the skin as opposed to extracting blood. With a simplified design and reduced material costs, we are still achieving adequate metabolite collection. An innovative approach used is functionalized gold nanoparticles and simultaneous multi-metabolite sensing. For metabolite data to be properly processed, we developed a foundational circuit that achieved detecting low signals of cortisol and troponin, amplifying filtered signals, and providing an output based on components that change with metabolite concentration. With further development, this design has the potential of saving lives and improving outcomes.</t>
  </si>
  <si>
    <t>Andrew Jimenez Salgado, Anthony Ramos, Gabriel Fogt, Ryan McCoy</t>
  </si>
  <si>
    <t>Gallo Guardians</t>
  </si>
  <si>
    <t>Crash Bottle Sensor</t>
  </si>
  <si>
    <t>E. &amp; J. Gallo Winery operates high-speed bottling lines where bottle breakage can lead to product loss, downtime, and increased operational costs. The problem is the impacts during production are difficult to detect and quantify without disrupting the process. Our project was to design a tool that could monitor forces experienced by bottles in real time to identify and address high-risk areas.  Our team designed and built the Smart Crash Bottle, a reusable, sensor-equipped bottle integrating an Arduino Nano, accelerometers, and pressure and temperature sensors. The system collects and wirelessly transmits real-time data on impacts and environmental conditions as the bottle moves through the production line.  The Smart Crash Bottle was successfully tested in simulated and operational environments. It shall be used by Gallo’s engineering teams to detect critical impact points, inform equipment improvements, and enhance overall quality control, leading to reduced breakage, improved efficiency, and better production reliability.</t>
  </si>
  <si>
    <t>Angel Martinez, Ivan Young, Jason Cortez, Luis Colin, Shafat Ramim</t>
  </si>
  <si>
    <t>Cats that Wine</t>
  </si>
  <si>
    <t>E&amp;J Gallo Winery is a global leader in wine production and distribution with an impressive high-speed bottling line. Currently, new regulations mean that Gallo will be required to use less glass to make their wine bottles, and they need a way to determine if the new bottles can stand up to their current bottling lines. Our project addressed this challenge by giving Gallo a vessel for them to test on their lines while giving them data points they can use to numerically determine whether the new regulation bottles will stand up to the bottling lines as is or not. The system currently operates independently from Gallo’s data analysis systems but can be modified to work with them in the future.</t>
  </si>
  <si>
    <t>Alex Becerra, Jorge Barrera, Logan Adrian, Matthew Carr-Wallace, Yonathan Mesfin</t>
  </si>
  <si>
    <t>The Extrusion Crew</t>
  </si>
  <si>
    <t>Lab-scale Extruder for Rubber Processing</t>
  </si>
  <si>
    <t>UC Merced</t>
  </si>
  <si>
    <t>Materials</t>
  </si>
  <si>
    <t>The client, Dr. Kara McCloskey, Professor of Chemical and Materials Engineering at the University of California, Merced, tasked our team to develop a lab-scale twin screw extruder to process guayule rubber. Guayule rubber has lower elasticity due to less strain crystallization than other rubber types. The rubber from guayule does not contain the proteins responsible for latex allergies, its hypoallergenic properties make it safe for use in medical supplies like gloves and catheters. Research on guayule rubber is still in development and researchers are working to scale production. Twin screw extrusion is used in many applications such as polymers and plastic compounding. While supporting the workforce development at UC Merced, we have done foundational work for future extruder development through mechanical and material characterization experiments on processed guayule rubber samples provided by Dr. McCloskey, utilizing resources from the School of Engineering Instructional Labs. We used key characterization techniques, including tensile testing, stress-strain curves, tensile stress/stretching ratio at break.</t>
  </si>
  <si>
    <t>Chiho Luk, Daniel Lewis, Levi Williams, Omar Solis-Olivares, Saajun Atwal</t>
  </si>
  <si>
    <t>Spine Align Innovations</t>
  </si>
  <si>
    <t>Laser Needle Treatment</t>
  </si>
  <si>
    <t>Pain Away Solutions</t>
  </si>
  <si>
    <t>Health Care</t>
  </si>
  <si>
    <t>OrthoSpine Advance Health, Inc. Cofounder Dr. Gabriel Garcia-Diaz is an orthopedic surgeon who provides nonsurgical and surgical treatments for acute and chronic spinal conditions in Merced, CA. Current methods of pain management involve manual insertion and readjustment of multiple needles per procedure under X-ray guidance, a process that is both painful for patients and poses radiation risks for healthcare providers. To address these challenges, our team designed a radiolucent needle guide featuring an X-Y grid, angle markings, and a modular design, that allows steady and rapid needle placement. Testing conducted by our team demonstrated increased precision and accuracy with the guide compared to standard freehand methods. Once clinical trials take place, our guide is expected to reduce radiation exposure, shorten procedure time, and improve needle placement accuracy. This device offers a safer and more efficient approach to spinal procedures for chronic pain, benefiting both patients and healthcare providers.</t>
  </si>
  <si>
    <t>Alexia Salazar, Eric Brooks, Hope McFarland, Joseph Frankel, Mari Ramos Barroso</t>
  </si>
  <si>
    <t>Yosemite Medical Technologies</t>
  </si>
  <si>
    <t>Pain Aways Solutions LLC specializes in the development of medical operations and procedures to provide relief to people facing various chronic pains. This main procedure includes injecting directly into an area of interest on the patient's back. To ensure accuracy, multiple x-ray images are taken to confirm the needle is being placed in the correct spot. This process affects the patient and surgical staff by exposing them to excessive radiation, plus, incorrect placement of the needles will require adjustment, resulting in unnecessary tearing of muscle tissue. Our task was then to reduce radiation exposure and reduce inaccuracy by reducing amount of x-ray images and improving the stability of the needles. Our group has developed a physical Radiolucent Guide and Laser Projection System with software to aid the surgical operators. The projection system takes an x-ray image and projects it directly onto the patient's back. The guide is made of a 3-D injection molded sterilizable plastic which will be visible on x-ray images. This guide will hold and stabilize the needles aligning with the projection to maintain accuracy of the needles with their respective points of interest.</t>
  </si>
  <si>
    <t>Alejandro Cos Olivera, Alejandro Hernandez, Miguel Craven, Randall Maxey, Zoe Torres</t>
  </si>
  <si>
    <t>BTUtiful engineers</t>
  </si>
  <si>
    <t>HVAC Design Calculations</t>
  </si>
  <si>
    <t>UC Merced Facilities Management</t>
  </si>
  <si>
    <t>Energy</t>
  </si>
  <si>
    <t>This project aimed to design a complete HVAC system with appropriate heating and cooling capacities for a medical office building located in Manchester, England. The system was developed in compliance with the latest editions of ASHRAE Standards 55, 62.1, and 90.1, with code compliance demonstrated through detailed calculations aligned with the Owner’s Project Requirements (OPR). Heating and cooling loads were determined by modeling the building in EnergyPro, guiding the selection of a central air handling unit (AHU) and informing the development of mechanical floor plans in AutoCAD. These floor plans included the placement of AHU, supply and return ductwork (single-line), VAV boxes, diffusers, and hot water system for terminal reheat, along with duct sizing based on calculated CFM requirements for each space. Psychrometric analysis was used to determine air properties such as mixed air, supply air, and reheat air temperatures, which were then used to size heating coils within the VAV boxes. The final design prioritizes indoor air quality, and occupant thermal comfort while meeting all functional and performance criteria defined in the OPR.</t>
  </si>
  <si>
    <t>Alex Adame, Abraham Villalpando, Isaac Soria, Juan Alvarado, Joey Heald</t>
  </si>
  <si>
    <t>Motorized Syringe Plunger</t>
  </si>
  <si>
    <t>Motorized Automatic Syringe Plunger (30 mL, 50 mL, 60 mL)</t>
  </si>
  <si>
    <t>Dr. Gabriel Garcia-Diaz, a spinal surgeon in Merced, California, routinely uses a lot of physical force (about 20 Newton-meters) when performing syringe-based surgeries.  Because this task is repetitious, he is more likely to acquire carpal tunnel syndrome, which could hinder his ability to perform surgery.  In order to reduce this risk, a reversible motor-powered rack and pinion system was used to create a motorized syringe actuation device.  Syringe plunge and retraction can be automated with this design, offering both aspiration and injection capabilities. The device is designed for Dr. Garcia-Diaz's clinical usage as well as future commercial distribution to other medical professionals. It reduces physical strain while maintaining the accuracy of manual operation.</t>
  </si>
  <si>
    <t>Ausar Cato, Blake Robinson-Singer, Krist Villacorta, Zephyr Le</t>
  </si>
  <si>
    <t>Spring Assisted Syringe Plunger</t>
  </si>
  <si>
    <t>Pain Away Solutions, LLC, co-founded by Gabriel Garcia-Diaz, is dedicated to developing devices that aid in the delivery of pain medication with the current intention of alleviating spinal pain in patients suffering from chronic or acute spinal conditions. At present, the main method of drug delivery uses a manual syringe connected to a needle that is inserted into the affected area of the spine. Using a manual syringe that requires human effort can be inefficient due to hand muscles becoming fatigued, strained, or spasming after long periods of exertion. To address these challenges, our team has engineered a spring-assisted dispensing device to eliminate the need for external manual force. With a gun-like form, the device uses an internal spring mechanism, ensuring precise and consistent medication delivery with the singular pull of a trigger. Furthermore, the spring-assisted device ensures that the spring system applies pressure on the syringe plunger instead of the user. Once implemented in medical facilities and clinics, our device will decrease the rate at which healthcare professionals experience repetitive strain injuries or develop musculoskeletal disorders.</t>
  </si>
  <si>
    <t>deborah argueta, Louiegail Nazareno, Oyinkansola Amao, Rodrigo Chavez Sermeno, Warren Flores</t>
  </si>
  <si>
    <t>Pressed</t>
  </si>
  <si>
    <t>System to correctly position liner cardboard at bottom of the wooden bin</t>
  </si>
  <si>
    <t>Ingomar Packing Company</t>
  </si>
  <si>
    <t>Ingomar Packing Company is one of the largest tomato product producers in the world. An integral process in the packing sequence lies in the placement of a cardboard liner to the bottom of a 250-gallon wooden bin prior to being filled with tomato products. Our group has developed and manufactured a semi-automated design that not only drastically improves accuracy and efficiency of the liner placement, but also greatly reduces safety risks and potential waste of product. Utilizing a long stroke pneumatic press, upon switch activation, a worker-loaded liner will be pushed through the “crown jig”, folding the side flaps of the liner accurately, and placing it snuggly at the bottom of the wooden bin. The system can then be easily reset and activated again with a new, empty bin, streamlining the packing process.</t>
  </si>
  <si>
    <t>Cristopher Villa, Jaylan Catacutan, Jason Fuentes, Noah Price, Scott Haynes</t>
  </si>
  <si>
    <t>Refrigretation Systems Analysis</t>
  </si>
  <si>
    <t>CO2 Refrigeration: Screw vs. Reciprocating</t>
  </si>
  <si>
    <t>United States Cold Storage</t>
  </si>
  <si>
    <t>Transportation</t>
  </si>
  <si>
    <t>United States Cold Storage (USCS)  is a company located in Turlock, CA, that specializes in maintaining specific temperature ranges for various products to ensure their freshness and quality. In their warehouse, they are currently using a cascade refrigeration system that consists of two main refrigerants: carbon dioxide (i.e., CO2) and ammonia (i.e., NH3 ). While a cascade refrigeration cycle isn’t something new, USCS wants to know if different configurations of compressors impact their energy savings. To determine this, our group has analyzed the performance of the two types of compressors that are currently in use at the facility: screw and reciprocating compressors. Furthermore, considering that four possible compressor set-ups can be achieved within their existing cascade system, we assessed the cost-effectiveness and operational efficiency of each. Our analysis concluded that for their Turlock site, a setup utilizing a recip compressor for the bottom cycle and screw compressor for the top cycle offers the greatest economic savings over a 25-year operational lifespan.</t>
  </si>
  <si>
    <t>Jesus De La Mora Herrera, Joevanni Estrada, Ricardo Garcia, Ryan Young, Samuel Wong</t>
  </si>
  <si>
    <t>Chill-o-Watt</t>
  </si>
  <si>
    <t>Customer Profile Power Calculator</t>
  </si>
  <si>
    <t>United States Cold Storage (USCS) is a leading provider of refrigerated warehousing and logistics solutions, specializing in temperature-controlled storage and distribution services.  To support USCS's mission, our Capstone Team developed an advanced Customer Profile Calculator to provide a fact-based, transparent method for estimating commodity-specific energy consumption and its associated costs. While recognizing the limitations of traditional facility-wide energy models, our solution incorporates real-time customer data and product-specific thermal characteristics to improve accuracy.  We employed a rigorous approach combining on-site data, experimental testing, and calculation validation based on the USCS South Turlock location. Our calculator was built using Python and is linked to an Excel database. It is scalable, user-friendly, and can be easily updated with new products. By providing transparent, commodity-specific insights, the calculator supports USCS’s sustainability initiatives, enhances operational efficiency, and fosters stronger customer trust, setting a new industry standard for energy analysis.</t>
  </si>
  <si>
    <t>Eduardo Santiago, Gabriel Diaz-De Niz, Melissa Araiza Mendoza, Raul Ramirez, Rachel Yu</t>
  </si>
  <si>
    <t>116Mandarinnovators</t>
  </si>
  <si>
    <t>Mandarin Long Stem Solution</t>
  </si>
  <si>
    <t>Fowler Packing</t>
  </si>
  <si>
    <t xml:space="preserve">The Fowler Packing Company is losing approximately half a million dollars per year due to improper harvests of mandarin oranges. Seen through the mandarin harvest, harvesters would cut the stems too long when cutting quickly. Consequently, the long stems cause punctures on the fruits and worsen their quality. To address this issue, the 116Mandarinnovators developed a passive lock attachment for the clipper to ensure proper cuts. The attachment is designed so that the user is only allowed to cut at a certain length. It consists of an arm guide with a block on the end that goes between the handles. The guide also has a specific thickness and press angle that enables the user to cut the stem within 1/8th inch. </t>
  </si>
  <si>
    <t>Alexei Josue, Behnam Engheta, Christian Aguilar, Cosme Cruz, Michael Gallegos</t>
  </si>
  <si>
    <t>Golden Glove</t>
  </si>
  <si>
    <t>Fowler Packing Company, a premier supplier of high‑quality mandarins in California’s Central Valley, strives to deliver fruit that meets the highest appearance and handling standards. A persistent bottleneck has been achieving consistent short‑stem lengths at harvest. Manual trimming is slow, often bruises fruit, and yields stems that damages other mandarins. To tackle this, our team engineered a novel short‑stem cutter: a finger‑mounted tool featuring a 0.65‑inch modified #18 X‑Acto blade held in a 0.75‑inch PLA plastic extrusion, all secured by an adjustable Velcro‑cinch band. This ergonomic design lets pickers make clean, one‑handed cuts right at the stem junction, minimizing damage and speeding up the picking process. Developed within strict dimensional and food‑contact safety criteria, the cutter standardizes stem length, and reduces waste: reinforcing Fowler Packing Company’s commitment to excellence and efficiency.</t>
  </si>
  <si>
    <t>Destiny Campos Lopez, Hakim Rahimy, Marcelo Correa Mimbela, Nicolas Banh, Zachary King</t>
  </si>
  <si>
    <t>Built to Spill</t>
  </si>
  <si>
    <t>Solar powered, portable sensor that would detect when flood water reached a point and send a cell signal.</t>
  </si>
  <si>
    <t>Turlock Irrigation District (TID)</t>
  </si>
  <si>
    <t>Turlock Irrigation District provides essential water and power services to California’s Central Valley, supporting the region’s agriculture and energy needs. Flood irrigation is the dominant method used in the region, but its drawback is that it requires farmers to manually monitor water flow, which is time-consuming and can result in crop loss, wasted water, and accidental flooding of roads and property if unmonitored. In response, our team was tasked with developing a portable water detection device that sends a cellular alert when water is detected. We designed a low-cost, portable device equipped with multiple sensors dedicated to the detection of water. When triggered, the device sends a text message to the user, enabling remote monitoring of irrigation. Additional features include a light for easy location in the field and a display that shows battery life, signal strength, and allows the user to register their phone with the device. This tool is intended to help farmers manage flood irrigation more effectively by saving time, conserving water and increasing the reliability of irrigation scheduling and field monitoring.</t>
  </si>
  <si>
    <t>Andrew Amavizca, Emmanuel Rabago Moreno, Jonathan Villanueva Torres, Joseph Sanchez, jersson silgado</t>
  </si>
  <si>
    <t>Jujube and the Pits</t>
  </si>
  <si>
    <t>Small to Mid Scale Processing Equipment for Fresh Jujube Fruits</t>
  </si>
  <si>
    <t xml:space="preserve">UC ANR </t>
  </si>
  <si>
    <t>Agriculture</t>
  </si>
  <si>
    <t>The University of California Agriculture and Natural Resources (UC ANR) Small Farms Network supports small-scale farms through culturally-relevant training and research on specialty crops. F3: Farms, Food, Future at UC Merced VISTA and UCANR supports R&amp;D with engineers in these crops, such as jujubes. Jujubes are a bitter and sweet fruit that have an oval pit in the center of it, it is drought-tolerant and well-suited to California’s San Joaquin Valley. They are also known as Asian dates and have origins in China that date back more than 4,000 years. The jujube market could grow with processing equipment to remove the hard pit. Our team was tasked with developing small- to mid-scale jujube pitting equipment, inspired by existing designs for cherries, olives, and dates. To solve this task, we developed a conveyor-based machine that pauses rotation to allow a linear actuator, mounted with needles, to pit the jujube, and eject the pits from the opposite side.</t>
  </si>
  <si>
    <t>Alexandro Pioquinto, Fernando Moncayo, Landon Fife, Maria Enciso, Cody Gong</t>
  </si>
  <si>
    <t>Seal Team Five</t>
  </si>
  <si>
    <t>Semi-automated Foil Seal sorting, and measuring.</t>
  </si>
  <si>
    <t>Ingomar Packing Company processes tomato products and seals them in cans using thin aluminum foil seals applied by a stamping machine. A recurring issue is that these lids frequently stick together due to a lacquer coating and cohesive forces, making manual detection and separation unreliable. This can lead to multiple lids being applied to a single can, resulting in product contamination and decreased production efficiency. Our team designed, developed, and built a semi-automated system that separates, verifies, and places individual foil seals into designated slots for packaging. The system incorporates a custom aluminum canister, linear actuator, air knives, and a Dorna 2 five-axis robotic arm. To ensure only one lid is handled per cycle, we integrated a load cell that measures the weight of each seal. If multiple lids are detected, the air knife system diverts them into a designated waste pile.  The system is designed as a near turn-key solution, ready for integration into the client’s packaging line. It has been delivered to Ingomar Packaging Company for full validation under real production conditions. The solution reduces manual labor, minimizes waste,  and improves the reliability and productivity of the seal sorting process.</t>
  </si>
  <si>
    <t>Alan Kuang, Constantino Montenegro, Gordon Mui, Jose Vasquez-Reyes, Ryan Lee</t>
  </si>
  <si>
    <t>Smooth Rollers</t>
  </si>
  <si>
    <t>Agricultural Implement for Planting Cover Crops under Vines or Trees</t>
  </si>
  <si>
    <t>Vitidore</t>
  </si>
  <si>
    <t>Vitidore is a sustainability focused company working to connect growers with the technology to foster economic success and safeguard farming environments. The client is interested in utilizing cover crops planted between the rows of orchards and vines to naturally fertilize and protect the main crop. Clemens technology has a system to plant the seeds under the main crop that avoids damaging soil berms and irrigation lines. Our team's task was to develop an implementation that can reduce the seeds used when planting cover crops. We designed a roller compatible with Clemens hardware to improve seed integration enabling for higher germination rates, reducing seed usage in the process. We were only able to deliver the design and proof of concept for the roller for the Vitidore to eventually build and test.</t>
  </si>
  <si>
    <t>Albert Trinh, JJ Verhoeven, kyle chun, Patrick Vazquez</t>
  </si>
  <si>
    <t>(fall)</t>
  </si>
  <si>
    <t>2025-2 Fall</t>
  </si>
  <si>
    <t>CAP-201</t>
  </si>
  <si>
    <t>Smart Beetle Trap</t>
  </si>
  <si>
    <t>Verdan Technology Solutions</t>
  </si>
  <si>
    <t>Abstract-201</t>
  </si>
  <si>
    <t>Students-201</t>
  </si>
  <si>
    <t>CAP-202</t>
  </si>
  <si>
    <t>Automated Seam Weld Sander</t>
  </si>
  <si>
    <t>West-Mark</t>
  </si>
  <si>
    <t>Abstract-202</t>
  </si>
  <si>
    <t>Students-202</t>
  </si>
  <si>
    <t>CAP-203</t>
  </si>
  <si>
    <t>Continuous sterilization via ultra high intensity UV pulse light</t>
  </si>
  <si>
    <t>The Morning Star Company</t>
  </si>
  <si>
    <t>Abstract-203</t>
  </si>
  <si>
    <t>Students-203</t>
  </si>
  <si>
    <t>CAP-204</t>
  </si>
  <si>
    <t>The Perfect Cutter Drum</t>
  </si>
  <si>
    <t>Valley Tool MFG</t>
  </si>
  <si>
    <t>Other</t>
  </si>
  <si>
    <t>Abstract-204</t>
  </si>
  <si>
    <t>Students-204</t>
  </si>
  <si>
    <t>CAP-205</t>
  </si>
  <si>
    <t>Horizontally Extractable Aeration System for Almond Drying</t>
  </si>
  <si>
    <t>Almondry</t>
  </si>
  <si>
    <t>Abstract-205</t>
  </si>
  <si>
    <t>Students-205</t>
  </si>
  <si>
    <t>CAP-206</t>
  </si>
  <si>
    <t>Expandable Screw</t>
  </si>
  <si>
    <t>Abstract-206</t>
  </si>
  <si>
    <t>Students-206</t>
  </si>
  <si>
    <t>CAP-207</t>
  </si>
  <si>
    <t>Paste Bin Washing</t>
  </si>
  <si>
    <t>Kagome USA</t>
  </si>
  <si>
    <t>Abstract-207</t>
  </si>
  <si>
    <t>Students-207</t>
  </si>
  <si>
    <t>CAP-208</t>
  </si>
  <si>
    <t>Tower Platform Height Process Optimization</t>
  </si>
  <si>
    <t>Hilmar</t>
  </si>
  <si>
    <t>Abstract-208</t>
  </si>
  <si>
    <t>Students-208</t>
  </si>
  <si>
    <t>CAP-209</t>
  </si>
  <si>
    <t>Tank level control system</t>
  </si>
  <si>
    <t>Agrecom</t>
  </si>
  <si>
    <t>Abstract-209</t>
  </si>
  <si>
    <t>Students-209</t>
  </si>
  <si>
    <t>CAP-210</t>
  </si>
  <si>
    <t>Tunnel Wind Power</t>
  </si>
  <si>
    <t>BART</t>
  </si>
  <si>
    <t>Abstract-210</t>
  </si>
  <si>
    <t>Students-210</t>
  </si>
  <si>
    <t>CAP-211</t>
  </si>
  <si>
    <t>Battery Workforce Challenge - Phase 2</t>
  </si>
  <si>
    <t>Education</t>
  </si>
  <si>
    <t>Abstract-211</t>
  </si>
  <si>
    <t>Students-211</t>
  </si>
  <si>
    <t>CSE</t>
  </si>
  <si>
    <t>NeuroGEM</t>
  </si>
  <si>
    <t>Machine Learning framework for Traumatic Brain Injury genetic data</t>
  </si>
  <si>
    <t>X10e</t>
  </si>
  <si>
    <t>X10e, an innovative health-tech sensor company, sought a powerful machine learning framework to extract insights from genetic data collected in traumatic brain injury (TBI) experiments. In response, the team developed an end-to-end pipeline that preprocesses raw gene counts, selects meaningful biomarkers, and attempts to predict biological responses to varying blast frequencies and amplitudes. The framework enables transparent analysis of gene-level impact by leveraging interpretable AI models and scalable optimization techniques. An interactive dashboard further empowers researchers to explore genetic patterns. This system lays the groundwork for future advances in TBI diagnostics and positions X10e to harness genetic data for personalized care.</t>
  </si>
  <si>
    <t>Guillermo Roque, Jayden John, Jet Lin, Nihar Marar, Nicole Wu</t>
  </si>
  <si>
    <t>GeneNETics</t>
  </si>
  <si>
    <t>X10e is a health technology company based in Mountain View, California, focused on extending human longevity by converting bio-signals into actionable insights. A current challenge is developing a scalable and cost-effective method to classify varying levels of brain trauma. To address this, our team applies machine learning to gene count data collected from brain organoids created by X10e which are subjected to controlled sound exposures at different amplitudes and frequencies to induce trauma. Using Elastic Net logistic regression, we trained a model that accurately classifies trauma severity and highlights the individual gene most strongly correlated with traumatic impact, offering a potential biomarker for future diagnostic use.</t>
  </si>
  <si>
    <t>Elyas Yaqubi, Favian Gonzalez, Joshua Tapia, Noelia Sanchez, Nishad Yedunuthula</t>
  </si>
  <si>
    <t>Nexoma</t>
  </si>
  <si>
    <t>LLM model for health data - Phase 2</t>
  </si>
  <si>
    <t>Dedicated to the endeavor of gathering every observable parameter to delineate the boundaries of your “health data self,” x10e is a committed biotech company developing cutting-edge interfaces that connect you to your body. Currently, the company is developing a biofluid sensing device designed to capture and analyze biomarker data directly from the surface of the body. Previously, X10e developed a basic web application that interpreted data through a Large Language Model (LLM). Building off of the first phase, our team enhanced the existing web application by improving the underlying model, delivering more precise health recommendations, and analyzing correlations between different biomarkers to enable individuals to take control of their health at the chemical level.</t>
  </si>
  <si>
    <t>Albert Shih, Cameron Gadalla, Ezequiel Carlos, Jeffrey Winters, Rohit Vedulla</t>
  </si>
  <si>
    <t>Heartware Engineers</t>
  </si>
  <si>
    <t>X10e is an AI-driven healthtech company pioneering the development of innovative body-to-computer interfaces that translate real-time human data into actionable insights to promote longer, healthier lives. The company develops a biofluid sensing device designed to capture and analyze biomarker data directly from the body. To support this effort, X10e previously developed a web application that visualized health metrics using data from the device and included a platform for basic interaction powered by a large language model—an AI system capable of interpreting and responding to natural language. To extend the functionality and accessibility of this platform, the team developed a user-friendly mobile application that delivers timely health notifications and reveals meaningful correlations between various biomarkers, empowering individuals to better understand and manage their health through personalized, data-driven insights.</t>
  </si>
  <si>
    <t>Bilal Adham, June Eguilos, Siddharth Krishna, Shri Nidhi, William Trantan</t>
  </si>
  <si>
    <t>Project VITAL 💔</t>
  </si>
  <si>
    <t>Machine learning for cardiac electrophysiology</t>
  </si>
  <si>
    <t>Lawrence Livermore National Laboratory</t>
  </si>
  <si>
    <t>Lawrence Livermore National Laboratory is a federally funded research and development center focused on advancing science and technology to support national security, health, and environmental missions. While the electrocardiogram (ECG) is a common and cost-effective tool for diagnosing heart conditions, it fails to provide enough spatial resolution needed to pinpoint conditions like arrhythmias. Current high-resolution mapping methods depend on expensive imaging tools and invasive procedures requiring catheter insertion, limiting accessibility. Based on recent advances in deep learning, the team developed a diffusion-based generative model to reconstruct high-fidelity heart signals from easily obtainable ECG data. This model offers clinicians an inexpensive and non-invasive alternative to existing mapping techniques, which has the potential to reduce the cost and time needed for an accurate diagnosis.</t>
  </si>
  <si>
    <t>Anas Saeed, Collin Chuang, Chandika Ramesh, Lucas Cabral, Ruchir Acharya</t>
  </si>
  <si>
    <t>Commit &amp; DROP</t>
  </si>
  <si>
    <t>Rapid Prototyping Services App</t>
  </si>
  <si>
    <t>UC Merced SoE</t>
  </si>
  <si>
    <t>Software</t>
  </si>
  <si>
    <t>Rapid Prototyping Services, offered by the UC Merced School of Engineering, supports research groups, Capstone teams, and student organizations with services such as 3D printing, laser cutting, and machining. However, the current manual workflow for job submissions, quote generation, and tracking of chargeable hours is inefficient and heavily reliant on email communication, leading to delays and inconsistencies. To address this, the team developed an integrated web application designed to automate and centralize the entire service process. The system allows users to submit job requests through a streamlined interface, automatically routes notifications to relevant staff, enables staff to generate and revise formal quotes, and tracks chargeable labor and material costs throughout the project lifecycle. By replacing fragmented communication with an organized, data-driven platform, the application improves operational efficiency, enhances transparency, and supports the school’s transition to a recharge-based model. This solution empowers the School of Engineering to deliver faster, safer, and more professional prototyping services to the UC Merced campus community.</t>
  </si>
  <si>
    <t>Aliyy Seyalioglu, Kalea Knox, Marcelo Rodriguez Perez, Sandy Arredondo, Yahir Badillo</t>
  </si>
  <si>
    <t>Survival</t>
  </si>
  <si>
    <t>Rapid Prototyping Services at UC Merced’s School of Engineering supports research groups, Capstone teams, and student clubs with fabrication services such as 3D printing and machining. However, the current workflow relies on multiple disconnected systems and manual processes to manage a single job. To streamline operations and improve the request process, Rapid Prototyping Services identified the need for a centralized system to manage job submissions, generate quotes, and automate communication. In response, the team developed a web application that allows users to submit requests, receive quotes, track request status, and communicate with staff through a single interface. Simultaneously, the system enables staff to manage requests, track progress, generate quotes, communicate internally and externally, and send automated email updates. This solution enhances operational efficiency, reduces manual workload, and ensures timely documentation, ultimately improving service delivery across the university.</t>
  </si>
  <si>
    <t>Elvis Miranda Garcia, Jason Jesudas, Jennifer Lugo, Quang Pham</t>
  </si>
  <si>
    <t>OldTimers</t>
  </si>
  <si>
    <t>Cognitive Tests Using Modern Mobile Game Technology</t>
  </si>
  <si>
    <t>Semcorel</t>
  </si>
  <si>
    <t>Semcorel is a company dedicated to enhancing the lives of seniors by providing comprehensive health and safety monitoring solutions that offer peace of mind to both seniors and their families. One challenge Semcorel identified is that traditional cognitive assessments are often repetitive and unengaging, which can lead to participant disengagement and negatively impact the accuracy of results potentially leading to misdiagnosis. To address this, the team was tasked with developing interactive and engaging cognitive tests in the form of minigames using the Unity engine. The final product includes five custom designed minigames and an updated, senior friendly user interface aimed at improving user engagement and ensuring more reliable cognitive assessment outcomes.</t>
  </si>
  <si>
    <t>Jaskaran Grewal, Jackie Recendez, Jordan Richard, Rameel Nazir, Simon Cremer, Brian Perez</t>
  </si>
  <si>
    <t>Unified</t>
  </si>
  <si>
    <t>Semcorel is a company dedicated to making our seniors' lives safer and easier. Tests to produce information about cognitive health are limited and can feel stressful, repetitive, or intimidating for elderly people. The team aimed to make cognitive assessments more relaxed and enjoyable by turning them into games. Utilizing Unity, a cross-platform game engine recognized for its simple, fast, and efficient creation of games, the team created an app consisting of a series of quick and easy gamified cognitive tests. This app will help to create an engaging and relaxed environment while testing the cognitive ability of seniors.</t>
  </si>
  <si>
    <t>Daniel Huynh, Emi Rueth, Ernesto Ruiz Hinkle, Marian Zuniga, Toshinori Oizumi</t>
  </si>
  <si>
    <t>SAM-urai</t>
  </si>
  <si>
    <t>Advanced Image Analysis Platform based on Segment Anything Model (SAM)</t>
  </si>
  <si>
    <t>SanDisk</t>
  </si>
  <si>
    <t>Computers</t>
  </si>
  <si>
    <t>SanDisk’s manufacturing of storage devices involves advanced semiconductor analysis for quality control. They recognize that machine learning (ML) models are potentially useful to automate measurements in, for example, images taken by electron microscopes. SanDisk created a rudimentary desktop application to take advantage of this, which primarily interfaces with image models to generate masks that trace and measure features on provided images. The team developed new features to further improve its utility in research, such as color filters and upscaling. Additionally, the team worked to improve its reliability and performance. The resulting app is suitable as a practical tool to add to the semiconductor analysis workflow at SanDisk.</t>
  </si>
  <si>
    <t>Alfred Manongsong, Josh Edmon-Macias, Nicholas Bolano, Princess Thomas, Rahsaan Young Jones</t>
  </si>
  <si>
    <t>Digital Westerns</t>
  </si>
  <si>
    <t>Western Digital / SanDisk manufactures computer storage solutions, and in doing so, their engineers have realized the need for more effective and efficient tools to analyze their components using a publicly available Large Vision Model. The previous program used for this purpose was clunky and difficult to navigate without guidance. To address these issues, our team developed an application from scratch to streamline the manipulation, masking, and annotation an engineer would need to perform. Building this application from the ground up allowed us to easily implement additional features and optimizations not present in the original application, such as maintaining multiple image tabs, state-based undo/redo functionality, and enhanced integration of the   Large Vision Model.</t>
  </si>
  <si>
    <t>Anthony Rubick, Cole Harris, Dylan Baudhuin-Barrett, Eddie Lizarzaburu, Nickolas Salgado</t>
  </si>
  <si>
    <t>TomatoVision</t>
  </si>
  <si>
    <t>Average size of tomatoes in trailer</t>
  </si>
  <si>
    <t>Morning Star, one of the world’s largest tomato processors, identified the need for a more precise and consistent method to evaluate the size and quality of tomatoes in trailers arriving at the factory, to optimize routing decisions. The project’s objective was to reduce costs by directing loads with a high percentage of usable tomatoes to Valley Sun Products, the company's sun-dried tomato facility in Gustine, while minimizing the loads of smaller tomatoes that are returned to the factory for processing. Manual inspections lacked the accuracy required, impacting operational efficiency. To address this, the team developed a real-time tomato analysis system utilizing an Intel RealSense stereo camera, YOLO-based computer vision, and a React Native and Flask web application.</t>
  </si>
  <si>
    <t>Aravind Balasubramaniam, Andrew Huezo, Alfonso Lopez, Emmanuel Velazquez, Anjali Yadav</t>
  </si>
  <si>
    <t>TomatoVisionaries</t>
  </si>
  <si>
    <t>The Morning Star Company is a leading producer in California’s tomato industry and they are facing a significant challenge in ensuring that tomatoes that are delivered to Valley Sun Products meet the size requirements for processing. Due to field yield variability, tomatoes that do not meet the minimum size specifications are often culled, resulting in unnecessary waste and increased hauling costs. The project aimed to develop a vision system that estimates the percentage of correctly-sized tomatoes in each load upon arrival at the Liberty Packing factory. By using computer vision, the team successfully built a system that analyzes tomato sizes and provides recommendations for further processing, ultimately reducing waste and improving operational efficiency.</t>
  </si>
  <si>
    <t>Jason Elcano, Juan Garcia, Luis Cortez, Miguel Diaz Alcaraz, Oscar Benitez</t>
  </si>
  <si>
    <t>Ctrl+Alt+Feed</t>
  </si>
  <si>
    <t>SpoilSafe Monitor</t>
  </si>
  <si>
    <t>UNiFOODi</t>
  </si>
  <si>
    <t>UNiFOODi is a sustainability initiative at UC Merced that promotes food recovery and redistribution on campus. The problem is that existing methods for sharing surplus food are manual, inconsistent, and often too slow to be effective. To address this, the team developed an automated monitoring system that uses real-time object detection to identify food and instantly post alerts to a web-based interface. The system is fully hands-off once installed and designed for students looking to either drop off or pick up free food, making food sharing faster, more visible, and easier to access across campus.</t>
  </si>
  <si>
    <t>Carlos Pastor Encarnacion, Edmund Chao, Ipsita Jain, Jose Lopez Hernandez, Lizbeth Perez</t>
  </si>
  <si>
    <t>Snack Overflow</t>
  </si>
  <si>
    <t>UniFoodi is a startup based at the University of California, Merced that aims to reduce food waste through an automated network of food donation boxes. Our client was in need of a system that could detect and monitor donated food, ensuring food safety protocols and preventing excess food from being wasted. The team trained a real-time machine learning model that can identify food items placed in front of a live camera. Upon identifying food item(s), said item is logged through a real time feed, a timer is displayed to indicate its freshness, and users are notified via email.</t>
  </si>
  <si>
    <t>Aren Aguila, Alex Titov, Andrew Woo, Ethan Villarosa, Jesse Hernandez-Tovar</t>
  </si>
  <si>
    <t>The Weather Watchers</t>
  </si>
  <si>
    <t>Developing an interface for gridded data products</t>
  </si>
  <si>
    <t>UC Merced Environmental Systems</t>
  </si>
  <si>
    <t>Environment</t>
  </si>
  <si>
    <t>This project included programming a web-based mapping application to help engineers access data to plan for future extreme weather events influenced by climate change. Proposed by Marie Buhl, who prepared the underlying climate data, the project supports ongoing research in UC Merced’s Environmental Systems Graduate Program. The app visualizes downscaled climate projections from CMIP6 (via WRF and LOCA2) for California. Key hazard metrics—ground snow load, mean wind speed, and precipitation intensity— are calculated using extreme value analysis for 50- and 100-year return periods. The tool utilizes two complementary mapping tools: choropleth maps to show regional variation in hazard intensity using color gradients and contour maps to visualize transitions in hazard levels. Users can select any point on the map to retrieve detailed hazard data based on their chosen parameters. A secure data management system allows authorized users to upload and maintain datasets, ensuring long-term utility. Hosted by UC Merced’s Civil Engineering Department, this freely accessible app empowers engineers and planners with the data needed to design resilient infrastructure in a changing climate.</t>
  </si>
  <si>
    <t>Ana Hernandez-Ramirez, Emily Mondragon, Hubert Yu, Jesse Plummer, Zayd Andre</t>
  </si>
  <si>
    <t>Trolley problem 🚝🤓</t>
  </si>
  <si>
    <t>BART Aerial Track Inspection</t>
  </si>
  <si>
    <t xml:space="preserve">Bay Area Rapid Transit (BART) is a rapid transit train system serving the San Francisco Bay Area in California. Maintaining the safety of BART infrastructure requires regular manual inspection of train tracks — a process that is both resource-intensive and time-consuming. To address this challenge, the project focused on streamlining the track inspection process by leveraging inspection train data and machine learning.  The team designed an application that detects track issues using inspection footage, eliminating the need for manual inspections. The tool will be used by BART inspection teams and will improve efficiency in identifying and repairing track defects.
</t>
  </si>
  <si>
    <t>Alton Chao, Akhil Devarasetty, Fernando Rodriguez Martinez, Ian Pagador, Vishal Venkateswaran</t>
  </si>
  <si>
    <t>Choo Choo, Railing Crew</t>
  </si>
  <si>
    <t>Bay Area Rapid Transit (BART) identified the need to enhance the efficiency and accuracy of its track infrastructure inspections. Current manual inspection methods are time-intensive and susceptible to human error, particularly under low-light conditions. To address this, the team developed a machine learning powered software solution that processes existing track video footage to automatically detect missing and damaged coverboards. The system leverages computer vision techniques to generate actionable reports for maintenance teams, improving operational decision-making. This prototype offers BART a scalable, cost-effective, and sensor-free approach to modernizing its infrastructure inspection process.</t>
  </si>
  <si>
    <t>Aditya Ghosh, Jasper Morgal, Shreyas Jain, Vaibhav Kumar, Zion Koundou</t>
  </si>
  <si>
    <t>TestBot's Technicians</t>
  </si>
  <si>
    <t>Vehicle Mileage and Fuel Logging Application</t>
  </si>
  <si>
    <t>Agrecom Inc. delivers water treatment, sanitation, and pest control services to local agricultural, residential, and commercial clients. To support the company’s operational needs, this project focused on monitoring fuel usage across its fleet of trucks. In response to Agrecom's need for a Vehicle Mileage and Fuel Logging application, the team developed a mobile application for drivers and a web-based administrative portal for visualizing this data in real time. Both platforms were integrated with Dataverse Tables, ensuring seamless and accurate data access, as well as a pre-existing SharePoint list containing fleet data. This solution improves operational efficiency by simplifying data entry for drivers and empowering administrators to manage and analyze fuel usage more effectively.</t>
  </si>
  <si>
    <t>Alex Lim, Connor Graham-Smith, Gabriel Diaz, Trisha Gundavelli, Yahir Mota</t>
  </si>
  <si>
    <t>AgreFuel</t>
  </si>
  <si>
    <t>Agrecom provides water treatment, sanitation, and pest control services across various sectors. Agrecom identified a need for a streamlined solution to track vehicle mileage and fuel usage among fleet vehicles. Our team developed a vehicle mileage and fuel tracking system using Microsoft Power Platform. The solution features a PowerApps interface for logging data, a Power BI dashboard for visualization, and automated reporting via Power Automate. All data is stored in Microsoft Dataverse for seamless integration and scalability. This system reduces manual errors, simplifies reporting, and enhances operational efficiency through real-time insights and automated summaries.</t>
  </si>
  <si>
    <t>Adit Khandelwal, Chiemerie Nwankwo, Kyle Reyes, kavyasree surapaneni, Roshan Manoranjan</t>
  </si>
  <si>
    <t>Box Blokes</t>
  </si>
  <si>
    <t>Cheese Block Defect Detection</t>
  </si>
  <si>
    <t>Within our client's packaging facility, numerous defects can occur on the production line such as dents, bloats, or open flaps, which can result in defective products leaving the facilities. Currently each box is inspected manually for defects, which could cause oversights to occur based on the skill of the inspector. To mitigate this issue our team has designed a web application that detects when these defects occur, and uploads each defect's data to a database. The database can then be exported and viewed to better understand how often these defects occur and what steps can be taken to mitigate these defects in the future.</t>
  </si>
  <si>
    <t>Javier Gomez Llagaria, Julian Lee, Mathew Getachew, Velvet Eligio</t>
  </si>
  <si>
    <t>Cheese Checkers</t>
  </si>
  <si>
    <t>Our client is a leading producer of natural cheese products sold nationwide. Within the manufacturing process, they have identified key challenges in detecting defects consistently and cost-effectively. To address this issue, our team has prepared a YOLO-based computer vision model that detects, identifies, and classifies cheese blocks as they move down the manufacturing line. This model is accompanied by a user-friendly GUI and a backend database. This allows the software to be easily approachable by the operator and securely store any collected data for later reviews. Together, these feature sets will aid in achieving a reliable quality control system.</t>
  </si>
  <si>
    <t>Donnie Neale, Jason Chen, John Gabriele Espinosa, Kai Matsumoto, Leopoldo Ramirez</t>
  </si>
  <si>
    <t>Silantro Salesmen</t>
  </si>
  <si>
    <t>Crop Yield Estimation via Robotic Image Capture</t>
  </si>
  <si>
    <t>U+S+T</t>
  </si>
  <si>
    <t>SupHerb Farms and many farmers around the country rely on visual inspection to estimate the amount of crops available in their field for harvest. In phase 1 of this project, the team developed a DepthAI image capture system to construct a 3-dimensional physical model of crops in real time, and generate a volume estimate, which is then linearly converted to a mass estimate. In phase 2, the team created an autonomous navigation application to maneuver a Farm-ng Amiga robot around a field while capturing images in real time, in order to generate a large scale mass estimate for a field of cilantro. Using the combined application created in phase 2, farmers can reliably determine how much cilantro is available to be harvested in a field.</t>
  </si>
  <si>
    <t>Aaron Romero, Danny Nguyen, Gerardo Leal Perez, Munir Khan</t>
  </si>
  <si>
    <t>🍅🦾 (Tomato Bot)</t>
  </si>
  <si>
    <t>Programming a robotic arm to weld parts</t>
  </si>
  <si>
    <t>The Morning Star Company produces a significant amount of the domestic processed tomato products. To manage this, they utilize heavy agricultural equipment to assist with planting, growing, and harvesting the tomatoes; however, the equipment is subject to wear and tear, with metal parts losing surface material due to constant contact with the soil during use. With the assistance of The Morning Star Company, the team has designed the basis of a program that facilitates welding on an easy-to-use desktop application. This app automatically performs arm movement for the welding process to help a UR10 robotic arm perform faster welding repairs on-site. This program is intended to be used by the engineers, mechanics, and welders working in The Morning Star Company’s repair shop to drive the arm and perform the necessary welds. It will not only make repairs more accessible to the company but also remove the extra time and costs that would otherwise be put into previously longer repairs, improving overall efficiency, saving time to put towards other tasks.</t>
  </si>
  <si>
    <t>Bryant Olmos,  James Hoang, Jesus Hernandez Chairez, Luis Garibay, Richard Camacho</t>
  </si>
  <si>
    <t>🥭MangoDB🥭</t>
  </si>
  <si>
    <t>Turning Search Results into Curated and Linked Information</t>
  </si>
  <si>
    <t>UC Merced I2G</t>
  </si>
  <si>
    <t>Innovate to Grow (I2G) is a unique experiential program that works with external partner organizations to collaborate with student teams to solve real-world problems. The I2G website maintains a database of past projects built by students from UC Merced alongside project details and team details. When sharing information with clients, it is common to write notes about projects and explain the impact of the I2G program. I2G sought to streamline the curation process, being able to edit, store, and share project lists from their website. To facilitate the sharing of information, the team added an editor to the I2G website, allowing users to write details to a curated list of selected past projects and export them. The newly added user account system allows registered users to access their curated lists stored in a secure database. The result is a scalable platform that enhances user engagement and provides a flexible workspace for organizing, storing, and presenting past I2G projects to clients.</t>
  </si>
  <si>
    <t>David Gould, David San Pedro, Edward Lau, Henry Arinze, Mihir Kinjawadekar</t>
  </si>
  <si>
    <t>Ctrl+Curate</t>
  </si>
  <si>
    <t>In today’s digital workflow, compiling search results and manually organizing them into curated documents is still a time-consuming and fragmented process. Users frequently switch between browser tabs and editors to copy, paste, link, and format information, leading to inefficiencies and inconsistent documentation. Our team, CSE-326, addressed this challenge by developing a web-based system that transforms selected search results into curated, editable content blocks within a hypertext editor. Built on UC Merced I2G’s Past Projects database, our solution allows users to generate unique identifiers and URLs for each search result, seamlessly merge selected results, and edit them directly in an integrated environment. Curated documents can be saved and revisited, containing their unique URL, ensuring easy access and shareability. This system reduces friction in research workflows, enhances productivity, and lays the groundwork for future extensions such as web API integration and advanced multi-search merging.</t>
  </si>
  <si>
    <t>Edward Campuzano, Elgin Li, Minea Dusanovic, Pascual Hernandez Lopez</t>
  </si>
  <si>
    <t>Connectwork</t>
  </si>
  <si>
    <t>Networking Engagement - Information Capture and Aggregation App</t>
  </si>
  <si>
    <t>At conferences and expos, an important part of effective networking is collecting and organizing information about the people you meet. Current contact management apps and customer relationship management systems have lots of features, but they can only be as good as the information that is captured and connected. The team’s solution to quick and meaningful information aggregation is a web app that revolves around what are called “connections”. Connections are user created collections of files that allow for quick organization and access of relevant information to a specific topic or entities. With the use of connections and notes, you can quickly organize any information you collect for quick access at any time.</t>
  </si>
  <si>
    <t>Aryaan Mishra, Christopher Hernandez, Chase Nagle, Khushi Bagri, Shobhit Singh</t>
  </si>
  <si>
    <t>ConnecTek</t>
  </si>
  <si>
    <t>Innovate to Grow (I2G) is a dynamic experiential learning program that connects student teams with external partner organizations to design innovative systems addressing complex, real-world challenges. It is common for I2G members to participate in conferences and expos, where they strive to make connections and absorb valuable information. However, participants often collect an overwhelming number of business cards, brochures, and photos, which by the end of the event become disorganized and cluttered. The team is developing an intelligent solution that centralizes, organizes, and securely stores digital materials in one unified platform. Through both web and mobile applications, users are able to capture diverse types of data and tailor their organization to fit personal or professional needs. The solution offers a novel approach to digital organization by leveraging graph-based visualizations, enabling users to explore their data with enhanced clarity and transparency.</t>
  </si>
  <si>
    <t>Ailisha Shukla, Fasha Lennon, Jaiveer Singh, Mabel Ixchop Lopez, Sahil Lokanandi</t>
  </si>
  <si>
    <t>Sprout &amp; Count</t>
  </si>
  <si>
    <t>Plant Counting Program</t>
  </si>
  <si>
    <t>The Morning Star Company, the world’s largest tomato processor, sought to automate plant counting to improve yield estimation and operational efficiency in their greenhouses. To address this need, the team developed a scalable computer vision system that processes tray images to accurately count tomato plants. The system uses a Convolutional Neural Network (CNN) model to detect plants from images and is integrated into a user-friendly web platform that generates real-time count reports. By eliminating manual counting, the solution significantly reduces labor demands and lays the groundwork for future automation in Morning Star’s operations.</t>
  </si>
  <si>
    <t>Darlyn Isla, Juan Ramirez Arias, Miguel Espinoza, Uriel Martinez Jimenez, Wilson Chen</t>
  </si>
  <si>
    <t>Count Tomato</t>
  </si>
  <si>
    <t>The Morning Star Company, in collaboration with California Masterplant, required a more efficient and accurate method to count tomato seedlings during early growth stages. Manual counting, currently conducted by a small team, is time-consuming and labor-intensive. To address this, the team developed an intelligent web-based plant counting system that uses OpenCV for image preprocessing and DINOv2 to analyze individual tray cells for plant detection. The platform enables operators to upload images and receive both a visual overlay of detection results and an accurate plant count, enhancing usability and significantly reducing processing time. By the end of the project, the system achieved a detection accuracy of approximately 96%, with future refinements expected to reduce the error margin closer to 1%.</t>
  </si>
  <si>
    <t>Ali Adham, Guy Ben Zeev, Justin Ly, Jesus Ruvalcaba, Yu Liu</t>
  </si>
  <si>
    <t>The BART Simpsons</t>
  </si>
  <si>
    <t>Bay Area Rapid Transit (BART) needed faster, higher‑quality track inspection tools to detect broken or missing coverboards across its rail network. The team designed and built a cloud‑based solution using AWS Rekognition and Python which can analyze existing maintenance footage. This system operates effectively in nighttime and low‑light conditions, automatically identifying damaged coverboards and generating concise maintenance reports. The flexible nature of a cloud-based approach to our application lays groundwork for ongoing improvements to build a safer maintenance system.</t>
  </si>
  <si>
    <t>Anvita Kisara, Anika Potu, Harsha Krishnaswamy, Josh Estrada, Kanishka Verose</t>
  </si>
  <si>
    <t>The Wayfinders</t>
  </si>
  <si>
    <t>Assistive Wayfinding for BART Stations</t>
  </si>
  <si>
    <t>Bay Area Rapid Transit (BART) identified a need to improve navigation for riders, particularly first-time and elderly users, who often struggle to locate the correct track. The team developed the BART Assistive Way-Finding Project to address this issue using computer vision and real-time sensor data. The solution offers a streamlined interface where users select a destination and point their phone's camera, enabling the app to detect their location through a 3D scan of the environment. By delivering immediate, intuitive feedback, the project lays a robust foundation for expanding BART’s accessible navigation efforts.</t>
  </si>
  <si>
    <t>Anthony Cortez, Chandra Govindarajan, Harsh Patel, Krishn Patel, Sharath Sanagavarapu</t>
  </si>
  <si>
    <t>The Lucky 3's</t>
  </si>
  <si>
    <t>Cloud sync engine</t>
  </si>
  <si>
    <t>Sweep</t>
  </si>
  <si>
    <t xml:space="preserve">Sweep Energy specializes in creating machine learning solutions for businesses. Their challenge was that as cloud systems grew more complex, managing fragmented data became increasingly difficult. Our team developed a user-friendly application enabling users to seamlessly connect their Google Drive and Dropbox accounts to a centralized mobile app. This solution automatically synchronizes user files to Sweep Energy’s servers hourly, significantly streamlining the data aggregation process. The Flask-based backend features robust authentication using JWT tokens, cross-origin resource sharing (CORS) for enhanced compatibility, and ensures necessary file structures are automatically initialized. This system was successfully tested on a server environment within Docker containers, resolving challenges related to persistent storage by allowing users to designate specific storage directories externally mounted to the containers. The delivered tool simplifies user interaction, enhances operational efficiency, and provides Sweep Energy with a scalable, reliable data integration platform. 
</t>
  </si>
  <si>
    <t>Raul Plascencia, Noah Boyer Rosales, Saman Bajpai, Vanessa Valle</t>
  </si>
  <si>
    <t>𝑩𝒊𝒈   ͩ ͣ ͭ ͣ</t>
  </si>
  <si>
    <t>Sweep works with organizations to develop and innovate A.I. driven workflows. Aggregating and moving data for further processing is a tedious and oftentimes complicated process. In order to simplify the process of data collection, the team developed a mobile application along with a web server solution that automates data retrieval and synchronization from cloud services such as Box and OneDrive using tools like Rclone.</t>
  </si>
  <si>
    <t>Alexandre Ascencio-Hurtado, Garvin Wu, Lakshman Golla, Michos Cristobal, Arvind Kumar</t>
  </si>
  <si>
    <t>Aged to Perfection</t>
  </si>
  <si>
    <t>Wine Inventory Management Using Machine Vision</t>
  </si>
  <si>
    <t>Owligator</t>
  </si>
  <si>
    <t>Our client is Owligator, founded by Jack Oswald, an entrepreneur, co-founder and CEO of ISOThrive. Our project solves the challenge of managing large wine collections. As the number of bottles in a cellar increases, manually tracking inventory becomes difficult. Frequent bottle movement makes the process time consuming and prone to errors. Our team designed an AI system capable of reading information from wine labels over 10 feet away, extracting cursive fonts, and storing it on a cloud database. Users can login through our website to monitor the temperature and humidity, execute queries and manage their collection in real time. The system supports both a standalone camera and iPhone input via an app. Designed for wine sellers, restaurants and collectors, this tool improves organization, automates manual tasks, and ensures accuracy.</t>
  </si>
  <si>
    <t>Armando Sanchez, Harshini Nujella, Kalyani Binu Sindhu, Stephanie Lin, Vedant Sinha</t>
  </si>
  <si>
    <t>Full Rack</t>
  </si>
  <si>
    <t>Owligator is a startup focused on automating the costly and time-consuming task of managing large wine collections. Restaurateurs, collectors, and retailers often struggle to track hundreds—or even thousands—of bottles, leading to lost inventory, misplacement, wasted staff hours, and missed revenue opportunities. The team developed a web application that uses machine vision to monitor wine racks through a live camera feed. As bottles are added or removed, the system detects changes and tracks each bottle’s position within a mapped grid of the cellar. The inventory updates instantly, and all changes are securely stored in a connected database. Owligator eliminates manual tracking and ensures accurate, searchable records. The web application displays real-time rack status, making wine management faster, simpler, and scalable.</t>
  </si>
  <si>
    <t>Gustavo Castaneda-Lagunas, Ishita Prakash, Serena Chan, Srikar Gudipati, Victor Vargas</t>
  </si>
  <si>
    <t>CEE</t>
  </si>
  <si>
    <t>CEE-101</t>
  </si>
  <si>
    <t>Bioretention Cells</t>
  </si>
  <si>
    <t>Water and Wastewater Treatment</t>
  </si>
  <si>
    <t>Design of a bioretention cell and a system of bioretention cells to remove microplastics in stormwater at UC Merced</t>
  </si>
  <si>
    <t>Adrian Barajas, Kevin Dolores, Zion Maull, Angel Torres</t>
  </si>
  <si>
    <t>CEE-102</t>
  </si>
  <si>
    <t>Geomatic and Geospatial Technologies</t>
  </si>
  <si>
    <t>CITRIS</t>
  </si>
  <si>
    <t>ADA Curb Ramp Monitoring Compliance</t>
  </si>
  <si>
    <t>Using 3D laser scanning, as well as drone-based technologies, create a comprehensive geo-database and develop a technology-driven solution for monitoring compliance of curb ramps with ADA guidelines.</t>
  </si>
  <si>
    <t>Osmar Colin, Miguel Cruz, Nathan Hahn, Silvia Romero Garcia, Brennan Taylor</t>
  </si>
  <si>
    <t>CEE-103</t>
  </si>
  <si>
    <t>Experimental Smart Farm(ESF)</t>
  </si>
  <si>
    <t>ESF Planning &amp; Development Group</t>
  </si>
  <si>
    <t>Perched Aquifer Storage &amp; Recovery</t>
  </si>
  <si>
    <t>Develop and test the concept of acquiring winter floodwater from MID and storing it beneath the Experimental Smart Farm, on a perched aquifer for later use during dry conditions.</t>
  </si>
  <si>
    <t>William Linchey, Faroz Migadde, Christina Nguyen, Jenny Situ</t>
  </si>
  <si>
    <t>CEE-104</t>
  </si>
  <si>
    <t>Shade Structure</t>
  </si>
  <si>
    <t>Mariposa Trails</t>
  </si>
  <si>
    <t>Trails Shade Structure</t>
  </si>
  <si>
    <t>Design a shade structure for the Savage-Lundy trail that can accommodate four people with seating that uses local materials, has some emergency water storage, and has views of the valley</t>
  </si>
  <si>
    <t>Josiah Ajiake, Alex Cardenas, Derek Leung, Anthony Pedraza</t>
  </si>
  <si>
    <t>CEE-105</t>
  </si>
  <si>
    <t>Geotech</t>
  </si>
  <si>
    <t>Sustainable Building Foundation Design</t>
  </si>
  <si>
    <t>Design a mat foundation, type of shallow foundation, often used for buildings constructed on weak or compressible soils as they distribute loads across a large area and reduce settlement risks, for a proposed multi-story building in Merced, CA</t>
  </si>
  <si>
    <t>Andrea Jauregui, Isabel Mejia-Manzano, Lehuanani Pugal, Alisha Radick</t>
  </si>
  <si>
    <t>CEE-106</t>
  </si>
  <si>
    <t>Olivia Behm, Karanpartap Chahal, Jonathan Chavez, Ronan O'Connor</t>
  </si>
  <si>
    <t>CEE-107</t>
  </si>
  <si>
    <t>Rainwater Harvesting</t>
  </si>
  <si>
    <t>Fire Protection</t>
  </si>
  <si>
    <t>Design a rainwater harvesting system along with fire sprinklers that can be placed on rooftop and/or build defensible space.</t>
  </si>
  <si>
    <t>Andres Armenta, James Conroy, Enrique Madrigal, Hiram Perez-Barrera</t>
  </si>
  <si>
    <t>Break</t>
  </si>
  <si>
    <t>Room</t>
  </si>
  <si>
    <t>Zoom live</t>
  </si>
  <si>
    <t>Topic</t>
  </si>
  <si>
    <t>#</t>
  </si>
  <si>
    <t>Winner</t>
  </si>
  <si>
    <t>Zoom not live</t>
  </si>
  <si>
    <t>GLCR 160</t>
  </si>
  <si>
    <t>FoodTech</t>
  </si>
  <si>
    <t>CAP- 115: Chill-o-Watt</t>
  </si>
  <si>
    <t>GLCR 155</t>
  </si>
  <si>
    <t>AgTech</t>
  </si>
  <si>
    <t>CAP- 118: Built to Spill</t>
  </si>
  <si>
    <t>GLCR 150</t>
  </si>
  <si>
    <t>Lab</t>
  </si>
  <si>
    <t>CAP- 108: Spine Align Innovations</t>
  </si>
  <si>
    <t>GLCR 145</t>
  </si>
  <si>
    <t>CEE-405: Geotech</t>
  </si>
  <si>
    <t>GLCR 140</t>
  </si>
  <si>
    <t>Alan Turing</t>
  </si>
  <si>
    <t>CSE-331: The BART Simpsons</t>
  </si>
  <si>
    <t>GLCR 135</t>
  </si>
  <si>
    <t>Ada Lovelace</t>
  </si>
  <si>
    <t>CSE-323: Silantro Salesmen</t>
  </si>
  <si>
    <t>GLCR 125</t>
  </si>
  <si>
    <t>John von Neumann</t>
  </si>
  <si>
    <t>CSE-307: Survival</t>
  </si>
  <si>
    <t>GLCR 120</t>
  </si>
  <si>
    <t>Joan Clarke</t>
  </si>
  <si>
    <t>CSE-330: Count Tomato</t>
  </si>
  <si>
    <t>CAP-101</t>
  </si>
  <si>
    <t>Abstract-101</t>
  </si>
  <si>
    <t>CAP-102</t>
  </si>
  <si>
    <t>Abstract-102</t>
  </si>
  <si>
    <t>CAP-103</t>
  </si>
  <si>
    <t>Abstract-103</t>
  </si>
  <si>
    <t>CAP-104</t>
  </si>
  <si>
    <t>Abstract-104</t>
  </si>
  <si>
    <t>CAP-105</t>
  </si>
  <si>
    <t>Abstract-105</t>
  </si>
  <si>
    <t>CAP-106</t>
  </si>
  <si>
    <t>Abstract-106</t>
  </si>
  <si>
    <t>CAP-107</t>
  </si>
  <si>
    <t>Abstract-107</t>
  </si>
  <si>
    <t>CAP-108</t>
  </si>
  <si>
    <t>Abstract-108</t>
  </si>
  <si>
    <t>CAP-109</t>
  </si>
  <si>
    <t>Abstract-109</t>
  </si>
  <si>
    <t>CAP-110</t>
  </si>
  <si>
    <t>Abstract-110</t>
  </si>
  <si>
    <t>CAP-111</t>
  </si>
  <si>
    <t>Abstract-111</t>
  </si>
  <si>
    <t>CAP-112</t>
  </si>
  <si>
    <t>Abstract-112</t>
  </si>
  <si>
    <t>CAP-113</t>
  </si>
  <si>
    <t>Abstract-113</t>
  </si>
  <si>
    <t>CAP-114</t>
  </si>
  <si>
    <t>Abstract-114</t>
  </si>
  <si>
    <t>CAP-115</t>
  </si>
  <si>
    <t>Abstract-115</t>
  </si>
  <si>
    <t>CAP-116</t>
  </si>
  <si>
    <t>Abstract-116</t>
  </si>
  <si>
    <t>CAP-117</t>
  </si>
  <si>
    <t>Abstract-117</t>
  </si>
  <si>
    <t>CAP-118</t>
  </si>
  <si>
    <t>Abstract-119</t>
  </si>
  <si>
    <t>CAP-119</t>
  </si>
  <si>
    <t>Abstract-118</t>
  </si>
  <si>
    <t>CAP-120</t>
  </si>
  <si>
    <t>Abstract-120</t>
  </si>
  <si>
    <t>CAP-121</t>
  </si>
  <si>
    <t>Abstract-121</t>
  </si>
  <si>
    <t>Albert Trinh, JJ Verhoeven, kyle chun, Maria Gomez Mogollon, Patrick Vazquez</t>
  </si>
  <si>
    <t>CSE-301</t>
  </si>
  <si>
    <t>Abstract-301</t>
  </si>
  <si>
    <t>CSE-302</t>
  </si>
  <si>
    <t>Abstract-302</t>
  </si>
  <si>
    <t>CSE-303</t>
  </si>
  <si>
    <t>Abstract-303</t>
  </si>
  <si>
    <t>CSE-304</t>
  </si>
  <si>
    <t>Abstract-304</t>
  </si>
  <si>
    <t>CSE-305</t>
  </si>
  <si>
    <t>Abstract-305</t>
  </si>
  <si>
    <t>CSE-306</t>
  </si>
  <si>
    <t>Abstract-306</t>
  </si>
  <si>
    <t>CSE-307</t>
  </si>
  <si>
    <t>Abstract-307</t>
  </si>
  <si>
    <t>Elvis Miranda Garcia, Jason Jesudas, Jennifer Lugo, Lauren Lane, Quang Pham</t>
  </si>
  <si>
    <t>CSE-308</t>
  </si>
  <si>
    <t>Abstract-308</t>
  </si>
  <si>
    <t>Jaskaran Grewal, Jackie Recendez, Jordan Richard, Rameel Nazir, Simon Cremer</t>
  </si>
  <si>
    <t>CSE-309</t>
  </si>
  <si>
    <t>Abstract-309</t>
  </si>
  <si>
    <t>CSE-310</t>
  </si>
  <si>
    <t>Western Digital</t>
  </si>
  <si>
    <t>Abstract-310</t>
  </si>
  <si>
    <t>CSE-311</t>
  </si>
  <si>
    <t>Abstract-311</t>
  </si>
  <si>
    <t>CSE-312</t>
  </si>
  <si>
    <t>Abstract-312</t>
  </si>
  <si>
    <t>CSE-313</t>
  </si>
  <si>
    <t>Abstract-313</t>
  </si>
  <si>
    <t>CSE-314</t>
  </si>
  <si>
    <t>Abstract-314</t>
  </si>
  <si>
    <t>CSE-315</t>
  </si>
  <si>
    <t>Abstract-315</t>
  </si>
  <si>
    <t>Aren Aguila, Alex Titov, Andrew Woo, Ethan Villarosa, Jesus Hernandez Chairez</t>
  </si>
  <si>
    <t>CSE-316</t>
  </si>
  <si>
    <t>Abstract-316</t>
  </si>
  <si>
    <t>CSE-317</t>
  </si>
  <si>
    <t>Abstract-317</t>
  </si>
  <si>
    <t>CSE-318</t>
  </si>
  <si>
    <t>Abstract-318</t>
  </si>
  <si>
    <t>CSE-319</t>
  </si>
  <si>
    <t>Abstract-319</t>
  </si>
  <si>
    <t>CSE-320</t>
  </si>
  <si>
    <t>Abstract-320</t>
  </si>
  <si>
    <t>CSE-321</t>
  </si>
  <si>
    <t>Abstract-321</t>
  </si>
  <si>
    <t>Christian Mouanoutoua, Javier Gomez Llagaria, Julian Lee, Mathew Getachew, Velvet Eligio</t>
  </si>
  <si>
    <t>CSE-322</t>
  </si>
  <si>
    <t>Abstract-322</t>
  </si>
  <si>
    <t>CSE-323</t>
  </si>
  <si>
    <t>Abstract-323</t>
  </si>
  <si>
    <t>Aaron Romero, Danny Nguyen, Gerardo Leal Perez, Munir Khan, Ritika Sarpal</t>
  </si>
  <si>
    <t>CSE-324</t>
  </si>
  <si>
    <t>Abstract-324</t>
  </si>
  <si>
    <t>Bryant Olmos, Jesse Hernandez-Tovar, James Hoang, Luis Garibay, Richard Camacho</t>
  </si>
  <si>
    <t>CSE-325</t>
  </si>
  <si>
    <t>Abstract-325</t>
  </si>
  <si>
    <t>CSE-326</t>
  </si>
  <si>
    <t>Abstract-326</t>
  </si>
  <si>
    <t>Edward Campuzano, Elgin Li, Minea Dusanovic, Pascual Hernandez Lopez, Zeleke Rufael</t>
  </si>
  <si>
    <t>CSE-327</t>
  </si>
  <si>
    <t>Abstract-327</t>
  </si>
  <si>
    <t>CSE-328</t>
  </si>
  <si>
    <t>Abstract-328</t>
  </si>
  <si>
    <t>CSE-329</t>
  </si>
  <si>
    <t>Abstract-329</t>
  </si>
  <si>
    <t>CSE-330</t>
  </si>
  <si>
    <t>Abstract-330</t>
  </si>
  <si>
    <t>CSE-331</t>
  </si>
  <si>
    <t>Abstract-331</t>
  </si>
  <si>
    <t>CSE-332</t>
  </si>
  <si>
    <t>Abstract-332</t>
  </si>
  <si>
    <t>CSE-333</t>
  </si>
  <si>
    <t>Abstract-333</t>
  </si>
  <si>
    <t>Arvind Kumar, Raul Plascencia, Shreevatsan Arunkumar, Saman Bajpai, Vanessa Valle</t>
  </si>
  <si>
    <t>CSE-334</t>
  </si>
  <si>
    <t>Abstract-334</t>
  </si>
  <si>
    <t>Alexandre Ascencio-Hurtado, Garvin Wu, Lakshman Golla, Michos Cristobal, Noah Boyer Rosales</t>
  </si>
  <si>
    <t>CSE-335</t>
  </si>
  <si>
    <t>Abstract-335</t>
  </si>
  <si>
    <t>CSE-336</t>
  </si>
  <si>
    <t>Abstract-336</t>
  </si>
  <si>
    <t>Num Segments</t>
  </si>
  <si>
    <t>Senment Name</t>
  </si>
  <si>
    <t>Time</t>
  </si>
  <si>
    <t>Registration + Coffee - Gym</t>
  </si>
  <si>
    <t>Expo (Posters - Demos - Lunch) - Gym (no Zoom)</t>
  </si>
  <si>
    <t>Networking - Transition to Presentations</t>
  </si>
  <si>
    <t>Presentations - Glacier Point bldg. (see schedule for Rooms)</t>
  </si>
  <si>
    <t>Awards Ceremony + Reception - Gym</t>
  </si>
  <si>
    <t>Num Programs</t>
  </si>
  <si>
    <t>CAP Num Tracks</t>
  </si>
  <si>
    <t>CAP Length</t>
  </si>
  <si>
    <t>CAP Break</t>
  </si>
  <si>
    <t>CAP Break Pos</t>
  </si>
  <si>
    <t>CSE Num Tracks</t>
  </si>
  <si>
    <t>CSE Length</t>
  </si>
  <si>
    <t>CSE Break</t>
  </si>
  <si>
    <t>CSE Break Pos</t>
  </si>
  <si>
    <t>CEE Num Tracks</t>
  </si>
  <si>
    <t>CEE Length</t>
  </si>
  <si>
    <t>CEE Break</t>
  </si>
  <si>
    <t>CEE Break Pos</t>
  </si>
  <si>
    <t>Devices</t>
  </si>
  <si>
    <t>Precision</t>
  </si>
  <si>
    <t>GLCR 130</t>
  </si>
  <si>
    <t>Ag-Food</t>
  </si>
  <si>
    <t>Data</t>
  </si>
  <si>
    <t>Students-301</t>
  </si>
  <si>
    <t>Guillermo Roque    Jayden John    Jet Lin    Nihar Marar    Nicole Wu</t>
  </si>
  <si>
    <t>Students-302</t>
  </si>
  <si>
    <t>Elyas Yaqubi    Favian Gonzalez    Joshua Tapia    Noelia Sanchez    Nishad Yedunuthula</t>
  </si>
  <si>
    <t>Students-303</t>
  </si>
  <si>
    <t>Albert Shih    Cameron Gadalla    Ezequiel Carlos    Jeffrey Winters    Rohit Vedulla</t>
  </si>
  <si>
    <t>Students-304</t>
  </si>
  <si>
    <t>Bilal Adham    June Eguilos    Siddharth Krishna    Shri Nidhi    William Trantan</t>
  </si>
  <si>
    <t>Students-305</t>
  </si>
  <si>
    <t>Anas Saeed    Collin Chuang    Chandika Ramesh    Lucas Cabral    Ruchir Acharya</t>
  </si>
  <si>
    <t>Students-306</t>
  </si>
  <si>
    <t>Aliyy Seyalioglu    Kalea Knox    Marcelo Rodriguez Perez    Sandy Arredondo    Yahir Badillo</t>
  </si>
  <si>
    <t>Students-307</t>
  </si>
  <si>
    <t>Elvis Miranda Garcia    Jason Jesudas    Jennifer Lugo    Lauren Lane    Quang Pham</t>
  </si>
  <si>
    <t>Students-308</t>
  </si>
  <si>
    <t>Jaskaran Grewal    Jackie Recendez    Jordan Richard    Rameel Nazir    Simon Cremer</t>
  </si>
  <si>
    <t>Students-309</t>
  </si>
  <si>
    <t>Daniel Huynh    Emi Rueth    Ernesto Ruiz Hinkle    Marian Zuniga    Toshinori Oizumi</t>
  </si>
  <si>
    <t>Students-310</t>
  </si>
  <si>
    <t>Alfred Manongsong    Josh Edmon-Macias    Nicholas Bolano    Princess Thomas    Rahsaan Young Jones</t>
  </si>
  <si>
    <t>Students-311</t>
  </si>
  <si>
    <t>Anthony Rubick    Cole Harris    Dylan Baudhuin-Barrett    Eddie Lizarzaburu    Nickolas Salgado</t>
  </si>
  <si>
    <t>Students-312</t>
  </si>
  <si>
    <t>Aravind Balasubramaniam    Andrew Huezo    Alfonso Lopez    Emmanuel Velazquez    Anjali Yadav</t>
  </si>
  <si>
    <t>Students-313</t>
  </si>
  <si>
    <t>Jason Elcano    Juan Garcia    Luis Cortez    Miguel Diaz Alcaraz    Oscar Benitez</t>
  </si>
  <si>
    <t>Students-314</t>
  </si>
  <si>
    <t>Carlos Pastor Encarnacion    Edmund Chao    Ipsita Jain    Jose Lopez Hernandez    Lizbeth Perez</t>
  </si>
  <si>
    <t>Students-315</t>
  </si>
  <si>
    <t>Aren Aguila    Alex Titov    Andrew Woo    Ethan Villarosa    Jesus Hernandez Chairez</t>
  </si>
  <si>
    <t>Students-316</t>
  </si>
  <si>
    <t>Ana Hernandez-Ramirez    Emily Mondragon    Hubert Yu    Jesse Plummer    Zayd Andre</t>
  </si>
  <si>
    <t>Students-317</t>
  </si>
  <si>
    <t>Alton Chao    Akhil Devarasetty    Fernando Rodriguez Martinez    Ian Pagador    Vishal Venkateswaran</t>
  </si>
  <si>
    <t>Students-318</t>
  </si>
  <si>
    <t>Aditya Ghosh    Jasper Morgal    Shreyas Jain    Vaibhav Kumar    Zion Koundou</t>
  </si>
  <si>
    <t>Students-319</t>
  </si>
  <si>
    <t>Alex Lim    Connor Graham-Smith    Gabriel Diaz    Trisha Gundavelli    Yahir Mota</t>
  </si>
  <si>
    <t>Students-320</t>
  </si>
  <si>
    <t>Adit Khandelwal    Chiemerie Nwankwo    Kyle Reyes    kavyasree surapaneni    Roshan Manoranjan</t>
  </si>
  <si>
    <t>Students-321</t>
  </si>
  <si>
    <t>Christian Mouanoutoua    Javier Gomez Llagaria    Julian Lee    Mathew Getachew    Velvet Eligio</t>
  </si>
  <si>
    <t>Students-322</t>
  </si>
  <si>
    <t>Donnie Neale    Jason Chen    John Gabriele Espinosa    Kai Matsumoto    Leopoldo Ramirez</t>
  </si>
  <si>
    <t>Students-323</t>
  </si>
  <si>
    <t>Aaron Romero    Danny Nguyen    Gerardo Leal Perez    Munir Khan    Ritika Sarpal</t>
  </si>
  <si>
    <t>Students-324</t>
  </si>
  <si>
    <t>Bryant Olmos    Jesse Hernandez-Tovar    James Hoang    Luis Garibay    Richard Camacho</t>
  </si>
  <si>
    <t>Students-325</t>
  </si>
  <si>
    <t>David Gould    David San Pedro    Edward Lau    Henry Arinze    Mihir Kinjawadekar</t>
  </si>
  <si>
    <t>Students-326</t>
  </si>
  <si>
    <t>Edward Campuzano    Elgin Li    Minea Dusanovic    Pascual Hernandez Lopez    Zeleke Rufael</t>
  </si>
  <si>
    <t>Students-327</t>
  </si>
  <si>
    <t>Aryaan Mishra    Christopher Hernandez    Chase Nagle    Khushi Bagri    Shobhit Singh</t>
  </si>
  <si>
    <t>Students-328</t>
  </si>
  <si>
    <t>Ailisha Shukla    Fasha Lennon    Jaiveer Singh    Mabel Ixchop Lopez    Sahil Lokanandi</t>
  </si>
  <si>
    <t>Students-329</t>
  </si>
  <si>
    <t>Darlyn Isla    Juan Ramirez Arias    Miguel Espinoza    Uriel Martinez Jimenez    Wilson Chen</t>
  </si>
  <si>
    <t>Students-330</t>
  </si>
  <si>
    <t>Ali Adham    Guy Ben Zeev    Justin Ly    Jesus Ruvalcaba    Yu Liu</t>
  </si>
  <si>
    <t>Students-331</t>
  </si>
  <si>
    <t>Anvita Kisara    Anika Potu    Harsha Krishnaswamy    Josh Estrada    Kanishka Verose</t>
  </si>
  <si>
    <t>Students-332</t>
  </si>
  <si>
    <t>Anthony Cortez    Chandra Govindarajan    Harsh Patel    Krishn Patel    Sharath Sanagavarapu</t>
  </si>
  <si>
    <t>Students-333</t>
  </si>
  <si>
    <t>Arvind Kumar    Raul Plascencia    Shreevatsan Arunkumar    Saman Bajpai    Vanessa Valle</t>
  </si>
  <si>
    <t>Students-334</t>
  </si>
  <si>
    <t>Alexandre Ascencio-Hurtado    Garvin Wu    Lakshman Golla    Michos Cristobal    Noah Boyer Rosales</t>
  </si>
  <si>
    <t>Students-335</t>
  </si>
  <si>
    <t>Armando Sanchez    Harshini Nujella    Kalyani Binu Sindhu    Stephanie Lin    Vedant Sinha</t>
  </si>
  <si>
    <t>Students-336</t>
  </si>
  <si>
    <t>Gustavo Castaneda-Lagunas    Ishita Prakash    Serena Chan    Srikar Gudipati    Victor Vargas</t>
  </si>
  <si>
    <t>Students-101</t>
  </si>
  <si>
    <t>Alex Calderon    Alejandro Lopez-Vaca    Cody Cunningham    Neil Parkhi    Rafael Aguilar</t>
  </si>
  <si>
    <t>Students-102</t>
  </si>
  <si>
    <t>Andres Alanis    Estefany Ortiz    Elijah Samuel    Gabriel Romero Ponce    Marlon Romero</t>
  </si>
  <si>
    <t>Students-103</t>
  </si>
  <si>
    <t>Arjun Singh    Reagan Chan    Lindsey Tatsumi    Robert Abramov    Robert Dudkin</t>
  </si>
  <si>
    <t>Students-104</t>
  </si>
  <si>
    <t>Andrew Jimenez Salgado    Anthony Ramos    Gabriel Fogt    Ryan McCoy</t>
  </si>
  <si>
    <t>Students-105</t>
  </si>
  <si>
    <t>Angel Martinez    Ivan Young    Jason Cortez    Luis Colin    Shafat Ramim</t>
  </si>
  <si>
    <t>Students-106</t>
  </si>
  <si>
    <t>Alex Becerra    Jorge Barrera    Logan Adrian    Matthew Carr-Wallace    Yonathan Mesfin</t>
  </si>
  <si>
    <t>Students-107</t>
  </si>
  <si>
    <t>Chiho Luk    Daniel Lewis    Levi Williams    Omar Solis-Olivares    Saajun Atwal</t>
  </si>
  <si>
    <t>Students-108</t>
  </si>
  <si>
    <t>Alexia Salazar    Eric Brooks    Hope McFarland    Joseph Frankel    Mari Ramos Barroso</t>
  </si>
  <si>
    <t>Students-109</t>
  </si>
  <si>
    <t>Alejandro Cos Olivera    Alejandro Hernandez    Miguel Craven    Randall Maxey    Zoe Torres</t>
  </si>
  <si>
    <t>Students-110</t>
  </si>
  <si>
    <t>Alex Adame    Abraham Villalpando    Isaac Soria    Juan Alvarado    Joey Heald</t>
  </si>
  <si>
    <t>Students-111</t>
  </si>
  <si>
    <t>Ausar Cato    Blake Robinson-Singer    Krist Villacorta    Zephyr Le</t>
  </si>
  <si>
    <t>Students-112</t>
  </si>
  <si>
    <t>deborah argueta    Louiegail Nazareno    Oyinkansola Amao    Rodrigo Chavez Sermeno    Warren Flores</t>
  </si>
  <si>
    <t>Students-113</t>
  </si>
  <si>
    <t>Cristopher Villa    Jaylan Catacutan    Jason Fuentes    Noah Price    Scott Haynes</t>
  </si>
  <si>
    <t>Students-114</t>
  </si>
  <si>
    <t>Jesus De La Mora Herrera    Joevanni Estrada    Ricardo Garcia    Ryan Young    Samuel Wong</t>
  </si>
  <si>
    <t>Students-115</t>
  </si>
  <si>
    <t>Eduardo Santiago    Gabriel Diaz-De Niz    Melissa Araiza Mendoza    Raul Ramirez    Rachel Yu</t>
  </si>
  <si>
    <t>Students-116</t>
  </si>
  <si>
    <t>Alexei Josue    Behnam Engheta    Christian Aguilar    Cosme Cruz    Michael Gallegos</t>
  </si>
  <si>
    <t>Students-117</t>
  </si>
  <si>
    <t>Destiny Campos Lopez    Hakim Rahimy    Marcelo Correa Mimbela    Nicolas Banh    Zachary King</t>
  </si>
  <si>
    <t>Students-118</t>
  </si>
  <si>
    <t>Andrew Amavizca    Emmanuel Rabago Moreno    Jonathan Villanueva Torres    Joseph Sanchez    jersson silgado</t>
  </si>
  <si>
    <t>Students-119</t>
  </si>
  <si>
    <t>Alexandro Pioquinto    Fernando Moncayo    Landon Fife    Maria Enciso    Cody Gong</t>
  </si>
  <si>
    <t>Students-120</t>
  </si>
  <si>
    <t>Alan Kuang    Constantino Montenegro    Gordon Mui    Jose Vasquez-Reyes    Ryan Lee</t>
  </si>
  <si>
    <t>Students-121</t>
  </si>
  <si>
    <t>Albert Trinh    JJ Verhoeven    kyle chun    Maria Gomez Mogollon    Patrick Vazquez</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</si>
</sst>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h:mm am/pm"/>
  </numFmts>
  <fonts count="10">
    <font>
      <sz val="10.0"/>
      <color rgb="FF000000"/>
      <name val="Arial"/>
      <scheme val="minor"/>
    </font>
    <font>
      <b/>
      <sz val="9.0"/>
      <color rgb="FF000000"/>
      <name val="Arial"/>
    </font>
    <font>
      <sz val="9.0"/>
      <color rgb="FF000000"/>
      <name val="Arial"/>
    </font>
    <font>
      <sz val="9.0"/>
      <color rgb="FF000000"/>
      <name val="Arial"/>
      <scheme val="minor"/>
    </font>
    <font>
      <sz val="9.0"/>
      <color theme="1"/>
      <name val="Arial"/>
      <scheme val="minor"/>
    </font>
    <font>
      <sz val="9.0"/>
      <color theme="1"/>
      <name val="Arial"/>
    </font>
    <font>
      <sz val="9.0"/>
      <color rgb="FFDAA900"/>
      <name val="Arial"/>
    </font>
    <font>
      <b/>
      <sz val="9.0"/>
      <color theme="1"/>
      <name val="Arial"/>
    </font>
    <font>
      <color theme="1"/>
      <name val="Arial"/>
    </font>
    <font>
      <sz val="8.0"/>
      <color theme="1"/>
      <name val="Arial"/>
      <scheme val="minor"/>
    </font>
  </fonts>
  <fills count="16">
    <fill>
      <patternFill patternType="none"/>
    </fill>
    <fill>
      <patternFill patternType="lightGray"/>
    </fill>
    <fill>
      <patternFill patternType="solid">
        <fgColor rgb="FFFFFFFF"/>
        <bgColor rgb="FFFFFFFF"/>
      </patternFill>
    </fill>
    <fill>
      <patternFill patternType="solid">
        <fgColor rgb="FFB7B7B7"/>
        <bgColor rgb="FFB7B7B7"/>
      </patternFill>
    </fill>
    <fill>
      <patternFill patternType="solid">
        <fgColor rgb="FFDAA900"/>
        <bgColor rgb="FFDAA900"/>
      </patternFill>
    </fill>
    <fill>
      <patternFill patternType="solid">
        <fgColor rgb="FFF1C232"/>
        <bgColor rgb="FFF1C232"/>
      </patternFill>
    </fill>
    <fill>
      <patternFill patternType="solid">
        <fgColor rgb="FFFFD966"/>
        <bgColor rgb="FFFFD966"/>
      </patternFill>
    </fill>
    <fill>
      <patternFill patternType="solid">
        <fgColor rgb="FFFFE599"/>
        <bgColor rgb="FFFFE599"/>
      </patternFill>
    </fill>
    <fill>
      <patternFill patternType="solid">
        <fgColor rgb="FF0091B3"/>
        <bgColor rgb="FF0091B3"/>
      </patternFill>
    </fill>
    <fill>
      <patternFill patternType="solid">
        <fgColor rgb="FF002856"/>
        <bgColor rgb="FF002856"/>
      </patternFill>
    </fill>
    <fill>
      <patternFill patternType="solid">
        <fgColor rgb="FF073763"/>
        <bgColor rgb="FF073763"/>
      </patternFill>
    </fill>
    <fill>
      <patternFill patternType="solid">
        <fgColor rgb="FF0B5394"/>
        <bgColor rgb="FF0B5394"/>
      </patternFill>
    </fill>
    <fill>
      <patternFill patternType="solid">
        <fgColor rgb="FF3D85C6"/>
        <bgColor rgb="FF3D85C6"/>
      </patternFill>
    </fill>
    <fill>
      <patternFill patternType="solid">
        <fgColor rgb="FF6FA8DC"/>
        <bgColor rgb="FF6FA8DC"/>
      </patternFill>
    </fill>
    <fill>
      <patternFill patternType="solid">
        <fgColor rgb="FF7F6000"/>
        <bgColor rgb="FF7F6000"/>
      </patternFill>
    </fill>
    <fill>
      <patternFill patternType="solid">
        <fgColor rgb="FFBF9000"/>
        <bgColor rgb="FFBF9000"/>
      </patternFill>
    </fill>
  </fills>
  <borders count="1">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center" wrapText="0"/>
    </xf>
    <xf borderId="0" fillId="2" fontId="2" numFmtId="0" xfId="0" applyAlignment="1" applyFont="1">
      <alignment horizontal="left" readingOrder="0" shrinkToFit="0" vertical="center" wrapText="0"/>
    </xf>
    <xf borderId="0" fillId="2" fontId="3" numFmtId="0" xfId="0" applyAlignment="1" applyFont="1">
      <alignment horizontal="left" readingOrder="0" shrinkToFit="0" vertical="center" wrapText="0"/>
    </xf>
    <xf borderId="0" fillId="0" fontId="4" numFmtId="0" xfId="0" applyAlignment="1" applyFont="1">
      <alignment horizontal="left" readingOrder="0" shrinkToFit="0" vertical="center" wrapText="0"/>
    </xf>
    <xf borderId="0" fillId="3" fontId="1" numFmtId="0" xfId="0" applyAlignment="1" applyFill="1" applyFont="1">
      <alignment horizontal="left" shrinkToFit="0" vertical="center" wrapText="0"/>
    </xf>
    <xf borderId="0" fillId="0" fontId="5" numFmtId="0" xfId="0" applyAlignment="1" applyFont="1">
      <alignment horizontal="left" shrinkToFit="0" vertical="center" wrapText="0"/>
    </xf>
    <xf borderId="0" fillId="4" fontId="2" numFmtId="0" xfId="0" applyAlignment="1" applyFill="1" applyFont="1">
      <alignment horizontal="left" shrinkToFit="0" vertical="center" wrapText="0"/>
    </xf>
    <xf borderId="0" fillId="5" fontId="5" numFmtId="0" xfId="0" applyAlignment="1" applyFill="1" applyFont="1">
      <alignment horizontal="left" readingOrder="0" shrinkToFit="0" vertical="center" wrapText="0"/>
    </xf>
    <xf borderId="0" fillId="5"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6" fontId="5" numFmtId="0" xfId="0" applyAlignment="1" applyFill="1" applyFont="1">
      <alignment horizontal="left" readingOrder="0" shrinkToFit="0" vertical="center" wrapText="0"/>
    </xf>
    <xf borderId="0" fillId="6" fontId="2" numFmtId="0" xfId="0" applyAlignment="1" applyFont="1">
      <alignment horizontal="left" readingOrder="0" shrinkToFit="0" vertical="center" wrapText="0"/>
    </xf>
    <xf borderId="0" fillId="7" fontId="5" numFmtId="0" xfId="0" applyAlignment="1" applyFill="1" applyFont="1">
      <alignment horizontal="left" readingOrder="0" shrinkToFit="0" vertical="center" wrapText="0"/>
    </xf>
    <xf borderId="0" fillId="7" fontId="2" numFmtId="0" xfId="0" applyAlignment="1" applyFont="1">
      <alignment horizontal="left" readingOrder="0" shrinkToFit="0" vertical="center" wrapText="0"/>
    </xf>
    <xf borderId="0" fillId="8" fontId="2" numFmtId="0" xfId="0" applyAlignment="1" applyFill="1" applyFont="1">
      <alignment horizontal="left" shrinkToFit="0" vertical="center" wrapText="0"/>
    </xf>
    <xf borderId="0" fillId="8" fontId="2" numFmtId="0" xfId="0" applyAlignment="1" applyFont="1">
      <alignment horizontal="left" shrinkToFit="0" vertical="center" wrapText="0"/>
    </xf>
    <xf borderId="0" fillId="8" fontId="2" numFmtId="0" xfId="0" applyAlignment="1" applyFont="1">
      <alignment horizontal="left" readingOrder="0" shrinkToFit="0" vertical="center" wrapText="0"/>
    </xf>
    <xf borderId="0" fillId="9" fontId="6" numFmtId="0" xfId="0" applyAlignment="1" applyFill="1" applyFont="1">
      <alignment horizontal="left" shrinkToFit="0" vertical="center" wrapText="0"/>
    </xf>
    <xf borderId="0" fillId="10" fontId="6" numFmtId="0" xfId="0" applyAlignment="1" applyFill="1" applyFont="1">
      <alignment horizontal="left" readingOrder="0" shrinkToFit="0" vertical="center" wrapText="0"/>
    </xf>
    <xf borderId="0" fillId="11" fontId="6" numFmtId="0" xfId="0" applyAlignment="1" applyFill="1" applyFont="1">
      <alignment horizontal="left" readingOrder="0" shrinkToFit="0" vertical="center" wrapText="0"/>
    </xf>
    <xf borderId="0" fillId="12" fontId="6" numFmtId="0" xfId="0" applyAlignment="1" applyFill="1" applyFont="1">
      <alignment horizontal="left" readingOrder="0" shrinkToFit="0" vertical="center" wrapText="0"/>
    </xf>
    <xf borderId="0" fillId="13" fontId="6" numFmtId="0" xfId="0" applyAlignment="1" applyFill="1" applyFont="1">
      <alignment horizontal="left" readingOrder="0" shrinkToFit="0" vertical="center" wrapText="0"/>
    </xf>
    <xf borderId="0" fillId="3" fontId="5" numFmtId="0" xfId="0" applyAlignment="1" applyFont="1">
      <alignment horizontal="left" shrinkToFit="0" vertical="center" wrapText="0"/>
    </xf>
    <xf borderId="0" fillId="2" fontId="7" numFmtId="0" xfId="0" applyAlignment="1" applyFont="1">
      <alignment horizontal="left" readingOrder="0" shrinkToFit="0" vertical="center" wrapText="0"/>
    </xf>
    <xf borderId="0" fillId="2" fontId="5" numFmtId="0" xfId="0" applyAlignment="1" applyFont="1">
      <alignment horizontal="left" readingOrder="0" shrinkToFit="0" vertical="center" wrapText="0"/>
    </xf>
    <xf borderId="0" fillId="2" fontId="4" numFmtId="0" xfId="0" applyAlignment="1" applyFont="1">
      <alignment horizontal="left" readingOrder="0" shrinkToFit="0" vertical="center" wrapText="0"/>
    </xf>
    <xf borderId="0" fillId="3" fontId="1" numFmtId="0" xfId="0" applyAlignment="1" applyFont="1">
      <alignment horizontal="left" readingOrder="0" shrinkToFit="0" vertical="center" wrapText="0"/>
    </xf>
    <xf borderId="0" fillId="3" fontId="2" numFmtId="0" xfId="0" applyAlignment="1" applyFont="1">
      <alignment horizontal="left" readingOrder="0" shrinkToFit="0" vertical="center" wrapText="0"/>
    </xf>
    <xf borderId="0" fillId="3" fontId="2" numFmtId="20" xfId="0" applyAlignment="1" applyFont="1" applyNumberFormat="1">
      <alignment horizontal="left" readingOrder="0" shrinkToFit="0" vertical="center" wrapText="0"/>
    </xf>
    <xf borderId="0" fillId="3" fontId="2" numFmtId="164" xfId="0" applyAlignment="1" applyFont="1" applyNumberFormat="1">
      <alignment horizontal="left" readingOrder="0" shrinkToFit="0" vertical="center" wrapText="0"/>
    </xf>
    <xf borderId="0" fillId="2" fontId="2" numFmtId="0" xfId="0" applyAlignment="1" applyFont="1">
      <alignment horizontal="left" shrinkToFit="0" vertical="center" wrapText="0"/>
    </xf>
    <xf borderId="0" fillId="0" fontId="8" numFmtId="0" xfId="0" applyAlignment="1" applyFont="1">
      <alignment horizontal="left" vertical="center"/>
    </xf>
    <xf borderId="0" fillId="14" fontId="5" numFmtId="0" xfId="0" applyAlignment="1" applyFill="1" applyFont="1">
      <alignment horizontal="left" shrinkToFit="0" vertical="center" wrapText="0"/>
    </xf>
    <xf borderId="0" fillId="14" fontId="2" numFmtId="0" xfId="0" applyAlignment="1" applyFont="1">
      <alignment horizontal="left" readingOrder="0" shrinkToFit="0" vertical="center" wrapText="0"/>
    </xf>
    <xf borderId="0" fillId="0" fontId="5" numFmtId="0" xfId="0" applyAlignment="1" applyFont="1">
      <alignment horizontal="left" shrinkToFit="0" vertical="center" wrapText="0"/>
    </xf>
    <xf borderId="0" fillId="0" fontId="2" numFmtId="0" xfId="0" applyAlignment="1" applyFont="1">
      <alignment horizontal="left" shrinkToFit="0" vertical="center" wrapText="0"/>
    </xf>
    <xf borderId="0" fillId="15" fontId="5" numFmtId="0" xfId="0" applyAlignment="1" applyFill="1" applyFont="1">
      <alignment horizontal="left" shrinkToFit="0" vertical="center" wrapText="0"/>
    </xf>
    <xf borderId="0" fillId="15" fontId="2" numFmtId="0" xfId="0" applyAlignment="1" applyFont="1">
      <alignment horizontal="left" readingOrder="0" shrinkToFit="0" vertical="center" wrapText="0"/>
    </xf>
    <xf borderId="0" fillId="5" fontId="5" numFmtId="0" xfId="0" applyAlignment="1" applyFont="1">
      <alignment horizontal="left" shrinkToFit="0" vertical="center" wrapText="0"/>
    </xf>
    <xf borderId="0" fillId="6" fontId="5" numFmtId="0" xfId="0" applyAlignment="1" applyFont="1">
      <alignment horizontal="left" shrinkToFit="0" vertical="center" wrapText="0"/>
    </xf>
    <xf borderId="0" fillId="7" fontId="5" numFmtId="0" xfId="0" applyAlignment="1" applyFont="1">
      <alignment horizontal="left" shrinkToFit="0" vertical="center" wrapText="0"/>
    </xf>
    <xf borderId="0" fillId="10" fontId="6" numFmtId="0" xfId="0" applyAlignment="1" applyFont="1">
      <alignment horizontal="left" shrinkToFit="0" vertical="center" wrapText="0"/>
    </xf>
    <xf borderId="0" fillId="11" fontId="6" numFmtId="0" xfId="0" applyAlignment="1" applyFont="1">
      <alignment horizontal="left" shrinkToFit="0" vertical="center" wrapText="0"/>
    </xf>
    <xf borderId="0" fillId="12" fontId="6" numFmtId="0" xfId="0" applyAlignment="1" applyFont="1">
      <alignment horizontal="left" shrinkToFit="0" vertical="center" wrapText="0"/>
    </xf>
    <xf borderId="0" fillId="13" fontId="6" numFmtId="0" xfId="0" applyAlignment="1" applyFont="1">
      <alignment horizontal="left" shrinkToFit="0" vertical="center" wrapText="0"/>
    </xf>
    <xf borderId="0" fillId="3" fontId="8" numFmtId="0" xfId="0" applyAlignment="1" applyFont="1">
      <alignment horizontal="left" vertical="center"/>
    </xf>
    <xf borderId="0" fillId="0" fontId="9" numFmtId="0" xfId="0" applyAlignment="1" applyFont="1">
      <alignment readingOrder="0" shrinkToFit="0" vertical="center" wrapText="0"/>
    </xf>
    <xf borderId="0" fillId="0" fontId="9" numFmtId="0" xfId="0" applyAlignment="1" applyFont="1">
      <alignment shrinkToFit="0" vertical="center" wrapText="0"/>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8F9FA"/>
          <bgColor rgb="FFF8F9FA"/>
        </patternFill>
      </fill>
      <border/>
    </dxf>
  </dxfs>
  <tableStyles count="1">
    <tableStyle count="2" pivot="0" name=" 2025-I2G1-WEB-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F41:F80" displayName="Table_1" name="Table_1" id="1">
  <tableColumns count="1">
    <tableColumn name="Column1" id="1"/>
  </tableColumns>
  <tableStyleInfo name=" 2025-I2G1-WEB-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6.75"/>
    <col customWidth="1" min="3" max="3" width="15.38"/>
    <col customWidth="1" min="4" max="4" width="5.75"/>
    <col customWidth="1" min="5" max="5" width="10.25"/>
    <col customWidth="1" min="6" max="6" width="14.25"/>
    <col customWidth="1" min="7" max="7" width="16.0"/>
    <col customWidth="1" min="8" max="8" width="16.5"/>
    <col customWidth="1" min="9" max="9" width="11.5"/>
    <col customWidth="1" min="10" max="10" width="19.38"/>
    <col customWidth="1" min="11" max="11" width="36.38"/>
    <col customWidth="1" min="12" max="12" width="92.75"/>
  </cols>
  <sheetData>
    <row r="1" ht="18.75" customHeight="1">
      <c r="A1" s="1" t="s">
        <v>0</v>
      </c>
      <c r="B1" s="1" t="s">
        <v>1</v>
      </c>
      <c r="C1" s="1" t="s">
        <v>2</v>
      </c>
      <c r="D1" s="1" t="s">
        <v>3</v>
      </c>
      <c r="E1" s="1" t="s">
        <v>4</v>
      </c>
      <c r="F1" s="1" t="s">
        <v>5</v>
      </c>
      <c r="G1" s="1" t="s">
        <v>6</v>
      </c>
      <c r="H1" s="1" t="s">
        <v>7</v>
      </c>
      <c r="I1" s="1" t="s">
        <v>8</v>
      </c>
      <c r="J1" s="1" t="s">
        <v>9</v>
      </c>
      <c r="K1" s="1" t="s">
        <v>10</v>
      </c>
      <c r="L1" s="1" t="s">
        <v>11</v>
      </c>
    </row>
    <row r="2" ht="18.75" customHeight="1">
      <c r="A2" s="2">
        <v>1.0</v>
      </c>
      <c r="B2" s="2">
        <v>2.0</v>
      </c>
      <c r="C2" s="2" t="s">
        <v>12</v>
      </c>
      <c r="D2" s="2" t="s">
        <v>13</v>
      </c>
      <c r="E2" s="2">
        <v>101.0</v>
      </c>
      <c r="F2" s="2" t="s">
        <v>14</v>
      </c>
      <c r="G2" s="2" t="s">
        <v>15</v>
      </c>
      <c r="H2" s="2" t="s">
        <v>16</v>
      </c>
      <c r="I2" s="3" t="s">
        <v>17</v>
      </c>
      <c r="J2" s="2" t="s">
        <v>18</v>
      </c>
      <c r="K2" s="2" t="s">
        <v>19</v>
      </c>
      <c r="L2" s="2" t="str">
        <f t="shared" ref="L2:L76" si="1">"Team: " &amp; F2 &amp; "  -  Project: " &amp; G2</f>
        <v>Team: General Rotary and Professional Engineering  -  Project: Rotary Joint Testing System</v>
      </c>
    </row>
    <row r="3" ht="18.75" customHeight="1">
      <c r="A3" s="2">
        <v>1.0</v>
      </c>
      <c r="B3" s="2">
        <v>1.0</v>
      </c>
      <c r="C3" s="2" t="s">
        <v>12</v>
      </c>
      <c r="D3" s="2" t="s">
        <v>13</v>
      </c>
      <c r="E3" s="2">
        <v>102.0</v>
      </c>
      <c r="F3" s="2" t="s">
        <v>20</v>
      </c>
      <c r="G3" s="2" t="s">
        <v>21</v>
      </c>
      <c r="H3" s="2" t="s">
        <v>22</v>
      </c>
      <c r="I3" s="3" t="s">
        <v>17</v>
      </c>
      <c r="J3" s="2" t="s">
        <v>23</v>
      </c>
      <c r="K3" s="2" t="s">
        <v>24</v>
      </c>
      <c r="L3" s="2" t="str">
        <f t="shared" si="1"/>
        <v>Team: Processing Safety Innovations  -  Project: Cutting Deck Slicing Tray Cleaning Improvement</v>
      </c>
    </row>
    <row r="4" ht="18.75" customHeight="1">
      <c r="A4" s="2">
        <v>3.0</v>
      </c>
      <c r="B4" s="2">
        <v>1.0</v>
      </c>
      <c r="C4" s="2" t="s">
        <v>12</v>
      </c>
      <c r="D4" s="2" t="s">
        <v>13</v>
      </c>
      <c r="E4" s="2">
        <v>103.0</v>
      </c>
      <c r="F4" s="2" t="s">
        <v>25</v>
      </c>
      <c r="G4" s="2" t="s">
        <v>26</v>
      </c>
      <c r="H4" s="2" t="s">
        <v>27</v>
      </c>
      <c r="I4" s="3" t="s">
        <v>28</v>
      </c>
      <c r="J4" s="2" t="s">
        <v>29</v>
      </c>
      <c r="K4" s="2" t="s">
        <v>30</v>
      </c>
      <c r="L4" s="2" t="str">
        <f t="shared" si="1"/>
        <v>Team: Heart Harmonics  -  Project: Interstitial Fluid as a Proxy for Blood</v>
      </c>
    </row>
    <row r="5" ht="18.75" customHeight="1">
      <c r="A5" s="2">
        <v>3.0</v>
      </c>
      <c r="B5" s="2">
        <v>2.0</v>
      </c>
      <c r="C5" s="2" t="s">
        <v>12</v>
      </c>
      <c r="D5" s="2" t="s">
        <v>13</v>
      </c>
      <c r="E5" s="2">
        <v>104.0</v>
      </c>
      <c r="F5" s="2" t="s">
        <v>31</v>
      </c>
      <c r="G5" s="2" t="s">
        <v>26</v>
      </c>
      <c r="H5" s="2" t="s">
        <v>27</v>
      </c>
      <c r="I5" s="3" t="s">
        <v>28</v>
      </c>
      <c r="J5" s="2" t="s">
        <v>32</v>
      </c>
      <c r="K5" s="2" t="s">
        <v>33</v>
      </c>
      <c r="L5" s="2" t="str">
        <f t="shared" si="1"/>
        <v>Team: Cortisol-Troponin Scanners  -  Project: Interstitial Fluid as a Proxy for Blood</v>
      </c>
    </row>
    <row r="6" ht="18.75" customHeight="1">
      <c r="A6" s="2">
        <v>1.0</v>
      </c>
      <c r="B6" s="2">
        <v>3.0</v>
      </c>
      <c r="C6" s="2" t="s">
        <v>12</v>
      </c>
      <c r="D6" s="2" t="s">
        <v>13</v>
      </c>
      <c r="E6" s="2">
        <v>105.0</v>
      </c>
      <c r="F6" s="2" t="s">
        <v>34</v>
      </c>
      <c r="G6" s="2" t="s">
        <v>35</v>
      </c>
      <c r="H6" s="2" t="s">
        <v>16</v>
      </c>
      <c r="I6" s="3" t="s">
        <v>17</v>
      </c>
      <c r="J6" s="4" t="s">
        <v>36</v>
      </c>
      <c r="K6" s="2" t="s">
        <v>37</v>
      </c>
      <c r="L6" s="2" t="str">
        <f t="shared" si="1"/>
        <v>Team: Gallo Guardians  -  Project: Crash Bottle Sensor</v>
      </c>
    </row>
    <row r="7" ht="18.75" customHeight="1">
      <c r="A7" s="2">
        <v>1.0</v>
      </c>
      <c r="B7" s="2">
        <v>4.0</v>
      </c>
      <c r="C7" s="2" t="s">
        <v>12</v>
      </c>
      <c r="D7" s="2" t="s">
        <v>13</v>
      </c>
      <c r="E7" s="2">
        <v>106.0</v>
      </c>
      <c r="F7" s="2" t="s">
        <v>38</v>
      </c>
      <c r="G7" s="2" t="s">
        <v>35</v>
      </c>
      <c r="H7" s="2" t="s">
        <v>16</v>
      </c>
      <c r="I7" s="3" t="s">
        <v>17</v>
      </c>
      <c r="J7" s="2" t="s">
        <v>39</v>
      </c>
      <c r="K7" s="2" t="s">
        <v>40</v>
      </c>
      <c r="L7" s="2" t="str">
        <f t="shared" si="1"/>
        <v>Team: Cats that Wine  -  Project: Crash Bottle Sensor</v>
      </c>
    </row>
    <row r="8" ht="18.75" customHeight="1">
      <c r="A8" s="2">
        <v>2.0</v>
      </c>
      <c r="B8" s="2">
        <v>5.0</v>
      </c>
      <c r="C8" s="2" t="s">
        <v>12</v>
      </c>
      <c r="D8" s="2" t="s">
        <v>13</v>
      </c>
      <c r="E8" s="2">
        <v>107.0</v>
      </c>
      <c r="F8" s="2" t="s">
        <v>41</v>
      </c>
      <c r="G8" s="2" t="s">
        <v>42</v>
      </c>
      <c r="H8" s="2" t="s">
        <v>43</v>
      </c>
      <c r="I8" s="3" t="s">
        <v>44</v>
      </c>
      <c r="J8" s="2" t="s">
        <v>45</v>
      </c>
      <c r="K8" s="2" t="s">
        <v>46</v>
      </c>
      <c r="L8" s="2" t="str">
        <f t="shared" si="1"/>
        <v>Team: The Extrusion Crew  -  Project: Lab-scale Extruder for Rubber Processing</v>
      </c>
    </row>
    <row r="9" ht="18.75" customHeight="1">
      <c r="A9" s="2">
        <v>3.0</v>
      </c>
      <c r="B9" s="2">
        <v>3.0</v>
      </c>
      <c r="C9" s="2" t="s">
        <v>12</v>
      </c>
      <c r="D9" s="2" t="s">
        <v>13</v>
      </c>
      <c r="E9" s="2">
        <v>108.0</v>
      </c>
      <c r="F9" s="2" t="s">
        <v>47</v>
      </c>
      <c r="G9" s="2" t="s">
        <v>48</v>
      </c>
      <c r="H9" s="2" t="s">
        <v>49</v>
      </c>
      <c r="I9" s="3" t="s">
        <v>50</v>
      </c>
      <c r="J9" s="2" t="s">
        <v>51</v>
      </c>
      <c r="K9" s="2" t="s">
        <v>52</v>
      </c>
      <c r="L9" s="2" t="str">
        <f t="shared" si="1"/>
        <v>Team: Spine Align Innovations  -  Project: Laser Needle Treatment</v>
      </c>
    </row>
    <row r="10" ht="18.75" customHeight="1">
      <c r="A10" s="2">
        <v>3.0</v>
      </c>
      <c r="B10" s="2">
        <v>4.0</v>
      </c>
      <c r="C10" s="2" t="s">
        <v>12</v>
      </c>
      <c r="D10" s="2" t="s">
        <v>13</v>
      </c>
      <c r="E10" s="2">
        <v>109.0</v>
      </c>
      <c r="F10" s="2" t="s">
        <v>53</v>
      </c>
      <c r="G10" s="2" t="s">
        <v>48</v>
      </c>
      <c r="H10" s="2" t="s">
        <v>49</v>
      </c>
      <c r="I10" s="3" t="s">
        <v>50</v>
      </c>
      <c r="J10" s="2" t="s">
        <v>54</v>
      </c>
      <c r="K10" s="2" t="s">
        <v>55</v>
      </c>
      <c r="L10" s="2" t="str">
        <f t="shared" si="1"/>
        <v>Team: Yosemite Medical Technologies  -  Project: Laser Needle Treatment</v>
      </c>
    </row>
    <row r="11" ht="18.75" customHeight="1">
      <c r="A11" s="2">
        <v>1.0</v>
      </c>
      <c r="B11" s="2">
        <v>7.0</v>
      </c>
      <c r="C11" s="2" t="s">
        <v>12</v>
      </c>
      <c r="D11" s="2" t="s">
        <v>13</v>
      </c>
      <c r="E11" s="2">
        <v>110.0</v>
      </c>
      <c r="F11" s="2" t="s">
        <v>56</v>
      </c>
      <c r="G11" s="2" t="s">
        <v>57</v>
      </c>
      <c r="H11" s="2" t="s">
        <v>58</v>
      </c>
      <c r="I11" s="3" t="s">
        <v>59</v>
      </c>
      <c r="J11" s="2" t="s">
        <v>60</v>
      </c>
      <c r="K11" s="2" t="s">
        <v>61</v>
      </c>
      <c r="L11" s="2" t="str">
        <f t="shared" si="1"/>
        <v>Team: BTUtiful engineers  -  Project: HVAC Design Calculations</v>
      </c>
    </row>
    <row r="12" ht="18.75" customHeight="1">
      <c r="A12" s="2">
        <v>3.0</v>
      </c>
      <c r="B12" s="2">
        <v>5.0</v>
      </c>
      <c r="C12" s="2" t="s">
        <v>12</v>
      </c>
      <c r="D12" s="2" t="s">
        <v>13</v>
      </c>
      <c r="E12" s="2">
        <v>111.0</v>
      </c>
      <c r="F12" s="2" t="s">
        <v>62</v>
      </c>
      <c r="G12" s="2" t="s">
        <v>63</v>
      </c>
      <c r="H12" s="2" t="s">
        <v>49</v>
      </c>
      <c r="I12" s="3" t="s">
        <v>50</v>
      </c>
      <c r="J12" s="2" t="s">
        <v>64</v>
      </c>
      <c r="K12" s="2" t="s">
        <v>65</v>
      </c>
      <c r="L12" s="2" t="str">
        <f t="shared" si="1"/>
        <v>Team: Motorized Syringe Plunger  -  Project: Motorized Automatic Syringe Plunger (30 mL, 50 mL, 60 mL)</v>
      </c>
    </row>
    <row r="13" ht="18.75" customHeight="1">
      <c r="A13" s="2">
        <v>3.0</v>
      </c>
      <c r="B13" s="2">
        <v>6.0</v>
      </c>
      <c r="C13" s="2" t="s">
        <v>12</v>
      </c>
      <c r="D13" s="2" t="s">
        <v>13</v>
      </c>
      <c r="E13" s="2">
        <v>112.0</v>
      </c>
      <c r="F13" s="2" t="s">
        <v>66</v>
      </c>
      <c r="G13" s="2" t="s">
        <v>63</v>
      </c>
      <c r="H13" s="2" t="s">
        <v>49</v>
      </c>
      <c r="I13" s="3" t="s">
        <v>50</v>
      </c>
      <c r="J13" s="2" t="s">
        <v>67</v>
      </c>
      <c r="K13" s="2" t="s">
        <v>68</v>
      </c>
      <c r="L13" s="2" t="str">
        <f t="shared" si="1"/>
        <v>Team: Spring Assisted Syringe Plunger  -  Project: Motorized Automatic Syringe Plunger (30 mL, 50 mL, 60 mL)</v>
      </c>
    </row>
    <row r="14" ht="18.75" customHeight="1">
      <c r="A14" s="2">
        <v>2.0</v>
      </c>
      <c r="B14" s="2">
        <v>4.0</v>
      </c>
      <c r="C14" s="2" t="s">
        <v>12</v>
      </c>
      <c r="D14" s="2" t="s">
        <v>13</v>
      </c>
      <c r="E14" s="2">
        <v>113.0</v>
      </c>
      <c r="F14" s="2" t="s">
        <v>69</v>
      </c>
      <c r="G14" s="2" t="s">
        <v>70</v>
      </c>
      <c r="H14" s="2" t="s">
        <v>71</v>
      </c>
      <c r="I14" s="3" t="s">
        <v>17</v>
      </c>
      <c r="J14" s="2" t="s">
        <v>72</v>
      </c>
      <c r="K14" s="2" t="s">
        <v>73</v>
      </c>
      <c r="L14" s="2" t="str">
        <f t="shared" si="1"/>
        <v>Team: Pressed  -  Project: System to correctly position liner cardboard at bottom of the wooden bin</v>
      </c>
    </row>
    <row r="15" ht="18.75" customHeight="1">
      <c r="A15" s="2">
        <v>1.0</v>
      </c>
      <c r="B15" s="2">
        <v>6.0</v>
      </c>
      <c r="C15" s="2" t="s">
        <v>12</v>
      </c>
      <c r="D15" s="2" t="s">
        <v>13</v>
      </c>
      <c r="E15" s="2">
        <v>114.0</v>
      </c>
      <c r="F15" s="2" t="s">
        <v>74</v>
      </c>
      <c r="G15" s="2" t="s">
        <v>75</v>
      </c>
      <c r="H15" s="2" t="s">
        <v>76</v>
      </c>
      <c r="I15" s="3" t="s">
        <v>77</v>
      </c>
      <c r="J15" s="2" t="s">
        <v>78</v>
      </c>
      <c r="K15" s="2" t="s">
        <v>79</v>
      </c>
      <c r="L15" s="2" t="str">
        <f t="shared" si="1"/>
        <v>Team: Refrigretation Systems Analysis  -  Project: CO2 Refrigeration: Screw vs. Reciprocating</v>
      </c>
    </row>
    <row r="16" ht="18.75" customHeight="1">
      <c r="A16" s="2">
        <v>1.0</v>
      </c>
      <c r="B16" s="2">
        <v>5.0</v>
      </c>
      <c r="C16" s="2" t="s">
        <v>12</v>
      </c>
      <c r="D16" s="2" t="s">
        <v>13</v>
      </c>
      <c r="E16" s="2">
        <v>115.0</v>
      </c>
      <c r="F16" s="2" t="s">
        <v>80</v>
      </c>
      <c r="G16" s="2" t="s">
        <v>81</v>
      </c>
      <c r="H16" s="2" t="s">
        <v>76</v>
      </c>
      <c r="I16" s="3" t="s">
        <v>77</v>
      </c>
      <c r="J16" s="2" t="s">
        <v>82</v>
      </c>
      <c r="K16" s="2" t="s">
        <v>83</v>
      </c>
      <c r="L16" s="2" t="str">
        <f t="shared" si="1"/>
        <v>Team: Chill-o-Watt  -  Project: Customer Profile Power Calculator</v>
      </c>
    </row>
    <row r="17" ht="18.75" customHeight="1">
      <c r="A17" s="2">
        <v>2.0</v>
      </c>
      <c r="B17" s="2">
        <v>1.0</v>
      </c>
      <c r="C17" s="2" t="s">
        <v>12</v>
      </c>
      <c r="D17" s="2" t="s">
        <v>13</v>
      </c>
      <c r="E17" s="2">
        <v>116.0</v>
      </c>
      <c r="F17" s="2" t="s">
        <v>84</v>
      </c>
      <c r="G17" s="2" t="s">
        <v>85</v>
      </c>
      <c r="H17" s="2" t="s">
        <v>86</v>
      </c>
      <c r="I17" s="3" t="s">
        <v>17</v>
      </c>
      <c r="J17" s="2" t="s">
        <v>87</v>
      </c>
      <c r="K17" s="2" t="s">
        <v>88</v>
      </c>
      <c r="L17" s="2" t="str">
        <f t="shared" si="1"/>
        <v>Team: 116Mandarinnovators  -  Project: Mandarin Long Stem Solution</v>
      </c>
    </row>
    <row r="18" ht="18.75" customHeight="1">
      <c r="A18" s="2">
        <v>2.0</v>
      </c>
      <c r="B18" s="2">
        <v>2.0</v>
      </c>
      <c r="C18" s="2" t="s">
        <v>12</v>
      </c>
      <c r="D18" s="2" t="s">
        <v>13</v>
      </c>
      <c r="E18" s="2">
        <v>117.0</v>
      </c>
      <c r="F18" s="2" t="s">
        <v>89</v>
      </c>
      <c r="G18" s="2" t="s">
        <v>85</v>
      </c>
      <c r="H18" s="2" t="s">
        <v>86</v>
      </c>
      <c r="I18" s="3" t="s">
        <v>17</v>
      </c>
      <c r="J18" s="2" t="s">
        <v>90</v>
      </c>
      <c r="K18" s="2" t="s">
        <v>91</v>
      </c>
      <c r="L18" s="2" t="str">
        <f t="shared" si="1"/>
        <v>Team: Golden Glove  -  Project: Mandarin Long Stem Solution</v>
      </c>
    </row>
    <row r="19" ht="18.75" customHeight="1">
      <c r="A19" s="2">
        <v>2.0</v>
      </c>
      <c r="B19" s="2">
        <v>6.0</v>
      </c>
      <c r="C19" s="2" t="s">
        <v>12</v>
      </c>
      <c r="D19" s="2" t="s">
        <v>13</v>
      </c>
      <c r="E19" s="2">
        <v>118.0</v>
      </c>
      <c r="F19" s="2" t="s">
        <v>92</v>
      </c>
      <c r="G19" s="2" t="s">
        <v>93</v>
      </c>
      <c r="H19" s="2" t="s">
        <v>94</v>
      </c>
      <c r="I19" s="3" t="s">
        <v>59</v>
      </c>
      <c r="J19" s="2" t="s">
        <v>95</v>
      </c>
      <c r="K19" s="2" t="s">
        <v>96</v>
      </c>
      <c r="L19" s="2" t="str">
        <f t="shared" si="1"/>
        <v>Team: Built to Spill  -  Project: Solar powered, portable sensor that would detect when flood water reached a point and send a cell signal.</v>
      </c>
    </row>
    <row r="20" ht="18.75" customHeight="1">
      <c r="A20" s="2">
        <v>2.0</v>
      </c>
      <c r="B20" s="2">
        <v>3.0</v>
      </c>
      <c r="C20" s="2" t="s">
        <v>12</v>
      </c>
      <c r="D20" s="2" t="s">
        <v>13</v>
      </c>
      <c r="E20" s="2">
        <v>119.0</v>
      </c>
      <c r="F20" s="2" t="s">
        <v>97</v>
      </c>
      <c r="G20" s="2" t="s">
        <v>98</v>
      </c>
      <c r="H20" s="2" t="s">
        <v>99</v>
      </c>
      <c r="I20" s="3" t="s">
        <v>100</v>
      </c>
      <c r="J20" s="2" t="s">
        <v>101</v>
      </c>
      <c r="K20" s="2" t="s">
        <v>102</v>
      </c>
      <c r="L20" s="2" t="str">
        <f t="shared" si="1"/>
        <v>Team: Jujube and the Pits  -  Project: Small to Mid Scale Processing Equipment for Fresh Jujube Fruits</v>
      </c>
    </row>
    <row r="21" ht="18.75" customHeight="1">
      <c r="A21" s="2">
        <v>3.0</v>
      </c>
      <c r="B21" s="2">
        <v>7.0</v>
      </c>
      <c r="C21" s="2" t="s">
        <v>12</v>
      </c>
      <c r="D21" s="2" t="s">
        <v>13</v>
      </c>
      <c r="E21" s="2">
        <v>120.0</v>
      </c>
      <c r="F21" s="2" t="s">
        <v>103</v>
      </c>
      <c r="G21" s="2" t="s">
        <v>104</v>
      </c>
      <c r="H21" s="2" t="s">
        <v>71</v>
      </c>
      <c r="I21" s="3" t="s">
        <v>17</v>
      </c>
      <c r="J21" s="2" t="s">
        <v>105</v>
      </c>
      <c r="K21" s="2" t="s">
        <v>106</v>
      </c>
      <c r="L21" s="2" t="str">
        <f t="shared" si="1"/>
        <v>Team: Seal Team Five  -  Project: Semi-automated Foil Seal sorting, and measuring.</v>
      </c>
    </row>
    <row r="22" ht="18.75" customHeight="1">
      <c r="A22" s="2">
        <v>2.0</v>
      </c>
      <c r="B22" s="2">
        <v>7.0</v>
      </c>
      <c r="C22" s="2" t="s">
        <v>12</v>
      </c>
      <c r="D22" s="2" t="s">
        <v>13</v>
      </c>
      <c r="E22" s="2">
        <v>121.0</v>
      </c>
      <c r="F22" s="2" t="s">
        <v>107</v>
      </c>
      <c r="G22" s="2" t="s">
        <v>108</v>
      </c>
      <c r="H22" s="2" t="s">
        <v>109</v>
      </c>
      <c r="I22" s="3" t="s">
        <v>100</v>
      </c>
      <c r="J22" s="2" t="s">
        <v>110</v>
      </c>
      <c r="K22" s="2" t="s">
        <v>111</v>
      </c>
      <c r="L22" s="2" t="str">
        <f t="shared" si="1"/>
        <v>Team: Smooth Rollers  -  Project: Agricultural Implement for Planting Cover Crops under Vines or Trees</v>
      </c>
    </row>
    <row r="23" ht="18.75" customHeight="1">
      <c r="A23" s="2" t="s">
        <v>112</v>
      </c>
      <c r="B23" s="2"/>
      <c r="C23" s="2" t="s">
        <v>113</v>
      </c>
      <c r="D23" s="2" t="s">
        <v>13</v>
      </c>
      <c r="E23" s="2">
        <v>201.0</v>
      </c>
      <c r="F23" s="2" t="s">
        <v>114</v>
      </c>
      <c r="G23" s="2" t="s">
        <v>115</v>
      </c>
      <c r="H23" s="2" t="s">
        <v>116</v>
      </c>
      <c r="I23" s="3" t="s">
        <v>100</v>
      </c>
      <c r="J23" s="2" t="s">
        <v>117</v>
      </c>
      <c r="K23" s="2" t="s">
        <v>118</v>
      </c>
      <c r="L23" s="2" t="str">
        <f t="shared" si="1"/>
        <v>Team: CAP-201  -  Project: Smart Beetle Trap</v>
      </c>
    </row>
    <row r="24" ht="18.75" customHeight="1">
      <c r="A24" s="2" t="s">
        <v>112</v>
      </c>
      <c r="B24" s="2"/>
      <c r="C24" s="2" t="s">
        <v>113</v>
      </c>
      <c r="D24" s="2" t="s">
        <v>13</v>
      </c>
      <c r="E24" s="2">
        <v>202.0</v>
      </c>
      <c r="F24" s="2" t="s">
        <v>119</v>
      </c>
      <c r="G24" s="2" t="s">
        <v>120</v>
      </c>
      <c r="H24" s="2" t="s">
        <v>121</v>
      </c>
      <c r="I24" s="3" t="s">
        <v>77</v>
      </c>
      <c r="J24" s="2" t="s">
        <v>122</v>
      </c>
      <c r="K24" s="2" t="s">
        <v>123</v>
      </c>
      <c r="L24" s="2" t="str">
        <f t="shared" si="1"/>
        <v>Team: CAP-202  -  Project: Automated Seam Weld Sander</v>
      </c>
    </row>
    <row r="25" ht="18.75" customHeight="1">
      <c r="A25" s="2" t="s">
        <v>112</v>
      </c>
      <c r="B25" s="2"/>
      <c r="C25" s="2" t="s">
        <v>113</v>
      </c>
      <c r="D25" s="2" t="s">
        <v>13</v>
      </c>
      <c r="E25" s="2">
        <v>203.0</v>
      </c>
      <c r="F25" s="2" t="s">
        <v>124</v>
      </c>
      <c r="G25" s="2" t="s">
        <v>125</v>
      </c>
      <c r="H25" s="2" t="s">
        <v>126</v>
      </c>
      <c r="I25" s="3" t="s">
        <v>17</v>
      </c>
      <c r="J25" s="2" t="s">
        <v>127</v>
      </c>
      <c r="K25" s="2" t="s">
        <v>128</v>
      </c>
      <c r="L25" s="2" t="str">
        <f t="shared" si="1"/>
        <v>Team: CAP-203  -  Project: Continuous sterilization via ultra high intensity UV pulse light</v>
      </c>
    </row>
    <row r="26" ht="18.75" customHeight="1">
      <c r="A26" s="2" t="s">
        <v>112</v>
      </c>
      <c r="B26" s="2"/>
      <c r="C26" s="2" t="s">
        <v>113</v>
      </c>
      <c r="D26" s="2" t="s">
        <v>13</v>
      </c>
      <c r="E26" s="2">
        <v>204.0</v>
      </c>
      <c r="F26" s="2" t="s">
        <v>129</v>
      </c>
      <c r="G26" s="2" t="s">
        <v>130</v>
      </c>
      <c r="H26" s="2" t="s">
        <v>131</v>
      </c>
      <c r="I26" s="3" t="s">
        <v>132</v>
      </c>
      <c r="J26" s="2" t="s">
        <v>133</v>
      </c>
      <c r="K26" s="2" t="s">
        <v>134</v>
      </c>
      <c r="L26" s="2" t="str">
        <f t="shared" si="1"/>
        <v>Team: CAP-204  -  Project: The Perfect Cutter Drum</v>
      </c>
    </row>
    <row r="27" ht="18.75" customHeight="1">
      <c r="A27" s="2" t="s">
        <v>112</v>
      </c>
      <c r="B27" s="2"/>
      <c r="C27" s="2" t="s">
        <v>113</v>
      </c>
      <c r="D27" s="2" t="s">
        <v>13</v>
      </c>
      <c r="E27" s="2">
        <v>205.0</v>
      </c>
      <c r="F27" s="2" t="s">
        <v>135</v>
      </c>
      <c r="G27" s="2" t="s">
        <v>136</v>
      </c>
      <c r="H27" s="2" t="s">
        <v>137</v>
      </c>
      <c r="I27" s="3" t="s">
        <v>100</v>
      </c>
      <c r="J27" s="2" t="s">
        <v>138</v>
      </c>
      <c r="K27" s="2" t="s">
        <v>139</v>
      </c>
      <c r="L27" s="2" t="str">
        <f t="shared" si="1"/>
        <v>Team: CAP-205  -  Project: Horizontally Extractable Aeration System for Almond Drying</v>
      </c>
    </row>
    <row r="28" ht="18.75" customHeight="1">
      <c r="A28" s="2" t="s">
        <v>112</v>
      </c>
      <c r="B28" s="2"/>
      <c r="C28" s="2" t="s">
        <v>113</v>
      </c>
      <c r="D28" s="2" t="s">
        <v>13</v>
      </c>
      <c r="E28" s="2">
        <v>206.0</v>
      </c>
      <c r="F28" s="2" t="s">
        <v>140</v>
      </c>
      <c r="G28" s="2" t="s">
        <v>141</v>
      </c>
      <c r="H28" s="2" t="s">
        <v>49</v>
      </c>
      <c r="I28" s="3" t="s">
        <v>28</v>
      </c>
      <c r="J28" s="2" t="s">
        <v>142</v>
      </c>
      <c r="K28" s="2" t="s">
        <v>143</v>
      </c>
      <c r="L28" s="2" t="str">
        <f t="shared" si="1"/>
        <v>Team: CAP-206  -  Project: Expandable Screw</v>
      </c>
    </row>
    <row r="29" ht="18.75" customHeight="1">
      <c r="A29" s="2" t="s">
        <v>112</v>
      </c>
      <c r="B29" s="2"/>
      <c r="C29" s="2" t="s">
        <v>113</v>
      </c>
      <c r="D29" s="2" t="s">
        <v>13</v>
      </c>
      <c r="E29" s="2">
        <v>207.0</v>
      </c>
      <c r="F29" s="2" t="s">
        <v>144</v>
      </c>
      <c r="G29" s="2" t="s">
        <v>145</v>
      </c>
      <c r="H29" s="2" t="s">
        <v>146</v>
      </c>
      <c r="I29" s="3" t="s">
        <v>17</v>
      </c>
      <c r="J29" s="2" t="s">
        <v>147</v>
      </c>
      <c r="K29" s="2" t="s">
        <v>148</v>
      </c>
      <c r="L29" s="2" t="str">
        <f t="shared" si="1"/>
        <v>Team: CAP-207  -  Project: Paste Bin Washing</v>
      </c>
    </row>
    <row r="30" ht="18.75" customHeight="1">
      <c r="A30" s="2" t="s">
        <v>112</v>
      </c>
      <c r="B30" s="2"/>
      <c r="C30" s="2" t="s">
        <v>113</v>
      </c>
      <c r="D30" s="2" t="s">
        <v>13</v>
      </c>
      <c r="E30" s="2">
        <v>208.0</v>
      </c>
      <c r="F30" s="2" t="s">
        <v>149</v>
      </c>
      <c r="G30" s="2" t="s">
        <v>150</v>
      </c>
      <c r="H30" s="2" t="s">
        <v>151</v>
      </c>
      <c r="I30" s="3" t="s">
        <v>17</v>
      </c>
      <c r="J30" s="2" t="s">
        <v>152</v>
      </c>
      <c r="K30" s="2" t="s">
        <v>153</v>
      </c>
      <c r="L30" s="2" t="str">
        <f t="shared" si="1"/>
        <v>Team: CAP-208  -  Project: Tower Platform Height Process Optimization</v>
      </c>
    </row>
    <row r="31" ht="18.75" customHeight="1">
      <c r="A31" s="2" t="s">
        <v>112</v>
      </c>
      <c r="B31" s="2"/>
      <c r="C31" s="2" t="s">
        <v>113</v>
      </c>
      <c r="D31" s="2" t="s">
        <v>13</v>
      </c>
      <c r="E31" s="2">
        <v>209.0</v>
      </c>
      <c r="F31" s="2" t="s">
        <v>154</v>
      </c>
      <c r="G31" s="2" t="s">
        <v>155</v>
      </c>
      <c r="H31" s="2" t="s">
        <v>156</v>
      </c>
      <c r="I31" s="3" t="s">
        <v>17</v>
      </c>
      <c r="J31" s="2" t="s">
        <v>157</v>
      </c>
      <c r="K31" s="2" t="s">
        <v>158</v>
      </c>
      <c r="L31" s="2" t="str">
        <f t="shared" si="1"/>
        <v>Team: CAP-209  -  Project: Tank level control system</v>
      </c>
    </row>
    <row r="32" ht="18.75" customHeight="1">
      <c r="A32" s="2" t="s">
        <v>112</v>
      </c>
      <c r="B32" s="2"/>
      <c r="C32" s="2" t="s">
        <v>113</v>
      </c>
      <c r="D32" s="2" t="s">
        <v>13</v>
      </c>
      <c r="E32" s="2">
        <v>210.0</v>
      </c>
      <c r="F32" s="2" t="s">
        <v>159</v>
      </c>
      <c r="G32" s="2" t="s">
        <v>160</v>
      </c>
      <c r="H32" s="2" t="s">
        <v>161</v>
      </c>
      <c r="I32" s="3" t="s">
        <v>77</v>
      </c>
      <c r="J32" s="2" t="s">
        <v>162</v>
      </c>
      <c r="K32" s="2" t="s">
        <v>163</v>
      </c>
      <c r="L32" s="2" t="str">
        <f t="shared" si="1"/>
        <v>Team: CAP-210  -  Project: Tunnel Wind Power</v>
      </c>
    </row>
    <row r="33" ht="18.75" customHeight="1">
      <c r="A33" s="2" t="s">
        <v>112</v>
      </c>
      <c r="B33" s="2"/>
      <c r="C33" s="2" t="s">
        <v>113</v>
      </c>
      <c r="D33" s="2" t="s">
        <v>13</v>
      </c>
      <c r="E33" s="2">
        <v>211.0</v>
      </c>
      <c r="F33" s="2" t="s">
        <v>164</v>
      </c>
      <c r="G33" s="2" t="s">
        <v>165</v>
      </c>
      <c r="H33" s="2" t="s">
        <v>43</v>
      </c>
      <c r="I33" s="3" t="s">
        <v>166</v>
      </c>
      <c r="J33" s="2" t="s">
        <v>167</v>
      </c>
      <c r="K33" s="2" t="s">
        <v>168</v>
      </c>
      <c r="L33" s="2" t="str">
        <f t="shared" si="1"/>
        <v>Team: CAP-211  -  Project: Battery Workforce Challenge - Phase 2</v>
      </c>
    </row>
    <row r="34" ht="18.75" customHeight="1">
      <c r="A34" s="2">
        <v>8.0</v>
      </c>
      <c r="B34" s="2">
        <v>2.0</v>
      </c>
      <c r="C34" s="2" t="s">
        <v>12</v>
      </c>
      <c r="D34" s="2" t="s">
        <v>169</v>
      </c>
      <c r="E34" s="2">
        <v>301.0</v>
      </c>
      <c r="F34" s="2" t="s">
        <v>170</v>
      </c>
      <c r="G34" s="2" t="s">
        <v>171</v>
      </c>
      <c r="H34" s="2" t="s">
        <v>172</v>
      </c>
      <c r="I34" s="3" t="s">
        <v>28</v>
      </c>
      <c r="J34" s="2" t="s">
        <v>173</v>
      </c>
      <c r="K34" s="2" t="s">
        <v>174</v>
      </c>
      <c r="L34" s="2" t="str">
        <f t="shared" si="1"/>
        <v>Team: NeuroGEM  -  Project: Machine Learning framework for Traumatic Brain Injury genetic data</v>
      </c>
    </row>
    <row r="35" ht="18.75" customHeight="1">
      <c r="A35" s="2">
        <v>7.0</v>
      </c>
      <c r="B35" s="2">
        <v>5.0</v>
      </c>
      <c r="C35" s="2" t="s">
        <v>12</v>
      </c>
      <c r="D35" s="2" t="s">
        <v>169</v>
      </c>
      <c r="E35" s="2">
        <v>302.0</v>
      </c>
      <c r="F35" s="2" t="s">
        <v>175</v>
      </c>
      <c r="G35" s="2" t="s">
        <v>171</v>
      </c>
      <c r="H35" s="2" t="s">
        <v>172</v>
      </c>
      <c r="I35" s="3" t="s">
        <v>28</v>
      </c>
      <c r="J35" s="2" t="s">
        <v>176</v>
      </c>
      <c r="K35" s="2" t="s">
        <v>177</v>
      </c>
      <c r="L35" s="2" t="str">
        <f t="shared" si="1"/>
        <v>Team: GeneNETics  -  Project: Machine Learning framework for Traumatic Brain Injury genetic data</v>
      </c>
    </row>
    <row r="36" ht="18.75" customHeight="1">
      <c r="A36" s="2">
        <v>5.0</v>
      </c>
      <c r="B36" s="2">
        <v>10.0</v>
      </c>
      <c r="C36" s="2" t="s">
        <v>12</v>
      </c>
      <c r="D36" s="2" t="s">
        <v>169</v>
      </c>
      <c r="E36" s="2">
        <v>303.0</v>
      </c>
      <c r="F36" s="2" t="s">
        <v>178</v>
      </c>
      <c r="G36" s="2" t="s">
        <v>179</v>
      </c>
      <c r="H36" s="2" t="s">
        <v>172</v>
      </c>
      <c r="I36" s="3" t="s">
        <v>28</v>
      </c>
      <c r="J36" s="2" t="s">
        <v>180</v>
      </c>
      <c r="K36" s="2" t="s">
        <v>181</v>
      </c>
      <c r="L36" s="2" t="str">
        <f t="shared" si="1"/>
        <v>Team: Nexoma  -  Project: LLM model for health data - Phase 2</v>
      </c>
    </row>
    <row r="37" ht="18.75" customHeight="1">
      <c r="A37" s="2">
        <v>6.0</v>
      </c>
      <c r="B37" s="2">
        <v>8.0</v>
      </c>
      <c r="C37" s="2" t="s">
        <v>12</v>
      </c>
      <c r="D37" s="2" t="s">
        <v>169</v>
      </c>
      <c r="E37" s="2">
        <v>304.0</v>
      </c>
      <c r="F37" s="2" t="s">
        <v>182</v>
      </c>
      <c r="G37" s="2" t="s">
        <v>179</v>
      </c>
      <c r="H37" s="2" t="s">
        <v>172</v>
      </c>
      <c r="I37" s="3" t="s">
        <v>28</v>
      </c>
      <c r="J37" s="2" t="s">
        <v>183</v>
      </c>
      <c r="K37" s="2" t="s">
        <v>184</v>
      </c>
      <c r="L37" s="2" t="str">
        <f t="shared" si="1"/>
        <v>Team: Heartware Engineers  -  Project: LLM model for health data - Phase 2</v>
      </c>
    </row>
    <row r="38" ht="18.75" customHeight="1">
      <c r="A38" s="2">
        <v>6.0</v>
      </c>
      <c r="B38" s="2">
        <v>4.0</v>
      </c>
      <c r="C38" s="2" t="s">
        <v>12</v>
      </c>
      <c r="D38" s="2" t="s">
        <v>169</v>
      </c>
      <c r="E38" s="2">
        <v>305.0</v>
      </c>
      <c r="F38" s="2" t="s">
        <v>185</v>
      </c>
      <c r="G38" s="2" t="s">
        <v>186</v>
      </c>
      <c r="H38" s="2" t="s">
        <v>187</v>
      </c>
      <c r="I38" s="3" t="s">
        <v>59</v>
      </c>
      <c r="J38" s="2" t="s">
        <v>188</v>
      </c>
      <c r="K38" s="2" t="s">
        <v>189</v>
      </c>
      <c r="L38" s="2" t="str">
        <f t="shared" si="1"/>
        <v>Team: Project VITAL 💔  -  Project: Machine learning for cardiac electrophysiology</v>
      </c>
    </row>
    <row r="39" ht="18.75" customHeight="1">
      <c r="A39" s="2">
        <v>6.0</v>
      </c>
      <c r="B39" s="2">
        <v>2.0</v>
      </c>
      <c r="C39" s="2" t="s">
        <v>12</v>
      </c>
      <c r="D39" s="2" t="s">
        <v>169</v>
      </c>
      <c r="E39" s="2">
        <v>306.0</v>
      </c>
      <c r="F39" s="2" t="s">
        <v>190</v>
      </c>
      <c r="G39" s="2" t="s">
        <v>191</v>
      </c>
      <c r="H39" s="2" t="s">
        <v>192</v>
      </c>
      <c r="I39" s="3" t="s">
        <v>193</v>
      </c>
      <c r="J39" s="2" t="s">
        <v>194</v>
      </c>
      <c r="K39" s="2" t="s">
        <v>195</v>
      </c>
      <c r="L39" s="2" t="str">
        <f t="shared" si="1"/>
        <v>Team: Commit &amp; DROP  -  Project: Rapid Prototyping Services App</v>
      </c>
    </row>
    <row r="40" ht="18.75" customHeight="1">
      <c r="A40" s="2">
        <v>7.0</v>
      </c>
      <c r="B40" s="2">
        <v>1.0</v>
      </c>
      <c r="C40" s="2" t="s">
        <v>12</v>
      </c>
      <c r="D40" s="2" t="s">
        <v>169</v>
      </c>
      <c r="E40" s="2">
        <v>307.0</v>
      </c>
      <c r="F40" s="2" t="s">
        <v>196</v>
      </c>
      <c r="G40" s="2" t="s">
        <v>191</v>
      </c>
      <c r="H40" s="2" t="s">
        <v>192</v>
      </c>
      <c r="I40" s="3" t="s">
        <v>193</v>
      </c>
      <c r="J40" s="2" t="s">
        <v>197</v>
      </c>
      <c r="K40" s="2" t="s">
        <v>198</v>
      </c>
      <c r="L40" s="2" t="str">
        <f t="shared" si="1"/>
        <v>Team: Survival  -  Project: Rapid Prototyping Services App</v>
      </c>
    </row>
    <row r="41" ht="18.75" customHeight="1">
      <c r="A41" s="2">
        <v>5.0</v>
      </c>
      <c r="B41" s="2">
        <v>7.0</v>
      </c>
      <c r="C41" s="2" t="s">
        <v>12</v>
      </c>
      <c r="D41" s="2" t="s">
        <v>169</v>
      </c>
      <c r="E41" s="2">
        <v>308.0</v>
      </c>
      <c r="F41" s="2" t="s">
        <v>199</v>
      </c>
      <c r="G41" s="2" t="s">
        <v>200</v>
      </c>
      <c r="H41" s="2" t="s">
        <v>201</v>
      </c>
      <c r="I41" s="3" t="s">
        <v>50</v>
      </c>
      <c r="J41" s="2" t="s">
        <v>202</v>
      </c>
      <c r="K41" s="2" t="s">
        <v>203</v>
      </c>
      <c r="L41" s="2" t="str">
        <f t="shared" si="1"/>
        <v>Team: OldTimers  -  Project: Cognitive Tests Using Modern Mobile Game Technology</v>
      </c>
    </row>
    <row r="42" ht="18.75" customHeight="1">
      <c r="A42" s="2">
        <v>7.0</v>
      </c>
      <c r="B42" s="2">
        <v>2.0</v>
      </c>
      <c r="C42" s="2" t="s">
        <v>12</v>
      </c>
      <c r="D42" s="2" t="s">
        <v>169</v>
      </c>
      <c r="E42" s="2">
        <v>309.0</v>
      </c>
      <c r="F42" s="2" t="s">
        <v>204</v>
      </c>
      <c r="G42" s="2" t="s">
        <v>200</v>
      </c>
      <c r="H42" s="2" t="s">
        <v>201</v>
      </c>
      <c r="I42" s="3" t="s">
        <v>50</v>
      </c>
      <c r="J42" s="2" t="s">
        <v>205</v>
      </c>
      <c r="K42" s="2" t="s">
        <v>206</v>
      </c>
      <c r="L42" s="2" t="str">
        <f t="shared" si="1"/>
        <v>Team: Unified  -  Project: Cognitive Tests Using Modern Mobile Game Technology</v>
      </c>
    </row>
    <row r="43" ht="18.75" customHeight="1">
      <c r="A43" s="2">
        <v>5.0</v>
      </c>
      <c r="B43" s="2">
        <v>5.0</v>
      </c>
      <c r="C43" s="2" t="s">
        <v>12</v>
      </c>
      <c r="D43" s="2" t="s">
        <v>169</v>
      </c>
      <c r="E43" s="2">
        <v>310.0</v>
      </c>
      <c r="F43" s="2" t="s">
        <v>207</v>
      </c>
      <c r="G43" s="2" t="s">
        <v>208</v>
      </c>
      <c r="H43" s="2" t="s">
        <v>209</v>
      </c>
      <c r="I43" s="3" t="s">
        <v>210</v>
      </c>
      <c r="J43" s="2" t="s">
        <v>211</v>
      </c>
      <c r="K43" s="2" t="s">
        <v>212</v>
      </c>
      <c r="L43" s="2" t="str">
        <f t="shared" si="1"/>
        <v>Team: SAM-urai  -  Project: Advanced Image Analysis Platform based on Segment Anything Model (SAM)</v>
      </c>
    </row>
    <row r="44" ht="18.75" customHeight="1">
      <c r="A44" s="2">
        <v>8.0</v>
      </c>
      <c r="B44" s="2">
        <v>1.0</v>
      </c>
      <c r="C44" s="2" t="s">
        <v>12</v>
      </c>
      <c r="D44" s="2" t="s">
        <v>169</v>
      </c>
      <c r="E44" s="2">
        <v>311.0</v>
      </c>
      <c r="F44" s="2" t="s">
        <v>213</v>
      </c>
      <c r="G44" s="2" t="s">
        <v>208</v>
      </c>
      <c r="H44" s="2" t="s">
        <v>209</v>
      </c>
      <c r="I44" s="3" t="s">
        <v>210</v>
      </c>
      <c r="J44" s="2" t="s">
        <v>214</v>
      </c>
      <c r="K44" s="2" t="s">
        <v>215</v>
      </c>
      <c r="L44" s="2" t="str">
        <f t="shared" si="1"/>
        <v>Team: Digital Westerns  -  Project: Advanced Image Analysis Platform based on Segment Anything Model (SAM)</v>
      </c>
    </row>
    <row r="45" ht="18.75" customHeight="1">
      <c r="A45" s="2">
        <v>7.0</v>
      </c>
      <c r="B45" s="2">
        <v>3.0</v>
      </c>
      <c r="C45" s="2" t="s">
        <v>12</v>
      </c>
      <c r="D45" s="2" t="s">
        <v>169</v>
      </c>
      <c r="E45" s="2">
        <v>312.0</v>
      </c>
      <c r="F45" s="2" t="s">
        <v>216</v>
      </c>
      <c r="G45" s="2" t="s">
        <v>217</v>
      </c>
      <c r="H45" s="2" t="s">
        <v>126</v>
      </c>
      <c r="I45" s="3" t="s">
        <v>17</v>
      </c>
      <c r="J45" s="2" t="s">
        <v>218</v>
      </c>
      <c r="K45" s="2" t="s">
        <v>219</v>
      </c>
      <c r="L45" s="2" t="str">
        <f t="shared" si="1"/>
        <v>Team: TomatoVision  -  Project: Average size of tomatoes in trailer</v>
      </c>
    </row>
    <row r="46" ht="18.75" customHeight="1">
      <c r="A46" s="2">
        <v>5.0</v>
      </c>
      <c r="B46" s="2">
        <v>8.0</v>
      </c>
      <c r="C46" s="2" t="s">
        <v>12</v>
      </c>
      <c r="D46" s="2" t="s">
        <v>169</v>
      </c>
      <c r="E46" s="2">
        <v>313.0</v>
      </c>
      <c r="F46" s="2" t="s">
        <v>220</v>
      </c>
      <c r="G46" s="2" t="s">
        <v>217</v>
      </c>
      <c r="H46" s="2" t="s">
        <v>126</v>
      </c>
      <c r="I46" s="3" t="s">
        <v>17</v>
      </c>
      <c r="J46" s="2" t="s">
        <v>221</v>
      </c>
      <c r="K46" s="2" t="s">
        <v>222</v>
      </c>
      <c r="L46" s="2" t="str">
        <f t="shared" si="1"/>
        <v>Team: TomatoVisionaries  -  Project: Average size of tomatoes in trailer</v>
      </c>
    </row>
    <row r="47" ht="18.75" customHeight="1">
      <c r="A47" s="2">
        <v>6.0</v>
      </c>
      <c r="B47" s="2">
        <v>7.0</v>
      </c>
      <c r="C47" s="2" t="s">
        <v>12</v>
      </c>
      <c r="D47" s="2" t="s">
        <v>169</v>
      </c>
      <c r="E47" s="2">
        <v>314.0</v>
      </c>
      <c r="F47" s="2" t="s">
        <v>223</v>
      </c>
      <c r="G47" s="2" t="s">
        <v>224</v>
      </c>
      <c r="H47" s="2" t="s">
        <v>225</v>
      </c>
      <c r="I47" s="3" t="s">
        <v>17</v>
      </c>
      <c r="J47" s="2" t="s">
        <v>226</v>
      </c>
      <c r="K47" s="2" t="s">
        <v>227</v>
      </c>
      <c r="L47" s="2" t="str">
        <f t="shared" si="1"/>
        <v>Team: Ctrl+Alt+Feed  -  Project: SpoilSafe Monitor</v>
      </c>
    </row>
    <row r="48" ht="18.75" customHeight="1">
      <c r="A48" s="2">
        <v>8.0</v>
      </c>
      <c r="B48" s="2">
        <v>9.0</v>
      </c>
      <c r="C48" s="2" t="s">
        <v>12</v>
      </c>
      <c r="D48" s="2" t="s">
        <v>169</v>
      </c>
      <c r="E48" s="2">
        <v>315.0</v>
      </c>
      <c r="F48" s="2" t="s">
        <v>228</v>
      </c>
      <c r="G48" s="2" t="s">
        <v>224</v>
      </c>
      <c r="H48" s="2" t="s">
        <v>225</v>
      </c>
      <c r="I48" s="3" t="s">
        <v>17</v>
      </c>
      <c r="J48" s="2" t="s">
        <v>229</v>
      </c>
      <c r="K48" s="2" t="s">
        <v>230</v>
      </c>
      <c r="L48" s="2" t="str">
        <f t="shared" si="1"/>
        <v>Team: Snack Overflow  -  Project: SpoilSafe Monitor</v>
      </c>
    </row>
    <row r="49" ht="18.75" customHeight="1">
      <c r="A49" s="2">
        <v>6.0</v>
      </c>
      <c r="B49" s="2">
        <v>3.0</v>
      </c>
      <c r="C49" s="2" t="s">
        <v>12</v>
      </c>
      <c r="D49" s="2" t="s">
        <v>169</v>
      </c>
      <c r="E49" s="2">
        <v>316.0</v>
      </c>
      <c r="F49" s="2" t="s">
        <v>231</v>
      </c>
      <c r="G49" s="2" t="s">
        <v>232</v>
      </c>
      <c r="H49" s="2" t="s">
        <v>233</v>
      </c>
      <c r="I49" s="3" t="s">
        <v>234</v>
      </c>
      <c r="J49" s="2" t="s">
        <v>235</v>
      </c>
      <c r="K49" s="2" t="s">
        <v>236</v>
      </c>
      <c r="L49" s="2" t="str">
        <f t="shared" si="1"/>
        <v>Team: The Weather Watchers  -  Project: Developing an interface for gridded data products</v>
      </c>
    </row>
    <row r="50" ht="18.75" customHeight="1">
      <c r="A50" s="2">
        <v>7.0</v>
      </c>
      <c r="B50" s="2">
        <v>7.0</v>
      </c>
      <c r="C50" s="2" t="s">
        <v>12</v>
      </c>
      <c r="D50" s="2" t="s">
        <v>169</v>
      </c>
      <c r="E50" s="2">
        <v>317.0</v>
      </c>
      <c r="F50" s="2" t="s">
        <v>237</v>
      </c>
      <c r="G50" s="2" t="s">
        <v>238</v>
      </c>
      <c r="H50" s="2" t="s">
        <v>161</v>
      </c>
      <c r="I50" s="3" t="s">
        <v>77</v>
      </c>
      <c r="J50" s="2" t="s">
        <v>239</v>
      </c>
      <c r="K50" s="2" t="s">
        <v>240</v>
      </c>
      <c r="L50" s="2" t="str">
        <f t="shared" si="1"/>
        <v>Team: Trolley problem 🚝🤓  -  Project: BART Aerial Track Inspection</v>
      </c>
    </row>
    <row r="51" ht="18.75" customHeight="1">
      <c r="A51" s="2">
        <v>8.0</v>
      </c>
      <c r="B51" s="2">
        <v>3.0</v>
      </c>
      <c r="C51" s="2" t="s">
        <v>12</v>
      </c>
      <c r="D51" s="2" t="s">
        <v>169</v>
      </c>
      <c r="E51" s="2">
        <v>318.0</v>
      </c>
      <c r="F51" s="2" t="s">
        <v>241</v>
      </c>
      <c r="G51" s="2" t="s">
        <v>238</v>
      </c>
      <c r="H51" s="2" t="s">
        <v>161</v>
      </c>
      <c r="I51" s="3" t="s">
        <v>77</v>
      </c>
      <c r="J51" s="2" t="s">
        <v>242</v>
      </c>
      <c r="K51" s="2" t="s">
        <v>243</v>
      </c>
      <c r="L51" s="2" t="str">
        <f t="shared" si="1"/>
        <v>Team: Choo Choo, Railing Crew  -  Project: BART Aerial Track Inspection</v>
      </c>
    </row>
    <row r="52" ht="18.75" customHeight="1">
      <c r="A52" s="2">
        <v>8.0</v>
      </c>
      <c r="B52" s="2">
        <v>4.0</v>
      </c>
      <c r="C52" s="2" t="s">
        <v>12</v>
      </c>
      <c r="D52" s="2" t="s">
        <v>169</v>
      </c>
      <c r="E52" s="2">
        <v>319.0</v>
      </c>
      <c r="F52" s="2" t="s">
        <v>244</v>
      </c>
      <c r="G52" s="2" t="s">
        <v>245</v>
      </c>
      <c r="H52" s="2" t="s">
        <v>156</v>
      </c>
      <c r="I52" s="3" t="s">
        <v>17</v>
      </c>
      <c r="J52" s="2" t="s">
        <v>246</v>
      </c>
      <c r="K52" s="2" t="s">
        <v>247</v>
      </c>
      <c r="L52" s="2" t="str">
        <f t="shared" si="1"/>
        <v>Team: TestBot's Technicians  -  Project: Vehicle Mileage and Fuel Logging Application</v>
      </c>
    </row>
    <row r="53" ht="18.75" customHeight="1">
      <c r="A53" s="2">
        <v>5.0</v>
      </c>
      <c r="B53" s="2">
        <v>9.0</v>
      </c>
      <c r="C53" s="2" t="s">
        <v>12</v>
      </c>
      <c r="D53" s="2" t="s">
        <v>169</v>
      </c>
      <c r="E53" s="2">
        <v>320.0</v>
      </c>
      <c r="F53" s="2" t="s">
        <v>248</v>
      </c>
      <c r="G53" s="2" t="s">
        <v>245</v>
      </c>
      <c r="H53" s="2" t="s">
        <v>156</v>
      </c>
      <c r="I53" s="3" t="s">
        <v>17</v>
      </c>
      <c r="J53" s="2" t="s">
        <v>249</v>
      </c>
      <c r="K53" s="2" t="s">
        <v>250</v>
      </c>
      <c r="L53" s="2" t="str">
        <f t="shared" si="1"/>
        <v>Team: AgreFuel  -  Project: Vehicle Mileage and Fuel Logging Application</v>
      </c>
    </row>
    <row r="54" ht="18.75" customHeight="1">
      <c r="A54" s="2">
        <v>8.0</v>
      </c>
      <c r="B54" s="2">
        <v>10.0</v>
      </c>
      <c r="C54" s="2" t="s">
        <v>12</v>
      </c>
      <c r="D54" s="2" t="s">
        <v>169</v>
      </c>
      <c r="E54" s="2">
        <v>321.0</v>
      </c>
      <c r="F54" s="2" t="s">
        <v>251</v>
      </c>
      <c r="G54" s="2" t="s">
        <v>252</v>
      </c>
      <c r="H54" s="2" t="s">
        <v>151</v>
      </c>
      <c r="I54" s="3" t="s">
        <v>17</v>
      </c>
      <c r="J54" s="2" t="s">
        <v>253</v>
      </c>
      <c r="K54" s="2" t="s">
        <v>254</v>
      </c>
      <c r="L54" s="2" t="str">
        <f t="shared" si="1"/>
        <v>Team: Box Blokes  -  Project: Cheese Block Defect Detection</v>
      </c>
    </row>
    <row r="55" ht="18.75" customHeight="1">
      <c r="A55" s="2">
        <v>7.0</v>
      </c>
      <c r="B55" s="2">
        <v>4.0</v>
      </c>
      <c r="C55" s="2" t="s">
        <v>12</v>
      </c>
      <c r="D55" s="2" t="s">
        <v>169</v>
      </c>
      <c r="E55" s="2">
        <v>322.0</v>
      </c>
      <c r="F55" s="2" t="s">
        <v>255</v>
      </c>
      <c r="G55" s="2" t="s">
        <v>252</v>
      </c>
      <c r="H55" s="2" t="s">
        <v>151</v>
      </c>
      <c r="I55" s="3" t="s">
        <v>17</v>
      </c>
      <c r="J55" s="2" t="s">
        <v>256</v>
      </c>
      <c r="K55" s="2" t="s">
        <v>257</v>
      </c>
      <c r="L55" s="2" t="str">
        <f t="shared" si="1"/>
        <v>Team: Cheese Checkers  -  Project: Cheese Block Defect Detection</v>
      </c>
    </row>
    <row r="56" ht="18.75" customHeight="1">
      <c r="A56" s="2">
        <v>6.0</v>
      </c>
      <c r="B56" s="2">
        <v>5.0</v>
      </c>
      <c r="C56" s="2" t="s">
        <v>12</v>
      </c>
      <c r="D56" s="2" t="s">
        <v>169</v>
      </c>
      <c r="E56" s="2">
        <v>323.0</v>
      </c>
      <c r="F56" s="2" t="s">
        <v>258</v>
      </c>
      <c r="G56" s="2" t="s">
        <v>259</v>
      </c>
      <c r="H56" s="2" t="s">
        <v>260</v>
      </c>
      <c r="I56" s="3" t="s">
        <v>17</v>
      </c>
      <c r="J56" s="2" t="s">
        <v>261</v>
      </c>
      <c r="K56" s="2" t="s">
        <v>262</v>
      </c>
      <c r="L56" s="2" t="str">
        <f t="shared" si="1"/>
        <v>Team: Silantro Salesmen  -  Project: Crop Yield Estimation via Robotic Image Capture</v>
      </c>
    </row>
    <row r="57" ht="18.75" customHeight="1">
      <c r="A57" s="2">
        <v>8.0</v>
      </c>
      <c r="B57" s="2">
        <v>5.0</v>
      </c>
      <c r="C57" s="2" t="s">
        <v>12</v>
      </c>
      <c r="D57" s="2" t="s">
        <v>169</v>
      </c>
      <c r="E57" s="2">
        <v>324.0</v>
      </c>
      <c r="F57" s="3" t="s">
        <v>263</v>
      </c>
      <c r="G57" s="2" t="s">
        <v>264</v>
      </c>
      <c r="H57" s="2" t="s">
        <v>126</v>
      </c>
      <c r="I57" s="3" t="s">
        <v>17</v>
      </c>
      <c r="J57" s="2" t="s">
        <v>265</v>
      </c>
      <c r="K57" s="2" t="s">
        <v>266</v>
      </c>
      <c r="L57" s="2" t="str">
        <f t="shared" si="1"/>
        <v>Team: 🍅🦾 (Tomato Bot)  -  Project: Programming a robotic arm to weld parts</v>
      </c>
    </row>
    <row r="58" ht="18.75" customHeight="1">
      <c r="A58" s="2">
        <v>8.0</v>
      </c>
      <c r="B58" s="2">
        <v>8.0</v>
      </c>
      <c r="C58" s="2" t="s">
        <v>12</v>
      </c>
      <c r="D58" s="2" t="s">
        <v>169</v>
      </c>
      <c r="E58" s="2">
        <v>325.0</v>
      </c>
      <c r="F58" s="2" t="s">
        <v>267</v>
      </c>
      <c r="G58" s="2" t="s">
        <v>268</v>
      </c>
      <c r="H58" s="2" t="s">
        <v>269</v>
      </c>
      <c r="I58" s="3" t="s">
        <v>193</v>
      </c>
      <c r="J58" s="2" t="s">
        <v>270</v>
      </c>
      <c r="K58" s="2" t="s">
        <v>271</v>
      </c>
      <c r="L58" s="2" t="str">
        <f t="shared" si="1"/>
        <v>Team: 🥭MangoDB🥭  -  Project: Turning Search Results into Curated and Linked Information</v>
      </c>
    </row>
    <row r="59" ht="18.75" customHeight="1">
      <c r="A59" s="2">
        <v>6.0</v>
      </c>
      <c r="B59" s="2">
        <v>9.0</v>
      </c>
      <c r="C59" s="2" t="s">
        <v>12</v>
      </c>
      <c r="D59" s="2" t="s">
        <v>169</v>
      </c>
      <c r="E59" s="2">
        <v>326.0</v>
      </c>
      <c r="F59" s="2" t="s">
        <v>272</v>
      </c>
      <c r="G59" s="2" t="s">
        <v>268</v>
      </c>
      <c r="H59" s="2" t="s">
        <v>269</v>
      </c>
      <c r="I59" s="3" t="s">
        <v>193</v>
      </c>
      <c r="J59" s="2" t="s">
        <v>273</v>
      </c>
      <c r="K59" s="2" t="s">
        <v>274</v>
      </c>
      <c r="L59" s="2" t="str">
        <f t="shared" si="1"/>
        <v>Team: Ctrl+Curate  -  Project: Turning Search Results into Curated and Linked Information</v>
      </c>
    </row>
    <row r="60" ht="18.75" customHeight="1">
      <c r="A60" s="2">
        <v>5.0</v>
      </c>
      <c r="B60" s="2">
        <v>4.0</v>
      </c>
      <c r="C60" s="2" t="s">
        <v>12</v>
      </c>
      <c r="D60" s="2" t="s">
        <v>169</v>
      </c>
      <c r="E60" s="2">
        <v>327.0</v>
      </c>
      <c r="F60" s="2" t="s">
        <v>275</v>
      </c>
      <c r="G60" s="2" t="s">
        <v>276</v>
      </c>
      <c r="H60" s="2" t="s">
        <v>269</v>
      </c>
      <c r="I60" s="3" t="s">
        <v>193</v>
      </c>
      <c r="J60" s="2" t="s">
        <v>277</v>
      </c>
      <c r="K60" s="2" t="s">
        <v>278</v>
      </c>
      <c r="L60" s="2" t="str">
        <f t="shared" si="1"/>
        <v>Team: Connectwork  -  Project: Networking Engagement - Information Capture and Aggregation App</v>
      </c>
    </row>
    <row r="61" ht="18.75" customHeight="1">
      <c r="A61" s="2">
        <v>7.0</v>
      </c>
      <c r="B61" s="2">
        <v>10.0</v>
      </c>
      <c r="C61" s="2" t="s">
        <v>12</v>
      </c>
      <c r="D61" s="2" t="s">
        <v>169</v>
      </c>
      <c r="E61" s="2">
        <v>328.0</v>
      </c>
      <c r="F61" s="2" t="s">
        <v>279</v>
      </c>
      <c r="G61" s="2" t="s">
        <v>276</v>
      </c>
      <c r="H61" s="2" t="s">
        <v>269</v>
      </c>
      <c r="I61" s="3" t="s">
        <v>193</v>
      </c>
      <c r="J61" s="2" t="s">
        <v>280</v>
      </c>
      <c r="K61" s="2" t="s">
        <v>281</v>
      </c>
      <c r="L61" s="2" t="str">
        <f t="shared" si="1"/>
        <v>Team: ConnecTek  -  Project: Networking Engagement - Information Capture and Aggregation App</v>
      </c>
    </row>
    <row r="62" ht="18.75" customHeight="1">
      <c r="A62" s="2">
        <v>6.0</v>
      </c>
      <c r="B62" s="2">
        <v>1.0</v>
      </c>
      <c r="C62" s="2" t="s">
        <v>12</v>
      </c>
      <c r="D62" s="2" t="s">
        <v>169</v>
      </c>
      <c r="E62" s="2">
        <v>329.0</v>
      </c>
      <c r="F62" s="2" t="s">
        <v>282</v>
      </c>
      <c r="G62" s="2" t="s">
        <v>283</v>
      </c>
      <c r="H62" s="2" t="s">
        <v>126</v>
      </c>
      <c r="I62" s="3" t="s">
        <v>17</v>
      </c>
      <c r="J62" s="2" t="s">
        <v>284</v>
      </c>
      <c r="K62" s="2" t="s">
        <v>285</v>
      </c>
      <c r="L62" s="2" t="str">
        <f t="shared" si="1"/>
        <v>Team: Sprout &amp; Count  -  Project: Plant Counting Program</v>
      </c>
    </row>
    <row r="63" ht="18.75" customHeight="1">
      <c r="A63" s="2">
        <v>8.0</v>
      </c>
      <c r="B63" s="2">
        <v>7.0</v>
      </c>
      <c r="C63" s="2" t="s">
        <v>12</v>
      </c>
      <c r="D63" s="2" t="s">
        <v>169</v>
      </c>
      <c r="E63" s="2">
        <v>330.0</v>
      </c>
      <c r="F63" s="2" t="s">
        <v>286</v>
      </c>
      <c r="G63" s="2" t="s">
        <v>283</v>
      </c>
      <c r="H63" s="2" t="s">
        <v>126</v>
      </c>
      <c r="I63" s="3" t="s">
        <v>17</v>
      </c>
      <c r="J63" s="2" t="s">
        <v>287</v>
      </c>
      <c r="K63" s="2" t="s">
        <v>288</v>
      </c>
      <c r="L63" s="2" t="str">
        <f t="shared" si="1"/>
        <v>Team: Count Tomato  -  Project: Plant Counting Program</v>
      </c>
    </row>
    <row r="64" ht="18.75" customHeight="1">
      <c r="A64" s="2">
        <v>5.0</v>
      </c>
      <c r="B64" s="2">
        <v>3.0</v>
      </c>
      <c r="C64" s="2" t="s">
        <v>12</v>
      </c>
      <c r="D64" s="2" t="s">
        <v>169</v>
      </c>
      <c r="E64" s="2">
        <v>331.0</v>
      </c>
      <c r="F64" s="2" t="s">
        <v>289</v>
      </c>
      <c r="G64" s="2" t="s">
        <v>238</v>
      </c>
      <c r="H64" s="2" t="s">
        <v>161</v>
      </c>
      <c r="I64" s="3" t="s">
        <v>77</v>
      </c>
      <c r="J64" s="2" t="s">
        <v>290</v>
      </c>
      <c r="K64" s="2" t="s">
        <v>291</v>
      </c>
      <c r="L64" s="2" t="str">
        <f t="shared" si="1"/>
        <v>Team: The BART Simpsons  -  Project: BART Aerial Track Inspection</v>
      </c>
    </row>
    <row r="65" ht="18.75" customHeight="1">
      <c r="A65" s="2">
        <v>6.0</v>
      </c>
      <c r="B65" s="2">
        <v>10.0</v>
      </c>
      <c r="C65" s="2" t="s">
        <v>12</v>
      </c>
      <c r="D65" s="2" t="s">
        <v>169</v>
      </c>
      <c r="E65" s="2">
        <v>332.0</v>
      </c>
      <c r="F65" s="2" t="s">
        <v>292</v>
      </c>
      <c r="G65" s="2" t="s">
        <v>293</v>
      </c>
      <c r="H65" s="2" t="s">
        <v>161</v>
      </c>
      <c r="I65" s="3" t="s">
        <v>77</v>
      </c>
      <c r="J65" s="2" t="s">
        <v>294</v>
      </c>
      <c r="K65" s="2" t="s">
        <v>295</v>
      </c>
      <c r="L65" s="2" t="str">
        <f t="shared" si="1"/>
        <v>Team: The Wayfinders  -  Project: Assistive Wayfinding for BART Stations</v>
      </c>
    </row>
    <row r="66" ht="18.75" customHeight="1">
      <c r="A66" s="2">
        <v>7.0</v>
      </c>
      <c r="B66" s="2">
        <v>9.0</v>
      </c>
      <c r="C66" s="2" t="s">
        <v>12</v>
      </c>
      <c r="D66" s="2" t="s">
        <v>169</v>
      </c>
      <c r="E66" s="2">
        <v>333.0</v>
      </c>
      <c r="F66" s="2" t="s">
        <v>296</v>
      </c>
      <c r="G66" s="2" t="s">
        <v>297</v>
      </c>
      <c r="H66" s="2" t="s">
        <v>298</v>
      </c>
      <c r="I66" s="3" t="s">
        <v>59</v>
      </c>
      <c r="J66" s="2" t="s">
        <v>299</v>
      </c>
      <c r="K66" s="2" t="s">
        <v>300</v>
      </c>
      <c r="L66" s="2" t="str">
        <f t="shared" si="1"/>
        <v>Team: The Lucky 3's  -  Project: Cloud sync engine</v>
      </c>
    </row>
    <row r="67" ht="18.75" customHeight="1">
      <c r="A67" s="2">
        <v>5.0</v>
      </c>
      <c r="B67" s="2">
        <v>2.0</v>
      </c>
      <c r="C67" s="2" t="s">
        <v>12</v>
      </c>
      <c r="D67" s="2" t="s">
        <v>169</v>
      </c>
      <c r="E67" s="2">
        <v>334.0</v>
      </c>
      <c r="F67" s="2" t="s">
        <v>301</v>
      </c>
      <c r="G67" s="2" t="s">
        <v>297</v>
      </c>
      <c r="H67" s="2" t="s">
        <v>298</v>
      </c>
      <c r="I67" s="3" t="s">
        <v>59</v>
      </c>
      <c r="J67" s="2" t="s">
        <v>302</v>
      </c>
      <c r="K67" s="2" t="s">
        <v>303</v>
      </c>
      <c r="L67" s="2" t="str">
        <f t="shared" si="1"/>
        <v>Team: 𝑩𝒊𝒈   ͩ ͣ ͭ ͣ  -  Project: Cloud sync engine</v>
      </c>
    </row>
    <row r="68" ht="18.75" customHeight="1">
      <c r="A68" s="2">
        <v>5.0</v>
      </c>
      <c r="B68" s="2">
        <v>1.0</v>
      </c>
      <c r="C68" s="2" t="s">
        <v>12</v>
      </c>
      <c r="D68" s="2" t="s">
        <v>169</v>
      </c>
      <c r="E68" s="2">
        <v>335.0</v>
      </c>
      <c r="F68" s="2" t="s">
        <v>304</v>
      </c>
      <c r="G68" s="2" t="s">
        <v>305</v>
      </c>
      <c r="H68" s="2" t="s">
        <v>306</v>
      </c>
      <c r="I68" s="3" t="s">
        <v>132</v>
      </c>
      <c r="J68" s="2" t="s">
        <v>307</v>
      </c>
      <c r="K68" s="2" t="s">
        <v>308</v>
      </c>
      <c r="L68" s="2" t="str">
        <f t="shared" si="1"/>
        <v>Team: Aged to Perfection  -  Project: Wine Inventory Management Using Machine Vision</v>
      </c>
    </row>
    <row r="69" ht="18.75" customHeight="1">
      <c r="A69" s="2">
        <v>7.0</v>
      </c>
      <c r="B69" s="2">
        <v>8.0</v>
      </c>
      <c r="C69" s="2" t="s">
        <v>12</v>
      </c>
      <c r="D69" s="2" t="s">
        <v>169</v>
      </c>
      <c r="E69" s="2">
        <v>336.0</v>
      </c>
      <c r="F69" s="2" t="s">
        <v>309</v>
      </c>
      <c r="G69" s="2" t="s">
        <v>305</v>
      </c>
      <c r="H69" s="2" t="s">
        <v>306</v>
      </c>
      <c r="I69" s="3" t="s">
        <v>132</v>
      </c>
      <c r="J69" s="2" t="s">
        <v>310</v>
      </c>
      <c r="K69" s="2" t="s">
        <v>311</v>
      </c>
      <c r="L69" s="2" t="str">
        <f t="shared" si="1"/>
        <v>Team: Full Rack  -  Project: Wine Inventory Management Using Machine Vision</v>
      </c>
    </row>
    <row r="70" ht="18.75" customHeight="1">
      <c r="A70" s="2">
        <v>4.0</v>
      </c>
      <c r="B70" s="2">
        <v>1.0</v>
      </c>
      <c r="C70" s="2" t="s">
        <v>12</v>
      </c>
      <c r="D70" s="2" t="s">
        <v>312</v>
      </c>
      <c r="E70" s="2">
        <v>401.0</v>
      </c>
      <c r="F70" s="2" t="s">
        <v>313</v>
      </c>
      <c r="G70" s="2" t="s">
        <v>314</v>
      </c>
      <c r="H70" s="2" t="s">
        <v>43</v>
      </c>
      <c r="I70" s="2" t="s">
        <v>315</v>
      </c>
      <c r="J70" s="2" t="s">
        <v>316</v>
      </c>
      <c r="K70" s="2" t="s">
        <v>317</v>
      </c>
      <c r="L70" s="2" t="str">
        <f t="shared" si="1"/>
        <v>Team: CEE-101  -  Project: Bioretention Cells</v>
      </c>
    </row>
    <row r="71" ht="18.75" customHeight="1">
      <c r="A71" s="2">
        <v>4.0</v>
      </c>
      <c r="B71" s="2">
        <v>2.0</v>
      </c>
      <c r="C71" s="2" t="s">
        <v>12</v>
      </c>
      <c r="D71" s="2" t="s">
        <v>312</v>
      </c>
      <c r="E71" s="2">
        <v>402.0</v>
      </c>
      <c r="F71" s="2" t="s">
        <v>318</v>
      </c>
      <c r="G71" s="2" t="s">
        <v>319</v>
      </c>
      <c r="H71" s="2" t="s">
        <v>320</v>
      </c>
      <c r="I71" s="2" t="s">
        <v>321</v>
      </c>
      <c r="J71" s="2" t="s">
        <v>322</v>
      </c>
      <c r="K71" s="2" t="s">
        <v>323</v>
      </c>
      <c r="L71" s="2" t="str">
        <f t="shared" si="1"/>
        <v>Team: CEE-102  -  Project: Geomatic and Geospatial Technologies</v>
      </c>
    </row>
    <row r="72" ht="18.75" customHeight="1">
      <c r="A72" s="2">
        <v>4.0</v>
      </c>
      <c r="B72" s="2">
        <v>3.0</v>
      </c>
      <c r="C72" s="2" t="s">
        <v>12</v>
      </c>
      <c r="D72" s="2" t="s">
        <v>312</v>
      </c>
      <c r="E72" s="2">
        <v>403.0</v>
      </c>
      <c r="F72" s="2" t="s">
        <v>324</v>
      </c>
      <c r="G72" s="2" t="s">
        <v>325</v>
      </c>
      <c r="H72" s="2" t="s">
        <v>326</v>
      </c>
      <c r="I72" s="2" t="s">
        <v>327</v>
      </c>
      <c r="J72" s="2" t="s">
        <v>328</v>
      </c>
      <c r="K72" s="2" t="s">
        <v>329</v>
      </c>
      <c r="L72" s="2" t="str">
        <f t="shared" si="1"/>
        <v>Team: CEE-103  -  Project: Experimental Smart Farm(ESF)</v>
      </c>
    </row>
    <row r="73" ht="18.75" customHeight="1">
      <c r="A73" s="2">
        <v>4.0</v>
      </c>
      <c r="B73" s="2">
        <v>4.0</v>
      </c>
      <c r="C73" s="2" t="s">
        <v>12</v>
      </c>
      <c r="D73" s="2" t="s">
        <v>312</v>
      </c>
      <c r="E73" s="2">
        <v>404.0</v>
      </c>
      <c r="F73" s="2" t="s">
        <v>330</v>
      </c>
      <c r="G73" s="2" t="s">
        <v>331</v>
      </c>
      <c r="H73" s="2" t="s">
        <v>332</v>
      </c>
      <c r="I73" s="2" t="s">
        <v>333</v>
      </c>
      <c r="J73" s="2" t="s">
        <v>334</v>
      </c>
      <c r="K73" s="2" t="s">
        <v>335</v>
      </c>
      <c r="L73" s="2" t="str">
        <f t="shared" si="1"/>
        <v>Team: CEE-104  -  Project: Shade Structure</v>
      </c>
    </row>
    <row r="74" ht="18.75" customHeight="1">
      <c r="A74" s="2">
        <v>4.0</v>
      </c>
      <c r="B74" s="2">
        <v>5.0</v>
      </c>
      <c r="C74" s="2" t="s">
        <v>12</v>
      </c>
      <c r="D74" s="2" t="s">
        <v>312</v>
      </c>
      <c r="E74" s="2">
        <v>405.0</v>
      </c>
      <c r="F74" s="2" t="s">
        <v>336</v>
      </c>
      <c r="G74" s="2" t="s">
        <v>337</v>
      </c>
      <c r="H74" s="2" t="s">
        <v>43</v>
      </c>
      <c r="I74" s="2" t="s">
        <v>338</v>
      </c>
      <c r="J74" s="2" t="s">
        <v>339</v>
      </c>
      <c r="K74" s="2" t="s">
        <v>340</v>
      </c>
      <c r="L74" s="2" t="str">
        <f t="shared" si="1"/>
        <v>Team: CEE-105  -  Project: Geotech</v>
      </c>
    </row>
    <row r="75" ht="18.75" customHeight="1">
      <c r="A75" s="2">
        <v>4.0</v>
      </c>
      <c r="B75" s="2">
        <v>6.0</v>
      </c>
      <c r="C75" s="2" t="s">
        <v>12</v>
      </c>
      <c r="D75" s="2" t="s">
        <v>312</v>
      </c>
      <c r="E75" s="2">
        <v>406.0</v>
      </c>
      <c r="F75" s="2" t="s">
        <v>341</v>
      </c>
      <c r="G75" s="2" t="s">
        <v>337</v>
      </c>
      <c r="H75" s="2" t="s">
        <v>43</v>
      </c>
      <c r="I75" s="2" t="s">
        <v>338</v>
      </c>
      <c r="J75" s="2" t="s">
        <v>339</v>
      </c>
      <c r="K75" s="2" t="s">
        <v>342</v>
      </c>
      <c r="L75" s="2" t="str">
        <f t="shared" si="1"/>
        <v>Team: CEE-106  -  Project: Geotech</v>
      </c>
    </row>
    <row r="76" ht="18.75" customHeight="1">
      <c r="A76" s="2">
        <v>4.0</v>
      </c>
      <c r="B76" s="2">
        <v>7.0</v>
      </c>
      <c r="C76" s="2" t="s">
        <v>12</v>
      </c>
      <c r="D76" s="2" t="s">
        <v>312</v>
      </c>
      <c r="E76" s="2">
        <v>407.0</v>
      </c>
      <c r="F76" s="2" t="s">
        <v>343</v>
      </c>
      <c r="G76" s="2" t="s">
        <v>344</v>
      </c>
      <c r="H76" s="2" t="s">
        <v>43</v>
      </c>
      <c r="I76" s="2" t="s">
        <v>345</v>
      </c>
      <c r="J76" s="2" t="s">
        <v>346</v>
      </c>
      <c r="K76" s="2" t="s">
        <v>347</v>
      </c>
      <c r="L76" s="2" t="str">
        <f t="shared" si="1"/>
        <v>Team: CEE-107  -  Project: Rainwater Harvesting</v>
      </c>
    </row>
    <row r="77" ht="18.75" customHeight="1">
      <c r="A77" s="2">
        <v>5.0</v>
      </c>
      <c r="B77" s="2">
        <v>6.0</v>
      </c>
      <c r="C77" s="2" t="s">
        <v>12</v>
      </c>
      <c r="D77" s="2" t="s">
        <v>169</v>
      </c>
      <c r="F77" s="2"/>
      <c r="G77" s="2" t="s">
        <v>348</v>
      </c>
      <c r="H77" s="2" t="s">
        <v>348</v>
      </c>
      <c r="I77" s="2"/>
      <c r="J77" s="2"/>
      <c r="K77" s="2" t="s">
        <v>348</v>
      </c>
      <c r="L77" s="2"/>
    </row>
    <row r="78" ht="18.75" customHeight="1">
      <c r="A78" s="2">
        <v>6.0</v>
      </c>
      <c r="B78" s="2">
        <v>6.0</v>
      </c>
      <c r="C78" s="2" t="s">
        <v>12</v>
      </c>
      <c r="D78" s="2" t="s">
        <v>169</v>
      </c>
      <c r="F78" s="2"/>
      <c r="G78" s="2" t="s">
        <v>348</v>
      </c>
      <c r="H78" s="2" t="s">
        <v>348</v>
      </c>
      <c r="I78" s="2"/>
      <c r="J78" s="2"/>
      <c r="K78" s="2" t="s">
        <v>348</v>
      </c>
      <c r="L78" s="2"/>
    </row>
    <row r="79" ht="18.75" customHeight="1">
      <c r="A79" s="2">
        <v>7.0</v>
      </c>
      <c r="B79" s="2">
        <v>6.0</v>
      </c>
      <c r="C79" s="2" t="s">
        <v>12</v>
      </c>
      <c r="D79" s="2" t="s">
        <v>169</v>
      </c>
      <c r="F79" s="2"/>
      <c r="G79" s="2" t="s">
        <v>348</v>
      </c>
      <c r="H79" s="2" t="s">
        <v>348</v>
      </c>
      <c r="I79" s="2"/>
      <c r="J79" s="2"/>
      <c r="K79" s="2" t="s">
        <v>348</v>
      </c>
      <c r="L79" s="2"/>
    </row>
    <row r="80" ht="18.75" customHeight="1">
      <c r="A80" s="2">
        <v>8.0</v>
      </c>
      <c r="B80" s="2">
        <v>6.0</v>
      </c>
      <c r="C80" s="2" t="s">
        <v>12</v>
      </c>
      <c r="D80" s="2" t="s">
        <v>169</v>
      </c>
      <c r="F80" s="2"/>
      <c r="G80" s="2" t="s">
        <v>348</v>
      </c>
      <c r="H80" s="2" t="s">
        <v>348</v>
      </c>
      <c r="I80" s="2"/>
      <c r="J80" s="2"/>
      <c r="K80" s="2" t="s">
        <v>348</v>
      </c>
      <c r="L80" s="2"/>
    </row>
  </sheetData>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0"/>
    <col customWidth="1" min="3" max="3" width="16.13"/>
    <col customWidth="1" min="4" max="4" width="6.88"/>
    <col customWidth="1" min="5" max="5" width="14.75"/>
    <col customWidth="1" min="7" max="7" width="23.63"/>
    <col customWidth="1" min="8" max="8" width="20.63"/>
  </cols>
  <sheetData>
    <row r="1" ht="22.5" customHeight="1">
      <c r="A1" s="5" t="s">
        <v>0</v>
      </c>
      <c r="B1" s="5" t="s">
        <v>349</v>
      </c>
      <c r="C1" s="5" t="s">
        <v>350</v>
      </c>
      <c r="D1" s="5" t="s">
        <v>3</v>
      </c>
      <c r="E1" s="5" t="s">
        <v>351</v>
      </c>
      <c r="F1" s="5" t="s">
        <v>352</v>
      </c>
      <c r="G1" s="5" t="s">
        <v>353</v>
      </c>
      <c r="H1" s="5" t="s">
        <v>354</v>
      </c>
    </row>
    <row r="2" ht="22.5" customHeight="1">
      <c r="A2" s="2">
        <v>1.0</v>
      </c>
      <c r="B2" s="2" t="s">
        <v>355</v>
      </c>
      <c r="C2" s="6"/>
      <c r="D2" s="7" t="s">
        <v>13</v>
      </c>
      <c r="E2" s="8" t="s">
        <v>356</v>
      </c>
      <c r="F2" s="9">
        <v>1.0</v>
      </c>
      <c r="G2" s="10" t="s">
        <v>357</v>
      </c>
      <c r="H2" s="6"/>
    </row>
    <row r="3" ht="22.5" customHeight="1">
      <c r="A3" s="10">
        <v>2.0</v>
      </c>
      <c r="B3" s="2" t="s">
        <v>358</v>
      </c>
      <c r="C3" s="6"/>
      <c r="D3" s="7" t="s">
        <v>13</v>
      </c>
      <c r="E3" s="11" t="s">
        <v>359</v>
      </c>
      <c r="F3" s="12">
        <v>2.0</v>
      </c>
      <c r="G3" s="10" t="s">
        <v>360</v>
      </c>
      <c r="H3" s="6"/>
    </row>
    <row r="4" ht="22.5" customHeight="1">
      <c r="A4" s="2">
        <v>3.0</v>
      </c>
      <c r="B4" s="2" t="s">
        <v>361</v>
      </c>
      <c r="C4" s="6"/>
      <c r="D4" s="7" t="s">
        <v>13</v>
      </c>
      <c r="E4" s="13" t="s">
        <v>362</v>
      </c>
      <c r="F4" s="14">
        <v>3.0</v>
      </c>
      <c r="G4" s="10" t="s">
        <v>363</v>
      </c>
      <c r="H4" s="6"/>
    </row>
    <row r="5" ht="22.5" customHeight="1">
      <c r="A5" s="2">
        <v>4.0</v>
      </c>
      <c r="B5" s="2" t="s">
        <v>364</v>
      </c>
      <c r="C5" s="6"/>
      <c r="D5" s="15" t="s">
        <v>312</v>
      </c>
      <c r="E5" s="16" t="s">
        <v>234</v>
      </c>
      <c r="F5" s="17">
        <v>4.0</v>
      </c>
      <c r="G5" s="10" t="s">
        <v>365</v>
      </c>
      <c r="H5" s="6"/>
    </row>
    <row r="6" ht="22.5" customHeight="1">
      <c r="A6" s="2">
        <v>5.0</v>
      </c>
      <c r="B6" s="2" t="s">
        <v>366</v>
      </c>
      <c r="C6" s="6"/>
      <c r="D6" s="18" t="s">
        <v>169</v>
      </c>
      <c r="E6" s="19" t="s">
        <v>367</v>
      </c>
      <c r="F6" s="19">
        <v>5.0</v>
      </c>
      <c r="G6" s="10" t="s">
        <v>368</v>
      </c>
      <c r="H6" s="6"/>
    </row>
    <row r="7" ht="22.5" customHeight="1">
      <c r="A7" s="2">
        <v>6.0</v>
      </c>
      <c r="B7" s="2" t="s">
        <v>369</v>
      </c>
      <c r="C7" s="6"/>
      <c r="D7" s="18" t="s">
        <v>169</v>
      </c>
      <c r="E7" s="20" t="s">
        <v>370</v>
      </c>
      <c r="F7" s="20">
        <v>6.0</v>
      </c>
      <c r="G7" s="10" t="s">
        <v>371</v>
      </c>
      <c r="H7" s="6"/>
    </row>
    <row r="8" ht="22.5" customHeight="1">
      <c r="A8" s="2">
        <v>7.0</v>
      </c>
      <c r="B8" s="2" t="s">
        <v>372</v>
      </c>
      <c r="C8" s="6"/>
      <c r="D8" s="18" t="s">
        <v>169</v>
      </c>
      <c r="E8" s="21" t="s">
        <v>373</v>
      </c>
      <c r="F8" s="21">
        <v>7.0</v>
      </c>
      <c r="G8" s="10" t="s">
        <v>374</v>
      </c>
      <c r="H8" s="6"/>
    </row>
    <row r="9" ht="22.5" customHeight="1">
      <c r="A9" s="2">
        <v>8.0</v>
      </c>
      <c r="B9" s="2" t="s">
        <v>375</v>
      </c>
      <c r="C9" s="6"/>
      <c r="D9" s="18" t="s">
        <v>169</v>
      </c>
      <c r="E9" s="22" t="s">
        <v>376</v>
      </c>
      <c r="F9" s="22">
        <v>8.0</v>
      </c>
      <c r="G9" s="10" t="s">
        <v>377</v>
      </c>
      <c r="H9" s="6"/>
    </row>
    <row r="10" ht="22.5" customHeight="1">
      <c r="A10" s="23"/>
      <c r="B10" s="23"/>
      <c r="C10" s="23"/>
      <c r="D10" s="23"/>
      <c r="E10" s="23"/>
      <c r="F10" s="23"/>
      <c r="G10" s="23"/>
      <c r="H10" s="2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6.75"/>
    <col customWidth="1" min="3" max="3" width="15.38"/>
    <col customWidth="1" min="4" max="4" width="5.75"/>
    <col customWidth="1" min="5" max="5" width="10.25"/>
    <col customWidth="1" min="6" max="6" width="14.25"/>
    <col customWidth="1" min="7" max="7" width="16.0"/>
    <col customWidth="1" min="8" max="8" width="16.5"/>
    <col customWidth="1" min="9" max="9" width="11.5"/>
    <col customWidth="1" min="10" max="10" width="52.38"/>
    <col customWidth="1" min="11" max="11" width="65.75"/>
    <col customWidth="1" min="12" max="12" width="92.75"/>
  </cols>
  <sheetData>
    <row r="1" ht="18.75" customHeight="1">
      <c r="A1" s="24" t="s">
        <v>0</v>
      </c>
      <c r="B1" s="24" t="s">
        <v>1</v>
      </c>
      <c r="C1" s="24" t="s">
        <v>2</v>
      </c>
      <c r="D1" s="24" t="s">
        <v>3</v>
      </c>
      <c r="E1" s="24" t="s">
        <v>4</v>
      </c>
      <c r="F1" s="24" t="s">
        <v>5</v>
      </c>
      <c r="G1" s="24" t="s">
        <v>6</v>
      </c>
      <c r="H1" s="24" t="s">
        <v>7</v>
      </c>
      <c r="I1" s="24" t="s">
        <v>8</v>
      </c>
      <c r="J1" s="24" t="s">
        <v>9</v>
      </c>
      <c r="K1" s="24" t="s">
        <v>10</v>
      </c>
      <c r="L1" s="24" t="s">
        <v>11</v>
      </c>
    </row>
    <row r="2" ht="18.75" customHeight="1">
      <c r="A2" s="25">
        <v>1.0</v>
      </c>
      <c r="B2" s="25">
        <v>2.0</v>
      </c>
      <c r="C2" s="25" t="s">
        <v>12</v>
      </c>
      <c r="D2" s="25" t="s">
        <v>13</v>
      </c>
      <c r="E2" s="25">
        <v>101.0</v>
      </c>
      <c r="F2" s="25" t="s">
        <v>378</v>
      </c>
      <c r="G2" s="25" t="s">
        <v>15</v>
      </c>
      <c r="H2" s="25" t="s">
        <v>16</v>
      </c>
      <c r="I2" s="26" t="s">
        <v>17</v>
      </c>
      <c r="J2" s="25" t="s">
        <v>379</v>
      </c>
      <c r="K2" s="25" t="s">
        <v>19</v>
      </c>
      <c r="L2" s="25" t="str">
        <f t="shared" ref="L2:L76" si="1">"Team: " &amp; F2 &amp; "  -  Project: " &amp; G2</f>
        <v>Team: CAP-101  -  Project: Rotary Joint Testing System</v>
      </c>
    </row>
    <row r="3" ht="18.75" customHeight="1">
      <c r="A3" s="25">
        <v>1.0</v>
      </c>
      <c r="B3" s="25">
        <v>1.0</v>
      </c>
      <c r="C3" s="25" t="s">
        <v>12</v>
      </c>
      <c r="D3" s="25" t="s">
        <v>13</v>
      </c>
      <c r="E3" s="25">
        <v>102.0</v>
      </c>
      <c r="F3" s="25" t="s">
        <v>380</v>
      </c>
      <c r="G3" s="25" t="s">
        <v>21</v>
      </c>
      <c r="H3" s="25" t="s">
        <v>22</v>
      </c>
      <c r="I3" s="26" t="s">
        <v>17</v>
      </c>
      <c r="J3" s="25" t="s">
        <v>381</v>
      </c>
      <c r="K3" s="25" t="s">
        <v>24</v>
      </c>
      <c r="L3" s="25" t="str">
        <f t="shared" si="1"/>
        <v>Team: CAP-102  -  Project: Cutting Deck Slicing Tray Cleaning Improvement</v>
      </c>
    </row>
    <row r="4" ht="18.75" customHeight="1">
      <c r="A4" s="25">
        <v>2.0</v>
      </c>
      <c r="B4" s="25">
        <v>4.0</v>
      </c>
      <c r="C4" s="25" t="s">
        <v>12</v>
      </c>
      <c r="D4" s="25" t="s">
        <v>13</v>
      </c>
      <c r="E4" s="25">
        <v>103.0</v>
      </c>
      <c r="F4" s="25" t="s">
        <v>382</v>
      </c>
      <c r="G4" s="25" t="s">
        <v>26</v>
      </c>
      <c r="H4" s="25" t="s">
        <v>27</v>
      </c>
      <c r="I4" s="26" t="s">
        <v>28</v>
      </c>
      <c r="J4" s="25" t="s">
        <v>383</v>
      </c>
      <c r="K4" s="25" t="s">
        <v>30</v>
      </c>
      <c r="L4" s="25" t="str">
        <f t="shared" si="1"/>
        <v>Team: CAP-103  -  Project: Interstitial Fluid as a Proxy for Blood</v>
      </c>
    </row>
    <row r="5" ht="18.75" customHeight="1">
      <c r="A5" s="25">
        <v>2.0</v>
      </c>
      <c r="B5" s="25">
        <v>5.0</v>
      </c>
      <c r="C5" s="25" t="s">
        <v>12</v>
      </c>
      <c r="D5" s="25" t="s">
        <v>13</v>
      </c>
      <c r="E5" s="25">
        <v>104.0</v>
      </c>
      <c r="F5" s="25" t="s">
        <v>384</v>
      </c>
      <c r="G5" s="25" t="s">
        <v>26</v>
      </c>
      <c r="H5" s="25" t="s">
        <v>27</v>
      </c>
      <c r="I5" s="26" t="s">
        <v>28</v>
      </c>
      <c r="J5" s="25" t="s">
        <v>385</v>
      </c>
      <c r="K5" s="25" t="s">
        <v>33</v>
      </c>
      <c r="L5" s="25" t="str">
        <f t="shared" si="1"/>
        <v>Team: CAP-104  -  Project: Interstitial Fluid as a Proxy for Blood</v>
      </c>
    </row>
    <row r="6" ht="18.75" customHeight="1">
      <c r="A6" s="25">
        <v>1.0</v>
      </c>
      <c r="B6" s="25">
        <v>3.0</v>
      </c>
      <c r="C6" s="25" t="s">
        <v>12</v>
      </c>
      <c r="D6" s="25" t="s">
        <v>13</v>
      </c>
      <c r="E6" s="25">
        <v>105.0</v>
      </c>
      <c r="F6" s="25" t="s">
        <v>386</v>
      </c>
      <c r="G6" s="25" t="s">
        <v>35</v>
      </c>
      <c r="H6" s="25" t="s">
        <v>16</v>
      </c>
      <c r="I6" s="26" t="s">
        <v>17</v>
      </c>
      <c r="J6" s="25" t="s">
        <v>387</v>
      </c>
      <c r="K6" s="25" t="s">
        <v>37</v>
      </c>
      <c r="L6" s="25" t="str">
        <f t="shared" si="1"/>
        <v>Team: CAP-105  -  Project: Crash Bottle Sensor</v>
      </c>
    </row>
    <row r="7" ht="18.75" customHeight="1">
      <c r="A7" s="25">
        <v>1.0</v>
      </c>
      <c r="B7" s="25">
        <v>4.0</v>
      </c>
      <c r="C7" s="25" t="s">
        <v>12</v>
      </c>
      <c r="D7" s="25" t="s">
        <v>13</v>
      </c>
      <c r="E7" s="25">
        <v>106.0</v>
      </c>
      <c r="F7" s="25" t="s">
        <v>388</v>
      </c>
      <c r="G7" s="25" t="s">
        <v>35</v>
      </c>
      <c r="H7" s="25" t="s">
        <v>16</v>
      </c>
      <c r="I7" s="26" t="s">
        <v>17</v>
      </c>
      <c r="J7" s="25" t="s">
        <v>389</v>
      </c>
      <c r="K7" s="25" t="s">
        <v>40</v>
      </c>
      <c r="L7" s="25" t="str">
        <f t="shared" si="1"/>
        <v>Team: CAP-106  -  Project: Crash Bottle Sensor</v>
      </c>
    </row>
    <row r="8" ht="18.75" customHeight="1">
      <c r="A8" s="25">
        <v>3.0</v>
      </c>
      <c r="B8" s="25">
        <v>7.0</v>
      </c>
      <c r="C8" s="25" t="s">
        <v>12</v>
      </c>
      <c r="D8" s="25" t="s">
        <v>13</v>
      </c>
      <c r="E8" s="25">
        <v>107.0</v>
      </c>
      <c r="F8" s="25" t="s">
        <v>390</v>
      </c>
      <c r="G8" s="25" t="s">
        <v>42</v>
      </c>
      <c r="H8" s="25" t="s">
        <v>43</v>
      </c>
      <c r="I8" s="26" t="s">
        <v>44</v>
      </c>
      <c r="J8" s="25" t="s">
        <v>391</v>
      </c>
      <c r="K8" s="25" t="s">
        <v>46</v>
      </c>
      <c r="L8" s="25" t="str">
        <f t="shared" si="1"/>
        <v>Team: CAP-107  -  Project: Lab-scale Extruder for Rubber Processing</v>
      </c>
    </row>
    <row r="9" ht="18.75" customHeight="1">
      <c r="A9" s="25">
        <v>3.0</v>
      </c>
      <c r="B9" s="25">
        <v>3.0</v>
      </c>
      <c r="C9" s="25" t="s">
        <v>12</v>
      </c>
      <c r="D9" s="25" t="s">
        <v>13</v>
      </c>
      <c r="E9" s="25">
        <v>108.0</v>
      </c>
      <c r="F9" s="25" t="s">
        <v>392</v>
      </c>
      <c r="G9" s="25" t="s">
        <v>48</v>
      </c>
      <c r="H9" s="25" t="s">
        <v>49</v>
      </c>
      <c r="I9" s="26" t="s">
        <v>50</v>
      </c>
      <c r="J9" s="25" t="s">
        <v>393</v>
      </c>
      <c r="K9" s="25" t="s">
        <v>52</v>
      </c>
      <c r="L9" s="25" t="str">
        <f t="shared" si="1"/>
        <v>Team: CAP-108  -  Project: Laser Needle Treatment</v>
      </c>
    </row>
    <row r="10" ht="18.75" customHeight="1">
      <c r="A10" s="25">
        <v>3.0</v>
      </c>
      <c r="B10" s="25">
        <v>4.0</v>
      </c>
      <c r="C10" s="25" t="s">
        <v>12</v>
      </c>
      <c r="D10" s="25" t="s">
        <v>13</v>
      </c>
      <c r="E10" s="25">
        <v>109.0</v>
      </c>
      <c r="F10" s="25" t="s">
        <v>394</v>
      </c>
      <c r="G10" s="25" t="s">
        <v>48</v>
      </c>
      <c r="H10" s="25" t="s">
        <v>49</v>
      </c>
      <c r="I10" s="26" t="s">
        <v>50</v>
      </c>
      <c r="J10" s="25" t="s">
        <v>395</v>
      </c>
      <c r="K10" s="25" t="s">
        <v>55</v>
      </c>
      <c r="L10" s="25" t="str">
        <f t="shared" si="1"/>
        <v>Team: CAP-109  -  Project: Laser Needle Treatment</v>
      </c>
    </row>
    <row r="11" ht="18.75" customHeight="1">
      <c r="A11" s="25">
        <v>1.0</v>
      </c>
      <c r="B11" s="25">
        <v>7.0</v>
      </c>
      <c r="C11" s="25" t="s">
        <v>12</v>
      </c>
      <c r="D11" s="25" t="s">
        <v>13</v>
      </c>
      <c r="E11" s="25">
        <v>110.0</v>
      </c>
      <c r="F11" s="25" t="s">
        <v>396</v>
      </c>
      <c r="G11" s="25" t="s">
        <v>57</v>
      </c>
      <c r="H11" s="25" t="s">
        <v>58</v>
      </c>
      <c r="I11" s="26" t="s">
        <v>59</v>
      </c>
      <c r="J11" s="25" t="s">
        <v>397</v>
      </c>
      <c r="K11" s="25" t="s">
        <v>61</v>
      </c>
      <c r="L11" s="25" t="str">
        <f t="shared" si="1"/>
        <v>Team: CAP-110  -  Project: HVAC Design Calculations</v>
      </c>
    </row>
    <row r="12" ht="18.75" customHeight="1">
      <c r="A12" s="25">
        <v>3.0</v>
      </c>
      <c r="B12" s="25">
        <v>5.0</v>
      </c>
      <c r="C12" s="25" t="s">
        <v>12</v>
      </c>
      <c r="D12" s="25" t="s">
        <v>13</v>
      </c>
      <c r="E12" s="25">
        <v>111.0</v>
      </c>
      <c r="F12" s="25" t="s">
        <v>398</v>
      </c>
      <c r="G12" s="25" t="s">
        <v>63</v>
      </c>
      <c r="H12" s="25" t="s">
        <v>49</v>
      </c>
      <c r="I12" s="26" t="s">
        <v>50</v>
      </c>
      <c r="J12" s="25" t="s">
        <v>399</v>
      </c>
      <c r="K12" s="25" t="s">
        <v>65</v>
      </c>
      <c r="L12" s="25" t="str">
        <f t="shared" si="1"/>
        <v>Team: CAP-111  -  Project: Motorized Automatic Syringe Plunger (30 mL, 50 mL, 60 mL)</v>
      </c>
    </row>
    <row r="13" ht="18.75" customHeight="1">
      <c r="A13" s="25">
        <v>3.0</v>
      </c>
      <c r="B13" s="25">
        <v>6.0</v>
      </c>
      <c r="C13" s="25" t="s">
        <v>12</v>
      </c>
      <c r="D13" s="25" t="s">
        <v>13</v>
      </c>
      <c r="E13" s="25">
        <v>112.0</v>
      </c>
      <c r="F13" s="25" t="s">
        <v>400</v>
      </c>
      <c r="G13" s="25" t="s">
        <v>63</v>
      </c>
      <c r="H13" s="25" t="s">
        <v>49</v>
      </c>
      <c r="I13" s="26" t="s">
        <v>50</v>
      </c>
      <c r="J13" s="25" t="s">
        <v>401</v>
      </c>
      <c r="K13" s="25" t="s">
        <v>68</v>
      </c>
      <c r="L13" s="25" t="str">
        <f t="shared" si="1"/>
        <v>Team: CAP-112  -  Project: Motorized Automatic Syringe Plunger (30 mL, 50 mL, 60 mL)</v>
      </c>
    </row>
    <row r="14" ht="18.75" customHeight="1">
      <c r="A14" s="25">
        <v>3.0</v>
      </c>
      <c r="B14" s="25">
        <v>1.0</v>
      </c>
      <c r="C14" s="25" t="s">
        <v>12</v>
      </c>
      <c r="D14" s="25" t="s">
        <v>13</v>
      </c>
      <c r="E14" s="25">
        <v>113.0</v>
      </c>
      <c r="F14" s="25" t="s">
        <v>402</v>
      </c>
      <c r="G14" s="25" t="s">
        <v>70</v>
      </c>
      <c r="H14" s="25" t="s">
        <v>71</v>
      </c>
      <c r="I14" s="26" t="s">
        <v>17</v>
      </c>
      <c r="J14" s="25" t="s">
        <v>403</v>
      </c>
      <c r="K14" s="25" t="s">
        <v>73</v>
      </c>
      <c r="L14" s="25" t="str">
        <f t="shared" si="1"/>
        <v>Team: CAP-113  -  Project: System to correctly position liner cardboard at bottom of the wooden bin</v>
      </c>
    </row>
    <row r="15" ht="18.75" customHeight="1">
      <c r="A15" s="25">
        <v>1.0</v>
      </c>
      <c r="B15" s="25">
        <v>6.0</v>
      </c>
      <c r="C15" s="25" t="s">
        <v>12</v>
      </c>
      <c r="D15" s="25" t="s">
        <v>13</v>
      </c>
      <c r="E15" s="25">
        <v>114.0</v>
      </c>
      <c r="F15" s="25" t="s">
        <v>404</v>
      </c>
      <c r="G15" s="25" t="s">
        <v>75</v>
      </c>
      <c r="H15" s="25" t="s">
        <v>76</v>
      </c>
      <c r="I15" s="26" t="s">
        <v>77</v>
      </c>
      <c r="J15" s="25" t="s">
        <v>405</v>
      </c>
      <c r="K15" s="25" t="s">
        <v>79</v>
      </c>
      <c r="L15" s="25" t="str">
        <f t="shared" si="1"/>
        <v>Team: CAP-114  -  Project: CO2 Refrigeration: Screw vs. Reciprocating</v>
      </c>
    </row>
    <row r="16" ht="18.75" customHeight="1">
      <c r="A16" s="25">
        <v>1.0</v>
      </c>
      <c r="B16" s="25">
        <v>5.0</v>
      </c>
      <c r="C16" s="25" t="s">
        <v>12</v>
      </c>
      <c r="D16" s="25" t="s">
        <v>13</v>
      </c>
      <c r="E16" s="25">
        <v>115.0</v>
      </c>
      <c r="F16" s="25" t="s">
        <v>406</v>
      </c>
      <c r="G16" s="25" t="s">
        <v>81</v>
      </c>
      <c r="H16" s="25" t="s">
        <v>76</v>
      </c>
      <c r="I16" s="26" t="s">
        <v>77</v>
      </c>
      <c r="J16" s="25" t="s">
        <v>407</v>
      </c>
      <c r="K16" s="25" t="s">
        <v>83</v>
      </c>
      <c r="L16" s="25" t="str">
        <f t="shared" si="1"/>
        <v>Team: CAP-115  -  Project: Customer Profile Power Calculator</v>
      </c>
    </row>
    <row r="17" ht="18.75" customHeight="1">
      <c r="A17" s="25">
        <v>2.0</v>
      </c>
      <c r="B17" s="25">
        <v>1.0</v>
      </c>
      <c r="C17" s="25" t="s">
        <v>12</v>
      </c>
      <c r="D17" s="25" t="s">
        <v>13</v>
      </c>
      <c r="E17" s="25">
        <v>116.0</v>
      </c>
      <c r="F17" s="25" t="s">
        <v>408</v>
      </c>
      <c r="G17" s="25" t="s">
        <v>85</v>
      </c>
      <c r="H17" s="25" t="s">
        <v>86</v>
      </c>
      <c r="I17" s="26" t="s">
        <v>17</v>
      </c>
      <c r="J17" s="25" t="s">
        <v>409</v>
      </c>
      <c r="K17" s="25" t="s">
        <v>88</v>
      </c>
      <c r="L17" s="25" t="str">
        <f t="shared" si="1"/>
        <v>Team: CAP-116  -  Project: Mandarin Long Stem Solution</v>
      </c>
    </row>
    <row r="18" ht="18.75" customHeight="1">
      <c r="A18" s="25">
        <v>2.0</v>
      </c>
      <c r="B18" s="25">
        <v>2.0</v>
      </c>
      <c r="C18" s="25" t="s">
        <v>12</v>
      </c>
      <c r="D18" s="25" t="s">
        <v>13</v>
      </c>
      <c r="E18" s="25">
        <v>117.0</v>
      </c>
      <c r="F18" s="25" t="s">
        <v>410</v>
      </c>
      <c r="G18" s="25" t="s">
        <v>85</v>
      </c>
      <c r="H18" s="25" t="s">
        <v>86</v>
      </c>
      <c r="I18" s="26" t="s">
        <v>17</v>
      </c>
      <c r="J18" s="25" t="s">
        <v>411</v>
      </c>
      <c r="K18" s="25" t="s">
        <v>91</v>
      </c>
      <c r="L18" s="25" t="str">
        <f t="shared" si="1"/>
        <v>Team: CAP-117  -  Project: Mandarin Long Stem Solution</v>
      </c>
    </row>
    <row r="19" ht="18.75" customHeight="1">
      <c r="A19" s="25">
        <v>2.0</v>
      </c>
      <c r="B19" s="25">
        <v>6.0</v>
      </c>
      <c r="C19" s="25" t="s">
        <v>12</v>
      </c>
      <c r="D19" s="25" t="s">
        <v>13</v>
      </c>
      <c r="E19" s="25">
        <v>118.0</v>
      </c>
      <c r="F19" s="25" t="s">
        <v>412</v>
      </c>
      <c r="G19" s="25" t="s">
        <v>93</v>
      </c>
      <c r="H19" s="25" t="s">
        <v>94</v>
      </c>
      <c r="I19" s="26" t="s">
        <v>59</v>
      </c>
      <c r="J19" s="25" t="s">
        <v>413</v>
      </c>
      <c r="K19" s="25" t="s">
        <v>96</v>
      </c>
      <c r="L19" s="25" t="str">
        <f t="shared" si="1"/>
        <v>Team: CAP-118  -  Project: Solar powered, portable sensor that would detect when flood water reached a point and send a cell signal.</v>
      </c>
    </row>
    <row r="20" ht="18.75" customHeight="1">
      <c r="A20" s="25">
        <v>2.0</v>
      </c>
      <c r="B20" s="25">
        <v>3.0</v>
      </c>
      <c r="C20" s="25" t="s">
        <v>12</v>
      </c>
      <c r="D20" s="25" t="s">
        <v>13</v>
      </c>
      <c r="E20" s="25">
        <v>119.0</v>
      </c>
      <c r="F20" s="25" t="s">
        <v>414</v>
      </c>
      <c r="G20" s="25" t="s">
        <v>98</v>
      </c>
      <c r="H20" s="25" t="s">
        <v>99</v>
      </c>
      <c r="I20" s="26" t="s">
        <v>100</v>
      </c>
      <c r="J20" s="25" t="s">
        <v>415</v>
      </c>
      <c r="K20" s="25" t="s">
        <v>102</v>
      </c>
      <c r="L20" s="25" t="str">
        <f t="shared" si="1"/>
        <v>Team: CAP-119  -  Project: Small to Mid Scale Processing Equipment for Fresh Jujube Fruits</v>
      </c>
    </row>
    <row r="21" ht="18.75" customHeight="1">
      <c r="A21" s="25">
        <v>3.0</v>
      </c>
      <c r="B21" s="25">
        <v>2.0</v>
      </c>
      <c r="C21" s="25" t="s">
        <v>12</v>
      </c>
      <c r="D21" s="25" t="s">
        <v>13</v>
      </c>
      <c r="E21" s="25">
        <v>120.0</v>
      </c>
      <c r="F21" s="25" t="s">
        <v>416</v>
      </c>
      <c r="G21" s="25" t="s">
        <v>104</v>
      </c>
      <c r="H21" s="25" t="s">
        <v>71</v>
      </c>
      <c r="I21" s="26" t="s">
        <v>17</v>
      </c>
      <c r="J21" s="25" t="s">
        <v>417</v>
      </c>
      <c r="K21" s="25" t="s">
        <v>106</v>
      </c>
      <c r="L21" s="25" t="str">
        <f t="shared" si="1"/>
        <v>Team: CAP-120  -  Project: Semi-automated Foil Seal sorting, and measuring.</v>
      </c>
    </row>
    <row r="22" ht="18.75" customHeight="1">
      <c r="A22" s="25">
        <v>2.0</v>
      </c>
      <c r="B22" s="25">
        <v>7.0</v>
      </c>
      <c r="C22" s="25" t="s">
        <v>12</v>
      </c>
      <c r="D22" s="25" t="s">
        <v>13</v>
      </c>
      <c r="E22" s="25">
        <v>121.0</v>
      </c>
      <c r="F22" s="25" t="s">
        <v>418</v>
      </c>
      <c r="G22" s="25" t="s">
        <v>108</v>
      </c>
      <c r="H22" s="25" t="s">
        <v>109</v>
      </c>
      <c r="I22" s="26" t="s">
        <v>100</v>
      </c>
      <c r="J22" s="25" t="s">
        <v>419</v>
      </c>
      <c r="K22" s="25" t="s">
        <v>420</v>
      </c>
      <c r="L22" s="25" t="str">
        <f t="shared" si="1"/>
        <v>Team: CAP-121  -  Project: Agricultural Implement for Planting Cover Crops under Vines or Trees</v>
      </c>
    </row>
    <row r="23" ht="18.75" customHeight="1">
      <c r="A23" s="25" t="s">
        <v>112</v>
      </c>
      <c r="B23" s="25"/>
      <c r="C23" s="25" t="s">
        <v>113</v>
      </c>
      <c r="D23" s="25" t="s">
        <v>13</v>
      </c>
      <c r="E23" s="25">
        <v>201.0</v>
      </c>
      <c r="F23" s="25" t="s">
        <v>114</v>
      </c>
      <c r="G23" s="25" t="s">
        <v>115</v>
      </c>
      <c r="H23" s="25" t="s">
        <v>116</v>
      </c>
      <c r="I23" s="26" t="s">
        <v>100</v>
      </c>
      <c r="J23" s="25" t="s">
        <v>117</v>
      </c>
      <c r="K23" s="25" t="s">
        <v>118</v>
      </c>
      <c r="L23" s="25" t="str">
        <f t="shared" si="1"/>
        <v>Team: CAP-201  -  Project: Smart Beetle Trap</v>
      </c>
    </row>
    <row r="24" ht="18.75" customHeight="1">
      <c r="A24" s="25" t="s">
        <v>112</v>
      </c>
      <c r="B24" s="25"/>
      <c r="C24" s="25" t="s">
        <v>113</v>
      </c>
      <c r="D24" s="25" t="s">
        <v>13</v>
      </c>
      <c r="E24" s="25">
        <v>202.0</v>
      </c>
      <c r="F24" s="25" t="s">
        <v>119</v>
      </c>
      <c r="G24" s="25" t="s">
        <v>120</v>
      </c>
      <c r="H24" s="25" t="s">
        <v>121</v>
      </c>
      <c r="I24" s="26" t="s">
        <v>77</v>
      </c>
      <c r="J24" s="25" t="s">
        <v>122</v>
      </c>
      <c r="K24" s="25" t="s">
        <v>123</v>
      </c>
      <c r="L24" s="25" t="str">
        <f t="shared" si="1"/>
        <v>Team: CAP-202  -  Project: Automated Seam Weld Sander</v>
      </c>
    </row>
    <row r="25" ht="18.75" customHeight="1">
      <c r="A25" s="25" t="s">
        <v>112</v>
      </c>
      <c r="B25" s="25"/>
      <c r="C25" s="25" t="s">
        <v>113</v>
      </c>
      <c r="D25" s="25" t="s">
        <v>13</v>
      </c>
      <c r="E25" s="25">
        <v>203.0</v>
      </c>
      <c r="F25" s="25" t="s">
        <v>124</v>
      </c>
      <c r="G25" s="25" t="s">
        <v>125</v>
      </c>
      <c r="H25" s="25" t="s">
        <v>126</v>
      </c>
      <c r="I25" s="26" t="s">
        <v>17</v>
      </c>
      <c r="J25" s="25" t="s">
        <v>127</v>
      </c>
      <c r="K25" s="25" t="s">
        <v>128</v>
      </c>
      <c r="L25" s="25" t="str">
        <f t="shared" si="1"/>
        <v>Team: CAP-203  -  Project: Continuous sterilization via ultra high intensity UV pulse light</v>
      </c>
    </row>
    <row r="26" ht="18.75" customHeight="1">
      <c r="A26" s="25" t="s">
        <v>112</v>
      </c>
      <c r="B26" s="25"/>
      <c r="C26" s="25" t="s">
        <v>113</v>
      </c>
      <c r="D26" s="25" t="s">
        <v>13</v>
      </c>
      <c r="E26" s="25">
        <v>204.0</v>
      </c>
      <c r="F26" s="25" t="s">
        <v>129</v>
      </c>
      <c r="G26" s="25" t="s">
        <v>130</v>
      </c>
      <c r="H26" s="25" t="s">
        <v>131</v>
      </c>
      <c r="I26" s="26" t="s">
        <v>132</v>
      </c>
      <c r="J26" s="25" t="s">
        <v>133</v>
      </c>
      <c r="K26" s="25" t="s">
        <v>134</v>
      </c>
      <c r="L26" s="25" t="str">
        <f t="shared" si="1"/>
        <v>Team: CAP-204  -  Project: The Perfect Cutter Drum</v>
      </c>
    </row>
    <row r="27" ht="18.75" customHeight="1">
      <c r="A27" s="25" t="s">
        <v>112</v>
      </c>
      <c r="B27" s="25"/>
      <c r="C27" s="25" t="s">
        <v>113</v>
      </c>
      <c r="D27" s="25" t="s">
        <v>13</v>
      </c>
      <c r="E27" s="25">
        <v>205.0</v>
      </c>
      <c r="F27" s="25" t="s">
        <v>135</v>
      </c>
      <c r="G27" s="25" t="s">
        <v>136</v>
      </c>
      <c r="H27" s="25" t="s">
        <v>137</v>
      </c>
      <c r="I27" s="26" t="s">
        <v>100</v>
      </c>
      <c r="J27" s="25" t="s">
        <v>138</v>
      </c>
      <c r="K27" s="25" t="s">
        <v>139</v>
      </c>
      <c r="L27" s="25" t="str">
        <f t="shared" si="1"/>
        <v>Team: CAP-205  -  Project: Horizontally Extractable Aeration System for Almond Drying</v>
      </c>
    </row>
    <row r="28" ht="18.75" customHeight="1">
      <c r="A28" s="25" t="s">
        <v>112</v>
      </c>
      <c r="B28" s="25"/>
      <c r="C28" s="25" t="s">
        <v>113</v>
      </c>
      <c r="D28" s="25" t="s">
        <v>13</v>
      </c>
      <c r="E28" s="25">
        <v>206.0</v>
      </c>
      <c r="F28" s="25" t="s">
        <v>140</v>
      </c>
      <c r="G28" s="25" t="s">
        <v>141</v>
      </c>
      <c r="H28" s="25" t="s">
        <v>49</v>
      </c>
      <c r="I28" s="26" t="s">
        <v>28</v>
      </c>
      <c r="J28" s="25" t="s">
        <v>142</v>
      </c>
      <c r="K28" s="25" t="s">
        <v>143</v>
      </c>
      <c r="L28" s="25" t="str">
        <f t="shared" si="1"/>
        <v>Team: CAP-206  -  Project: Expandable Screw</v>
      </c>
    </row>
    <row r="29" ht="18.75" customHeight="1">
      <c r="A29" s="25" t="s">
        <v>112</v>
      </c>
      <c r="B29" s="25"/>
      <c r="C29" s="25" t="s">
        <v>113</v>
      </c>
      <c r="D29" s="25" t="s">
        <v>13</v>
      </c>
      <c r="E29" s="25">
        <v>207.0</v>
      </c>
      <c r="F29" s="25" t="s">
        <v>144</v>
      </c>
      <c r="G29" s="25" t="s">
        <v>145</v>
      </c>
      <c r="H29" s="25" t="s">
        <v>146</v>
      </c>
      <c r="I29" s="26" t="s">
        <v>17</v>
      </c>
      <c r="J29" s="25" t="s">
        <v>147</v>
      </c>
      <c r="K29" s="25" t="s">
        <v>148</v>
      </c>
      <c r="L29" s="25" t="str">
        <f t="shared" si="1"/>
        <v>Team: CAP-207  -  Project: Paste Bin Washing</v>
      </c>
    </row>
    <row r="30" ht="18.75" customHeight="1">
      <c r="A30" s="25" t="s">
        <v>112</v>
      </c>
      <c r="B30" s="25"/>
      <c r="C30" s="25" t="s">
        <v>113</v>
      </c>
      <c r="D30" s="25" t="s">
        <v>13</v>
      </c>
      <c r="E30" s="25">
        <v>208.0</v>
      </c>
      <c r="F30" s="25" t="s">
        <v>149</v>
      </c>
      <c r="G30" s="25" t="s">
        <v>150</v>
      </c>
      <c r="H30" s="25" t="s">
        <v>151</v>
      </c>
      <c r="I30" s="26" t="s">
        <v>17</v>
      </c>
      <c r="J30" s="25" t="s">
        <v>152</v>
      </c>
      <c r="K30" s="25" t="s">
        <v>153</v>
      </c>
      <c r="L30" s="25" t="str">
        <f t="shared" si="1"/>
        <v>Team: CAP-208  -  Project: Tower Platform Height Process Optimization</v>
      </c>
    </row>
    <row r="31" ht="18.75" customHeight="1">
      <c r="A31" s="25" t="s">
        <v>112</v>
      </c>
      <c r="B31" s="25"/>
      <c r="C31" s="25" t="s">
        <v>113</v>
      </c>
      <c r="D31" s="25" t="s">
        <v>13</v>
      </c>
      <c r="E31" s="25">
        <v>209.0</v>
      </c>
      <c r="F31" s="25" t="s">
        <v>154</v>
      </c>
      <c r="G31" s="25" t="s">
        <v>155</v>
      </c>
      <c r="H31" s="25" t="s">
        <v>156</v>
      </c>
      <c r="I31" s="26" t="s">
        <v>17</v>
      </c>
      <c r="J31" s="25" t="s">
        <v>157</v>
      </c>
      <c r="K31" s="25" t="s">
        <v>158</v>
      </c>
      <c r="L31" s="25" t="str">
        <f t="shared" si="1"/>
        <v>Team: CAP-209  -  Project: Tank level control system</v>
      </c>
    </row>
    <row r="32" ht="18.75" customHeight="1">
      <c r="A32" s="25" t="s">
        <v>112</v>
      </c>
      <c r="B32" s="25"/>
      <c r="C32" s="25" t="s">
        <v>113</v>
      </c>
      <c r="D32" s="25" t="s">
        <v>13</v>
      </c>
      <c r="E32" s="25">
        <v>210.0</v>
      </c>
      <c r="F32" s="25" t="s">
        <v>159</v>
      </c>
      <c r="G32" s="25" t="s">
        <v>160</v>
      </c>
      <c r="H32" s="25" t="s">
        <v>161</v>
      </c>
      <c r="I32" s="26" t="s">
        <v>77</v>
      </c>
      <c r="J32" s="25" t="s">
        <v>162</v>
      </c>
      <c r="K32" s="25" t="s">
        <v>163</v>
      </c>
      <c r="L32" s="25" t="str">
        <f t="shared" si="1"/>
        <v>Team: CAP-210  -  Project: Tunnel Wind Power</v>
      </c>
    </row>
    <row r="33" ht="18.75" customHeight="1">
      <c r="A33" s="25" t="s">
        <v>112</v>
      </c>
      <c r="B33" s="25"/>
      <c r="C33" s="25" t="s">
        <v>113</v>
      </c>
      <c r="D33" s="25" t="s">
        <v>13</v>
      </c>
      <c r="E33" s="25">
        <v>211.0</v>
      </c>
      <c r="F33" s="25" t="s">
        <v>164</v>
      </c>
      <c r="G33" s="25" t="s">
        <v>165</v>
      </c>
      <c r="H33" s="25" t="s">
        <v>43</v>
      </c>
      <c r="I33" s="26" t="s">
        <v>166</v>
      </c>
      <c r="J33" s="25" t="s">
        <v>167</v>
      </c>
      <c r="K33" s="25" t="s">
        <v>168</v>
      </c>
      <c r="L33" s="25" t="str">
        <f t="shared" si="1"/>
        <v>Team: CAP-211  -  Project: Battery Workforce Challenge - Phase 2</v>
      </c>
    </row>
    <row r="34" ht="18.75" customHeight="1">
      <c r="A34" s="25">
        <v>4.0</v>
      </c>
      <c r="B34" s="25">
        <v>1.0</v>
      </c>
      <c r="C34" s="25" t="s">
        <v>12</v>
      </c>
      <c r="D34" s="25" t="s">
        <v>312</v>
      </c>
      <c r="E34" s="25">
        <v>401.0</v>
      </c>
      <c r="F34" s="25" t="s">
        <v>313</v>
      </c>
      <c r="G34" s="25" t="s">
        <v>314</v>
      </c>
      <c r="H34" s="25" t="s">
        <v>43</v>
      </c>
      <c r="I34" s="25" t="s">
        <v>315</v>
      </c>
      <c r="J34" s="25" t="s">
        <v>316</v>
      </c>
      <c r="K34" s="25" t="s">
        <v>317</v>
      </c>
      <c r="L34" s="25" t="str">
        <f t="shared" si="1"/>
        <v>Team: CEE-101  -  Project: Bioretention Cells</v>
      </c>
    </row>
    <row r="35" ht="18.75" customHeight="1">
      <c r="A35" s="25">
        <v>4.0</v>
      </c>
      <c r="B35" s="25">
        <v>2.0</v>
      </c>
      <c r="C35" s="25" t="s">
        <v>12</v>
      </c>
      <c r="D35" s="25" t="s">
        <v>312</v>
      </c>
      <c r="E35" s="25">
        <v>402.0</v>
      </c>
      <c r="F35" s="25" t="s">
        <v>318</v>
      </c>
      <c r="G35" s="25" t="s">
        <v>319</v>
      </c>
      <c r="H35" s="25" t="s">
        <v>320</v>
      </c>
      <c r="I35" s="25" t="s">
        <v>321</v>
      </c>
      <c r="J35" s="25" t="s">
        <v>322</v>
      </c>
      <c r="K35" s="25" t="s">
        <v>323</v>
      </c>
      <c r="L35" s="25" t="str">
        <f t="shared" si="1"/>
        <v>Team: CEE-102  -  Project: Geomatic and Geospatial Technologies</v>
      </c>
    </row>
    <row r="36" ht="18.75" customHeight="1">
      <c r="A36" s="25">
        <v>4.0</v>
      </c>
      <c r="B36" s="25">
        <v>3.0</v>
      </c>
      <c r="C36" s="25" t="s">
        <v>12</v>
      </c>
      <c r="D36" s="25" t="s">
        <v>312</v>
      </c>
      <c r="E36" s="25">
        <v>403.0</v>
      </c>
      <c r="F36" s="25" t="s">
        <v>324</v>
      </c>
      <c r="G36" s="25" t="s">
        <v>325</v>
      </c>
      <c r="H36" s="25" t="s">
        <v>326</v>
      </c>
      <c r="I36" s="25" t="s">
        <v>327</v>
      </c>
      <c r="J36" s="25" t="s">
        <v>328</v>
      </c>
      <c r="K36" s="25" t="s">
        <v>329</v>
      </c>
      <c r="L36" s="25" t="str">
        <f t="shared" si="1"/>
        <v>Team: CEE-103  -  Project: Experimental Smart Farm(ESF)</v>
      </c>
    </row>
    <row r="37" ht="18.75" customHeight="1">
      <c r="A37" s="25">
        <v>4.0</v>
      </c>
      <c r="B37" s="25">
        <v>4.0</v>
      </c>
      <c r="C37" s="25" t="s">
        <v>12</v>
      </c>
      <c r="D37" s="25" t="s">
        <v>312</v>
      </c>
      <c r="E37" s="25">
        <v>404.0</v>
      </c>
      <c r="F37" s="25" t="s">
        <v>330</v>
      </c>
      <c r="G37" s="25" t="s">
        <v>331</v>
      </c>
      <c r="H37" s="25" t="s">
        <v>332</v>
      </c>
      <c r="I37" s="25" t="s">
        <v>333</v>
      </c>
      <c r="J37" s="25" t="s">
        <v>334</v>
      </c>
      <c r="K37" s="25" t="s">
        <v>335</v>
      </c>
      <c r="L37" s="25" t="str">
        <f t="shared" si="1"/>
        <v>Team: CEE-104  -  Project: Shade Structure</v>
      </c>
    </row>
    <row r="38" ht="18.75" customHeight="1">
      <c r="A38" s="25">
        <v>4.0</v>
      </c>
      <c r="B38" s="25">
        <v>5.0</v>
      </c>
      <c r="C38" s="25" t="s">
        <v>12</v>
      </c>
      <c r="D38" s="25" t="s">
        <v>312</v>
      </c>
      <c r="E38" s="25">
        <v>405.0</v>
      </c>
      <c r="F38" s="25" t="s">
        <v>336</v>
      </c>
      <c r="G38" s="25" t="s">
        <v>337</v>
      </c>
      <c r="H38" s="25" t="s">
        <v>43</v>
      </c>
      <c r="I38" s="25" t="s">
        <v>338</v>
      </c>
      <c r="J38" s="25" t="s">
        <v>339</v>
      </c>
      <c r="K38" s="25" t="s">
        <v>340</v>
      </c>
      <c r="L38" s="25" t="str">
        <f t="shared" si="1"/>
        <v>Team: CEE-105  -  Project: Geotech</v>
      </c>
    </row>
    <row r="39" ht="18.75" customHeight="1">
      <c r="A39" s="25">
        <v>4.0</v>
      </c>
      <c r="B39" s="25">
        <v>6.0</v>
      </c>
      <c r="C39" s="25" t="s">
        <v>12</v>
      </c>
      <c r="D39" s="25" t="s">
        <v>312</v>
      </c>
      <c r="E39" s="25">
        <v>406.0</v>
      </c>
      <c r="F39" s="25" t="s">
        <v>341</v>
      </c>
      <c r="G39" s="25" t="s">
        <v>337</v>
      </c>
      <c r="H39" s="25" t="s">
        <v>43</v>
      </c>
      <c r="I39" s="25" t="s">
        <v>338</v>
      </c>
      <c r="J39" s="25" t="s">
        <v>339</v>
      </c>
      <c r="K39" s="25" t="s">
        <v>342</v>
      </c>
      <c r="L39" s="25" t="str">
        <f t="shared" si="1"/>
        <v>Team: CEE-106  -  Project: Geotech</v>
      </c>
    </row>
    <row r="40" ht="18.75" customHeight="1">
      <c r="A40" s="25">
        <v>4.0</v>
      </c>
      <c r="B40" s="25">
        <v>7.0</v>
      </c>
      <c r="C40" s="25" t="s">
        <v>12</v>
      </c>
      <c r="D40" s="25" t="s">
        <v>312</v>
      </c>
      <c r="E40" s="25">
        <v>407.0</v>
      </c>
      <c r="F40" s="25" t="s">
        <v>343</v>
      </c>
      <c r="G40" s="25" t="s">
        <v>344</v>
      </c>
      <c r="H40" s="25" t="s">
        <v>43</v>
      </c>
      <c r="I40" s="25" t="s">
        <v>345</v>
      </c>
      <c r="J40" s="25" t="s">
        <v>346</v>
      </c>
      <c r="K40" s="25" t="s">
        <v>347</v>
      </c>
      <c r="L40" s="25" t="str">
        <f t="shared" si="1"/>
        <v>Team: CEE-107  -  Project: Rainwater Harvesting</v>
      </c>
    </row>
    <row r="41" ht="18.75" customHeight="1">
      <c r="A41" s="25">
        <v>8.0</v>
      </c>
      <c r="B41" s="25">
        <v>2.0</v>
      </c>
      <c r="C41" s="25" t="s">
        <v>12</v>
      </c>
      <c r="D41" s="25" t="s">
        <v>169</v>
      </c>
      <c r="E41" s="25">
        <v>301.0</v>
      </c>
      <c r="F41" s="25" t="s">
        <v>421</v>
      </c>
      <c r="G41" s="25" t="s">
        <v>171</v>
      </c>
      <c r="H41" s="25" t="s">
        <v>172</v>
      </c>
      <c r="I41" s="26" t="s">
        <v>28</v>
      </c>
      <c r="J41" s="25" t="s">
        <v>422</v>
      </c>
      <c r="K41" s="25" t="s">
        <v>174</v>
      </c>
      <c r="L41" s="25" t="str">
        <f t="shared" si="1"/>
        <v>Team: CSE-301  -  Project: Machine Learning framework for Traumatic Brain Injury genetic data</v>
      </c>
    </row>
    <row r="42" ht="18.75" customHeight="1">
      <c r="A42" s="25">
        <v>7.0</v>
      </c>
      <c r="B42" s="25">
        <v>5.0</v>
      </c>
      <c r="C42" s="25" t="s">
        <v>12</v>
      </c>
      <c r="D42" s="25" t="s">
        <v>169</v>
      </c>
      <c r="E42" s="25">
        <v>302.0</v>
      </c>
      <c r="F42" s="25" t="s">
        <v>423</v>
      </c>
      <c r="G42" s="25" t="s">
        <v>171</v>
      </c>
      <c r="H42" s="25" t="s">
        <v>172</v>
      </c>
      <c r="I42" s="26" t="s">
        <v>28</v>
      </c>
      <c r="J42" s="25" t="s">
        <v>424</v>
      </c>
      <c r="K42" s="25" t="s">
        <v>177</v>
      </c>
      <c r="L42" s="25" t="str">
        <f t="shared" si="1"/>
        <v>Team: CSE-302  -  Project: Machine Learning framework for Traumatic Brain Injury genetic data</v>
      </c>
    </row>
    <row r="43" ht="18.75" customHeight="1">
      <c r="A43" s="25">
        <v>5.0</v>
      </c>
      <c r="B43" s="25">
        <v>9.0</v>
      </c>
      <c r="C43" s="25" t="s">
        <v>12</v>
      </c>
      <c r="D43" s="25" t="s">
        <v>169</v>
      </c>
      <c r="E43" s="25">
        <v>303.0</v>
      </c>
      <c r="F43" s="25" t="s">
        <v>425</v>
      </c>
      <c r="G43" s="25" t="s">
        <v>179</v>
      </c>
      <c r="H43" s="25" t="s">
        <v>172</v>
      </c>
      <c r="I43" s="26" t="s">
        <v>28</v>
      </c>
      <c r="J43" s="25" t="s">
        <v>426</v>
      </c>
      <c r="K43" s="25" t="s">
        <v>181</v>
      </c>
      <c r="L43" s="25" t="str">
        <f t="shared" si="1"/>
        <v>Team: CSE-303  -  Project: LLM model for health data - Phase 2</v>
      </c>
    </row>
    <row r="44" ht="18.75" customHeight="1">
      <c r="A44" s="25">
        <v>6.0</v>
      </c>
      <c r="B44" s="25">
        <v>7.0</v>
      </c>
      <c r="C44" s="25" t="s">
        <v>12</v>
      </c>
      <c r="D44" s="25" t="s">
        <v>169</v>
      </c>
      <c r="E44" s="25">
        <v>304.0</v>
      </c>
      <c r="F44" s="25" t="s">
        <v>427</v>
      </c>
      <c r="G44" s="25" t="s">
        <v>179</v>
      </c>
      <c r="H44" s="25" t="s">
        <v>172</v>
      </c>
      <c r="I44" s="26" t="s">
        <v>28</v>
      </c>
      <c r="J44" s="25" t="s">
        <v>428</v>
      </c>
      <c r="K44" s="25" t="s">
        <v>184</v>
      </c>
      <c r="L44" s="25" t="str">
        <f t="shared" si="1"/>
        <v>Team: CSE-304  -  Project: LLM model for health data - Phase 2</v>
      </c>
    </row>
    <row r="45" ht="18.75" customHeight="1">
      <c r="A45" s="25">
        <v>6.0</v>
      </c>
      <c r="B45" s="25">
        <v>4.0</v>
      </c>
      <c r="C45" s="25" t="s">
        <v>12</v>
      </c>
      <c r="D45" s="25" t="s">
        <v>169</v>
      </c>
      <c r="E45" s="25">
        <v>305.0</v>
      </c>
      <c r="F45" s="25" t="s">
        <v>429</v>
      </c>
      <c r="G45" s="25" t="s">
        <v>186</v>
      </c>
      <c r="H45" s="25" t="s">
        <v>187</v>
      </c>
      <c r="I45" s="26" t="s">
        <v>59</v>
      </c>
      <c r="J45" s="25" t="s">
        <v>430</v>
      </c>
      <c r="K45" s="25" t="s">
        <v>189</v>
      </c>
      <c r="L45" s="25" t="str">
        <f t="shared" si="1"/>
        <v>Team: CSE-305  -  Project: Machine learning for cardiac electrophysiology</v>
      </c>
    </row>
    <row r="46" ht="18.75" customHeight="1">
      <c r="A46" s="25">
        <v>6.0</v>
      </c>
      <c r="B46" s="25">
        <v>2.0</v>
      </c>
      <c r="C46" s="25" t="s">
        <v>12</v>
      </c>
      <c r="D46" s="25" t="s">
        <v>169</v>
      </c>
      <c r="E46" s="25">
        <v>306.0</v>
      </c>
      <c r="F46" s="25" t="s">
        <v>431</v>
      </c>
      <c r="G46" s="25" t="s">
        <v>191</v>
      </c>
      <c r="H46" s="25" t="s">
        <v>192</v>
      </c>
      <c r="I46" s="26" t="s">
        <v>193</v>
      </c>
      <c r="J46" s="25" t="s">
        <v>432</v>
      </c>
      <c r="K46" s="25" t="s">
        <v>195</v>
      </c>
      <c r="L46" s="25" t="str">
        <f t="shared" si="1"/>
        <v>Team: CSE-306  -  Project: Rapid Prototyping Services App</v>
      </c>
    </row>
    <row r="47" ht="18.75" customHeight="1">
      <c r="A47" s="25">
        <v>7.0</v>
      </c>
      <c r="B47" s="25">
        <v>2.0</v>
      </c>
      <c r="C47" s="25" t="s">
        <v>12</v>
      </c>
      <c r="D47" s="25" t="s">
        <v>169</v>
      </c>
      <c r="E47" s="25">
        <v>307.0</v>
      </c>
      <c r="F47" s="25" t="s">
        <v>433</v>
      </c>
      <c r="G47" s="25" t="s">
        <v>191</v>
      </c>
      <c r="H47" s="25" t="s">
        <v>192</v>
      </c>
      <c r="I47" s="26" t="s">
        <v>193</v>
      </c>
      <c r="J47" s="25" t="s">
        <v>434</v>
      </c>
      <c r="K47" s="25" t="s">
        <v>435</v>
      </c>
      <c r="L47" s="25" t="str">
        <f t="shared" si="1"/>
        <v>Team: CSE-307  -  Project: Rapid Prototyping Services App</v>
      </c>
    </row>
    <row r="48" ht="18.75" customHeight="1">
      <c r="A48" s="25">
        <v>5.0</v>
      </c>
      <c r="B48" s="25">
        <v>6.0</v>
      </c>
      <c r="C48" s="25" t="s">
        <v>12</v>
      </c>
      <c r="D48" s="25" t="s">
        <v>169</v>
      </c>
      <c r="E48" s="25">
        <v>308.0</v>
      </c>
      <c r="F48" s="25" t="s">
        <v>436</v>
      </c>
      <c r="G48" s="25" t="s">
        <v>200</v>
      </c>
      <c r="H48" s="25" t="s">
        <v>201</v>
      </c>
      <c r="I48" s="26" t="s">
        <v>50</v>
      </c>
      <c r="J48" s="25" t="s">
        <v>437</v>
      </c>
      <c r="K48" s="25" t="s">
        <v>438</v>
      </c>
      <c r="L48" s="25" t="str">
        <f t="shared" si="1"/>
        <v>Team: CSE-308  -  Project: Cognitive Tests Using Modern Mobile Game Technology</v>
      </c>
    </row>
    <row r="49" ht="18.75" customHeight="1">
      <c r="A49" s="25">
        <v>7.0</v>
      </c>
      <c r="B49" s="25">
        <v>1.0</v>
      </c>
      <c r="C49" s="25" t="s">
        <v>12</v>
      </c>
      <c r="D49" s="25" t="s">
        <v>169</v>
      </c>
      <c r="E49" s="25">
        <v>309.0</v>
      </c>
      <c r="F49" s="25" t="s">
        <v>439</v>
      </c>
      <c r="G49" s="25" t="s">
        <v>200</v>
      </c>
      <c r="H49" s="25" t="s">
        <v>201</v>
      </c>
      <c r="I49" s="26" t="s">
        <v>50</v>
      </c>
      <c r="J49" s="25" t="s">
        <v>440</v>
      </c>
      <c r="K49" s="25" t="s">
        <v>206</v>
      </c>
      <c r="L49" s="25" t="str">
        <f t="shared" si="1"/>
        <v>Team: CSE-309  -  Project: Cognitive Tests Using Modern Mobile Game Technology</v>
      </c>
    </row>
    <row r="50" ht="18.75" customHeight="1">
      <c r="A50" s="25">
        <v>5.0</v>
      </c>
      <c r="B50" s="25">
        <v>3.0</v>
      </c>
      <c r="C50" s="25" t="s">
        <v>12</v>
      </c>
      <c r="D50" s="25" t="s">
        <v>169</v>
      </c>
      <c r="E50" s="25">
        <v>310.0</v>
      </c>
      <c r="F50" s="25" t="s">
        <v>441</v>
      </c>
      <c r="G50" s="25" t="s">
        <v>208</v>
      </c>
      <c r="H50" s="25" t="s">
        <v>442</v>
      </c>
      <c r="I50" s="26" t="s">
        <v>210</v>
      </c>
      <c r="J50" s="25" t="s">
        <v>443</v>
      </c>
      <c r="K50" s="25" t="s">
        <v>212</v>
      </c>
      <c r="L50" s="25" t="str">
        <f t="shared" si="1"/>
        <v>Team: CSE-310  -  Project: Advanced Image Analysis Platform based on Segment Anything Model (SAM)</v>
      </c>
    </row>
    <row r="51" ht="18.75" customHeight="1">
      <c r="A51" s="25">
        <v>8.0</v>
      </c>
      <c r="B51" s="25">
        <v>1.0</v>
      </c>
      <c r="C51" s="25" t="s">
        <v>12</v>
      </c>
      <c r="D51" s="25" t="s">
        <v>169</v>
      </c>
      <c r="E51" s="25">
        <v>311.0</v>
      </c>
      <c r="F51" s="25" t="s">
        <v>444</v>
      </c>
      <c r="G51" s="25" t="s">
        <v>208</v>
      </c>
      <c r="H51" s="25" t="s">
        <v>442</v>
      </c>
      <c r="I51" s="26" t="s">
        <v>210</v>
      </c>
      <c r="J51" s="25" t="s">
        <v>445</v>
      </c>
      <c r="K51" s="25" t="s">
        <v>215</v>
      </c>
      <c r="L51" s="25" t="str">
        <f t="shared" si="1"/>
        <v>Team: CSE-311  -  Project: Advanced Image Analysis Platform based on Segment Anything Model (SAM)</v>
      </c>
    </row>
    <row r="52" ht="18.75" customHeight="1">
      <c r="A52" s="25">
        <v>7.0</v>
      </c>
      <c r="B52" s="25">
        <v>3.0</v>
      </c>
      <c r="C52" s="25" t="s">
        <v>12</v>
      </c>
      <c r="D52" s="25" t="s">
        <v>169</v>
      </c>
      <c r="E52" s="25">
        <v>312.0</v>
      </c>
      <c r="F52" s="25" t="s">
        <v>446</v>
      </c>
      <c r="G52" s="25" t="s">
        <v>217</v>
      </c>
      <c r="H52" s="25" t="s">
        <v>126</v>
      </c>
      <c r="I52" s="26" t="s">
        <v>17</v>
      </c>
      <c r="J52" s="25" t="s">
        <v>447</v>
      </c>
      <c r="K52" s="25" t="s">
        <v>219</v>
      </c>
      <c r="L52" s="25" t="str">
        <f t="shared" si="1"/>
        <v>Team: CSE-312  -  Project: Average size of tomatoes in trailer</v>
      </c>
    </row>
    <row r="53" ht="18.75" customHeight="1">
      <c r="A53" s="25">
        <v>5.0</v>
      </c>
      <c r="B53" s="25">
        <v>7.0</v>
      </c>
      <c r="C53" s="25" t="s">
        <v>12</v>
      </c>
      <c r="D53" s="25" t="s">
        <v>169</v>
      </c>
      <c r="E53" s="25">
        <v>313.0</v>
      </c>
      <c r="F53" s="25" t="s">
        <v>448</v>
      </c>
      <c r="G53" s="25" t="s">
        <v>217</v>
      </c>
      <c r="H53" s="25" t="s">
        <v>126</v>
      </c>
      <c r="I53" s="26" t="s">
        <v>17</v>
      </c>
      <c r="J53" s="25" t="s">
        <v>449</v>
      </c>
      <c r="K53" s="25" t="s">
        <v>222</v>
      </c>
      <c r="L53" s="25" t="str">
        <f t="shared" si="1"/>
        <v>Team: CSE-313  -  Project: Average size of tomatoes in trailer</v>
      </c>
    </row>
    <row r="54" ht="18.75" customHeight="1">
      <c r="A54" s="25">
        <v>6.0</v>
      </c>
      <c r="B54" s="25">
        <v>6.0</v>
      </c>
      <c r="C54" s="25" t="s">
        <v>12</v>
      </c>
      <c r="D54" s="25" t="s">
        <v>169</v>
      </c>
      <c r="E54" s="25">
        <v>314.0</v>
      </c>
      <c r="F54" s="25" t="s">
        <v>450</v>
      </c>
      <c r="G54" s="25" t="s">
        <v>224</v>
      </c>
      <c r="H54" s="25" t="s">
        <v>225</v>
      </c>
      <c r="I54" s="26" t="s">
        <v>17</v>
      </c>
      <c r="J54" s="25" t="s">
        <v>451</v>
      </c>
      <c r="K54" s="25" t="s">
        <v>227</v>
      </c>
      <c r="L54" s="25" t="str">
        <f t="shared" si="1"/>
        <v>Team: CSE-314  -  Project: SpoilSafe Monitor</v>
      </c>
    </row>
    <row r="55" ht="18.75" customHeight="1">
      <c r="A55" s="25">
        <v>8.0</v>
      </c>
      <c r="B55" s="25">
        <v>8.0</v>
      </c>
      <c r="C55" s="25" t="s">
        <v>12</v>
      </c>
      <c r="D55" s="25" t="s">
        <v>169</v>
      </c>
      <c r="E55" s="25">
        <v>315.0</v>
      </c>
      <c r="F55" s="25" t="s">
        <v>452</v>
      </c>
      <c r="G55" s="25" t="s">
        <v>224</v>
      </c>
      <c r="H55" s="25" t="s">
        <v>225</v>
      </c>
      <c r="I55" s="26" t="s">
        <v>17</v>
      </c>
      <c r="J55" s="25" t="s">
        <v>453</v>
      </c>
      <c r="K55" s="25" t="s">
        <v>454</v>
      </c>
      <c r="L55" s="25" t="str">
        <f t="shared" si="1"/>
        <v>Team: CSE-315  -  Project: SpoilSafe Monitor</v>
      </c>
    </row>
    <row r="56" ht="18.75" customHeight="1">
      <c r="A56" s="25">
        <v>6.0</v>
      </c>
      <c r="B56" s="25">
        <v>3.0</v>
      </c>
      <c r="C56" s="25" t="s">
        <v>12</v>
      </c>
      <c r="D56" s="25" t="s">
        <v>169</v>
      </c>
      <c r="E56" s="25">
        <v>316.0</v>
      </c>
      <c r="F56" s="25" t="s">
        <v>455</v>
      </c>
      <c r="G56" s="25" t="s">
        <v>232</v>
      </c>
      <c r="H56" s="25" t="s">
        <v>233</v>
      </c>
      <c r="I56" s="26" t="s">
        <v>234</v>
      </c>
      <c r="J56" s="25" t="s">
        <v>456</v>
      </c>
      <c r="K56" s="25" t="s">
        <v>236</v>
      </c>
      <c r="L56" s="25" t="str">
        <f t="shared" si="1"/>
        <v>Team: CSE-316  -  Project: Developing an interface for gridded data products</v>
      </c>
    </row>
    <row r="57" ht="18.75" customHeight="1">
      <c r="A57" s="25">
        <v>7.0</v>
      </c>
      <c r="B57" s="25">
        <v>6.0</v>
      </c>
      <c r="C57" s="25" t="s">
        <v>12</v>
      </c>
      <c r="D57" s="25" t="s">
        <v>169</v>
      </c>
      <c r="E57" s="25">
        <v>317.0</v>
      </c>
      <c r="F57" s="25" t="s">
        <v>457</v>
      </c>
      <c r="G57" s="25" t="s">
        <v>238</v>
      </c>
      <c r="H57" s="25" t="s">
        <v>161</v>
      </c>
      <c r="I57" s="26" t="s">
        <v>77</v>
      </c>
      <c r="J57" s="25" t="s">
        <v>458</v>
      </c>
      <c r="K57" s="25" t="s">
        <v>240</v>
      </c>
      <c r="L57" s="25" t="str">
        <f t="shared" si="1"/>
        <v>Team: CSE-317  -  Project: BART Aerial Track Inspection</v>
      </c>
    </row>
    <row r="58" ht="18.75" customHeight="1">
      <c r="A58" s="25">
        <v>8.0</v>
      </c>
      <c r="B58" s="25">
        <v>3.0</v>
      </c>
      <c r="C58" s="25" t="s">
        <v>12</v>
      </c>
      <c r="D58" s="25" t="s">
        <v>169</v>
      </c>
      <c r="E58" s="25">
        <v>318.0</v>
      </c>
      <c r="F58" s="25" t="s">
        <v>459</v>
      </c>
      <c r="G58" s="25" t="s">
        <v>238</v>
      </c>
      <c r="H58" s="25" t="s">
        <v>161</v>
      </c>
      <c r="I58" s="26" t="s">
        <v>77</v>
      </c>
      <c r="J58" s="25" t="s">
        <v>460</v>
      </c>
      <c r="K58" s="25" t="s">
        <v>243</v>
      </c>
      <c r="L58" s="25" t="str">
        <f t="shared" si="1"/>
        <v>Team: CSE-318  -  Project: BART Aerial Track Inspection</v>
      </c>
    </row>
    <row r="59" ht="18.75" customHeight="1">
      <c r="A59" s="25">
        <v>8.0</v>
      </c>
      <c r="B59" s="25">
        <v>4.0</v>
      </c>
      <c r="C59" s="25" t="s">
        <v>12</v>
      </c>
      <c r="D59" s="25" t="s">
        <v>169</v>
      </c>
      <c r="E59" s="25">
        <v>319.0</v>
      </c>
      <c r="F59" s="25" t="s">
        <v>461</v>
      </c>
      <c r="G59" s="25" t="s">
        <v>245</v>
      </c>
      <c r="H59" s="25" t="s">
        <v>156</v>
      </c>
      <c r="I59" s="26" t="s">
        <v>17</v>
      </c>
      <c r="J59" s="25" t="s">
        <v>462</v>
      </c>
      <c r="K59" s="25" t="s">
        <v>247</v>
      </c>
      <c r="L59" s="25" t="str">
        <f t="shared" si="1"/>
        <v>Team: CSE-319  -  Project: Vehicle Mileage and Fuel Logging Application</v>
      </c>
    </row>
    <row r="60" ht="18.75" customHeight="1">
      <c r="A60" s="25">
        <v>5.0</v>
      </c>
      <c r="B60" s="25">
        <v>8.0</v>
      </c>
      <c r="C60" s="25" t="s">
        <v>12</v>
      </c>
      <c r="D60" s="25" t="s">
        <v>169</v>
      </c>
      <c r="E60" s="25">
        <v>320.0</v>
      </c>
      <c r="F60" s="25" t="s">
        <v>463</v>
      </c>
      <c r="G60" s="25" t="s">
        <v>245</v>
      </c>
      <c r="H60" s="25" t="s">
        <v>156</v>
      </c>
      <c r="I60" s="26" t="s">
        <v>17</v>
      </c>
      <c r="J60" s="25" t="s">
        <v>464</v>
      </c>
      <c r="K60" s="25" t="s">
        <v>250</v>
      </c>
      <c r="L60" s="25" t="str">
        <f t="shared" si="1"/>
        <v>Team: CSE-320  -  Project: Vehicle Mileage and Fuel Logging Application</v>
      </c>
    </row>
    <row r="61" ht="18.75" customHeight="1">
      <c r="A61" s="25">
        <v>8.0</v>
      </c>
      <c r="B61" s="25">
        <v>9.0</v>
      </c>
      <c r="C61" s="25" t="s">
        <v>12</v>
      </c>
      <c r="D61" s="25" t="s">
        <v>169</v>
      </c>
      <c r="E61" s="25">
        <v>321.0</v>
      </c>
      <c r="F61" s="25" t="s">
        <v>465</v>
      </c>
      <c r="G61" s="25" t="s">
        <v>252</v>
      </c>
      <c r="H61" s="25" t="s">
        <v>151</v>
      </c>
      <c r="I61" s="26" t="s">
        <v>17</v>
      </c>
      <c r="J61" s="25" t="s">
        <v>466</v>
      </c>
      <c r="K61" s="25" t="s">
        <v>467</v>
      </c>
      <c r="L61" s="25" t="str">
        <f t="shared" si="1"/>
        <v>Team: CSE-321  -  Project: Cheese Block Defect Detection</v>
      </c>
    </row>
    <row r="62" ht="18.75" customHeight="1">
      <c r="A62" s="25">
        <v>7.0</v>
      </c>
      <c r="B62" s="25">
        <v>4.0</v>
      </c>
      <c r="C62" s="25" t="s">
        <v>12</v>
      </c>
      <c r="D62" s="25" t="s">
        <v>169</v>
      </c>
      <c r="E62" s="25">
        <v>322.0</v>
      </c>
      <c r="F62" s="25" t="s">
        <v>468</v>
      </c>
      <c r="G62" s="25" t="s">
        <v>252</v>
      </c>
      <c r="H62" s="25" t="s">
        <v>151</v>
      </c>
      <c r="I62" s="26" t="s">
        <v>17</v>
      </c>
      <c r="J62" s="25" t="s">
        <v>469</v>
      </c>
      <c r="K62" s="25" t="s">
        <v>257</v>
      </c>
      <c r="L62" s="25" t="str">
        <f t="shared" si="1"/>
        <v>Team: CSE-322  -  Project: Cheese Block Defect Detection</v>
      </c>
    </row>
    <row r="63" ht="18.75" customHeight="1">
      <c r="A63" s="25">
        <v>6.0</v>
      </c>
      <c r="B63" s="25">
        <v>5.0</v>
      </c>
      <c r="C63" s="25" t="s">
        <v>12</v>
      </c>
      <c r="D63" s="25" t="s">
        <v>169</v>
      </c>
      <c r="E63" s="25">
        <v>323.0</v>
      </c>
      <c r="F63" s="25" t="s">
        <v>470</v>
      </c>
      <c r="G63" s="25" t="s">
        <v>259</v>
      </c>
      <c r="H63" s="25" t="s">
        <v>260</v>
      </c>
      <c r="I63" s="26" t="s">
        <v>17</v>
      </c>
      <c r="J63" s="25" t="s">
        <v>471</v>
      </c>
      <c r="K63" s="25" t="s">
        <v>472</v>
      </c>
      <c r="L63" s="25" t="str">
        <f t="shared" si="1"/>
        <v>Team: CSE-323  -  Project: Crop Yield Estimation via Robotic Image Capture</v>
      </c>
    </row>
    <row r="64" ht="18.75" customHeight="1">
      <c r="A64" s="25">
        <v>8.0</v>
      </c>
      <c r="B64" s="25">
        <v>5.0</v>
      </c>
      <c r="C64" s="25" t="s">
        <v>12</v>
      </c>
      <c r="D64" s="25" t="s">
        <v>169</v>
      </c>
      <c r="E64" s="25">
        <v>324.0</v>
      </c>
      <c r="F64" s="25" t="s">
        <v>473</v>
      </c>
      <c r="G64" s="25" t="s">
        <v>264</v>
      </c>
      <c r="H64" s="25" t="s">
        <v>126</v>
      </c>
      <c r="I64" s="26" t="s">
        <v>17</v>
      </c>
      <c r="J64" s="25" t="s">
        <v>474</v>
      </c>
      <c r="K64" s="25" t="s">
        <v>475</v>
      </c>
      <c r="L64" s="25" t="str">
        <f t="shared" si="1"/>
        <v>Team: CSE-324  -  Project: Programming a robotic arm to weld parts</v>
      </c>
    </row>
    <row r="65" ht="18.75" customHeight="1">
      <c r="A65" s="25">
        <v>8.0</v>
      </c>
      <c r="B65" s="25">
        <v>7.0</v>
      </c>
      <c r="C65" s="25" t="s">
        <v>12</v>
      </c>
      <c r="D65" s="25" t="s">
        <v>169</v>
      </c>
      <c r="E65" s="25">
        <v>325.0</v>
      </c>
      <c r="F65" s="25" t="s">
        <v>476</v>
      </c>
      <c r="G65" s="25" t="s">
        <v>268</v>
      </c>
      <c r="H65" s="25" t="s">
        <v>269</v>
      </c>
      <c r="I65" s="26" t="s">
        <v>193</v>
      </c>
      <c r="J65" s="25" t="s">
        <v>477</v>
      </c>
      <c r="K65" s="25" t="s">
        <v>271</v>
      </c>
      <c r="L65" s="25" t="str">
        <f t="shared" si="1"/>
        <v>Team: CSE-325  -  Project: Turning Search Results into Curated and Linked Information</v>
      </c>
    </row>
    <row r="66" ht="18.75" customHeight="1">
      <c r="A66" s="25">
        <v>6.0</v>
      </c>
      <c r="B66" s="25">
        <v>8.0</v>
      </c>
      <c r="C66" s="25" t="s">
        <v>12</v>
      </c>
      <c r="D66" s="25" t="s">
        <v>169</v>
      </c>
      <c r="E66" s="25">
        <v>326.0</v>
      </c>
      <c r="F66" s="25" t="s">
        <v>478</v>
      </c>
      <c r="G66" s="25" t="s">
        <v>268</v>
      </c>
      <c r="H66" s="25" t="s">
        <v>269</v>
      </c>
      <c r="I66" s="26" t="s">
        <v>193</v>
      </c>
      <c r="J66" s="25" t="s">
        <v>479</v>
      </c>
      <c r="K66" s="25" t="s">
        <v>480</v>
      </c>
      <c r="L66" s="25" t="str">
        <f t="shared" si="1"/>
        <v>Team: CSE-326  -  Project: Turning Search Results into Curated and Linked Information</v>
      </c>
    </row>
    <row r="67" ht="18.75" customHeight="1">
      <c r="A67" s="25">
        <v>5.0</v>
      </c>
      <c r="B67" s="25">
        <v>4.0</v>
      </c>
      <c r="C67" s="25" t="s">
        <v>12</v>
      </c>
      <c r="D67" s="25" t="s">
        <v>169</v>
      </c>
      <c r="E67" s="25">
        <v>327.0</v>
      </c>
      <c r="F67" s="25" t="s">
        <v>481</v>
      </c>
      <c r="G67" s="25" t="s">
        <v>276</v>
      </c>
      <c r="H67" s="25" t="s">
        <v>269</v>
      </c>
      <c r="I67" s="26" t="s">
        <v>193</v>
      </c>
      <c r="J67" s="25" t="s">
        <v>482</v>
      </c>
      <c r="K67" s="25" t="s">
        <v>278</v>
      </c>
      <c r="L67" s="25" t="str">
        <f t="shared" si="1"/>
        <v>Team: CSE-327  -  Project: Networking Engagement - Information Capture and Aggregation App</v>
      </c>
    </row>
    <row r="68" ht="18.75" customHeight="1">
      <c r="A68" s="25">
        <v>7.0</v>
      </c>
      <c r="B68" s="25">
        <v>9.0</v>
      </c>
      <c r="C68" s="25" t="s">
        <v>12</v>
      </c>
      <c r="D68" s="25" t="s">
        <v>169</v>
      </c>
      <c r="E68" s="25">
        <v>328.0</v>
      </c>
      <c r="F68" s="25" t="s">
        <v>483</v>
      </c>
      <c r="G68" s="25" t="s">
        <v>276</v>
      </c>
      <c r="H68" s="25" t="s">
        <v>269</v>
      </c>
      <c r="I68" s="26" t="s">
        <v>193</v>
      </c>
      <c r="J68" s="25" t="s">
        <v>484</v>
      </c>
      <c r="K68" s="25" t="s">
        <v>281</v>
      </c>
      <c r="L68" s="25" t="str">
        <f t="shared" si="1"/>
        <v>Team: CSE-328  -  Project: Networking Engagement - Information Capture and Aggregation App</v>
      </c>
    </row>
    <row r="69" ht="18.75" customHeight="1">
      <c r="A69" s="25">
        <v>6.0</v>
      </c>
      <c r="B69" s="25">
        <v>1.0</v>
      </c>
      <c r="C69" s="25" t="s">
        <v>12</v>
      </c>
      <c r="D69" s="25" t="s">
        <v>169</v>
      </c>
      <c r="E69" s="25">
        <v>329.0</v>
      </c>
      <c r="F69" s="25" t="s">
        <v>485</v>
      </c>
      <c r="G69" s="25" t="s">
        <v>283</v>
      </c>
      <c r="H69" s="25" t="s">
        <v>126</v>
      </c>
      <c r="I69" s="26" t="s">
        <v>17</v>
      </c>
      <c r="J69" s="25" t="s">
        <v>486</v>
      </c>
      <c r="K69" s="25" t="s">
        <v>285</v>
      </c>
      <c r="L69" s="25" t="str">
        <f t="shared" si="1"/>
        <v>Team: CSE-329  -  Project: Plant Counting Program</v>
      </c>
    </row>
    <row r="70" ht="18.75" customHeight="1">
      <c r="A70" s="25">
        <v>8.0</v>
      </c>
      <c r="B70" s="25">
        <v>6.0</v>
      </c>
      <c r="C70" s="25" t="s">
        <v>12</v>
      </c>
      <c r="D70" s="25" t="s">
        <v>169</v>
      </c>
      <c r="E70" s="25">
        <v>330.0</v>
      </c>
      <c r="F70" s="25" t="s">
        <v>487</v>
      </c>
      <c r="G70" s="25" t="s">
        <v>283</v>
      </c>
      <c r="H70" s="25" t="s">
        <v>126</v>
      </c>
      <c r="I70" s="26" t="s">
        <v>17</v>
      </c>
      <c r="J70" s="25" t="s">
        <v>488</v>
      </c>
      <c r="K70" s="25" t="s">
        <v>288</v>
      </c>
      <c r="L70" s="25" t="str">
        <f t="shared" si="1"/>
        <v>Team: CSE-330  -  Project: Plant Counting Program</v>
      </c>
    </row>
    <row r="71" ht="18.75" customHeight="1">
      <c r="A71" s="25">
        <v>5.0</v>
      </c>
      <c r="B71" s="25">
        <v>5.0</v>
      </c>
      <c r="C71" s="25" t="s">
        <v>12</v>
      </c>
      <c r="D71" s="25" t="s">
        <v>169</v>
      </c>
      <c r="E71" s="25">
        <v>331.0</v>
      </c>
      <c r="F71" s="25" t="s">
        <v>489</v>
      </c>
      <c r="G71" s="25" t="s">
        <v>238</v>
      </c>
      <c r="H71" s="25" t="s">
        <v>161</v>
      </c>
      <c r="I71" s="26" t="s">
        <v>77</v>
      </c>
      <c r="J71" s="25" t="s">
        <v>490</v>
      </c>
      <c r="K71" s="25" t="s">
        <v>291</v>
      </c>
      <c r="L71" s="25" t="str">
        <f t="shared" si="1"/>
        <v>Team: CSE-331  -  Project: BART Aerial Track Inspection</v>
      </c>
    </row>
    <row r="72" ht="18.75" customHeight="1">
      <c r="A72" s="25">
        <v>6.0</v>
      </c>
      <c r="B72" s="25">
        <v>9.0</v>
      </c>
      <c r="C72" s="25" t="s">
        <v>12</v>
      </c>
      <c r="D72" s="25" t="s">
        <v>169</v>
      </c>
      <c r="E72" s="25">
        <v>332.0</v>
      </c>
      <c r="F72" s="25" t="s">
        <v>491</v>
      </c>
      <c r="G72" s="25" t="s">
        <v>293</v>
      </c>
      <c r="H72" s="25" t="s">
        <v>161</v>
      </c>
      <c r="I72" s="26" t="s">
        <v>77</v>
      </c>
      <c r="J72" s="25" t="s">
        <v>492</v>
      </c>
      <c r="K72" s="25" t="s">
        <v>295</v>
      </c>
      <c r="L72" s="25" t="str">
        <f t="shared" si="1"/>
        <v>Team: CSE-332  -  Project: Assistive Wayfinding for BART Stations</v>
      </c>
    </row>
    <row r="73" ht="18.75" customHeight="1">
      <c r="A73" s="25">
        <v>7.0</v>
      </c>
      <c r="B73" s="25">
        <v>8.0</v>
      </c>
      <c r="C73" s="25" t="s">
        <v>12</v>
      </c>
      <c r="D73" s="25" t="s">
        <v>169</v>
      </c>
      <c r="E73" s="25">
        <v>333.0</v>
      </c>
      <c r="F73" s="25" t="s">
        <v>493</v>
      </c>
      <c r="G73" s="25" t="s">
        <v>297</v>
      </c>
      <c r="H73" s="25" t="s">
        <v>298</v>
      </c>
      <c r="I73" s="26" t="s">
        <v>59</v>
      </c>
      <c r="J73" s="25" t="s">
        <v>494</v>
      </c>
      <c r="K73" s="25" t="s">
        <v>495</v>
      </c>
      <c r="L73" s="25" t="str">
        <f t="shared" si="1"/>
        <v>Team: CSE-333  -  Project: Cloud sync engine</v>
      </c>
    </row>
    <row r="74" ht="18.75" customHeight="1">
      <c r="A74" s="25">
        <v>5.0</v>
      </c>
      <c r="B74" s="25">
        <v>2.0</v>
      </c>
      <c r="C74" s="25" t="s">
        <v>12</v>
      </c>
      <c r="D74" s="25" t="s">
        <v>169</v>
      </c>
      <c r="E74" s="25">
        <v>334.0</v>
      </c>
      <c r="F74" s="25" t="s">
        <v>496</v>
      </c>
      <c r="G74" s="25" t="s">
        <v>297</v>
      </c>
      <c r="H74" s="25" t="s">
        <v>298</v>
      </c>
      <c r="I74" s="26" t="s">
        <v>59</v>
      </c>
      <c r="J74" s="25" t="s">
        <v>497</v>
      </c>
      <c r="K74" s="25" t="s">
        <v>498</v>
      </c>
      <c r="L74" s="25" t="str">
        <f t="shared" si="1"/>
        <v>Team: CSE-334  -  Project: Cloud sync engine</v>
      </c>
    </row>
    <row r="75" ht="18.75" customHeight="1">
      <c r="A75" s="25">
        <v>5.0</v>
      </c>
      <c r="B75" s="25">
        <v>1.0</v>
      </c>
      <c r="C75" s="25" t="s">
        <v>12</v>
      </c>
      <c r="D75" s="25" t="s">
        <v>169</v>
      </c>
      <c r="E75" s="25">
        <v>335.0</v>
      </c>
      <c r="F75" s="25" t="s">
        <v>499</v>
      </c>
      <c r="G75" s="25" t="s">
        <v>305</v>
      </c>
      <c r="H75" s="25" t="s">
        <v>306</v>
      </c>
      <c r="I75" s="26" t="s">
        <v>132</v>
      </c>
      <c r="J75" s="25" t="s">
        <v>500</v>
      </c>
      <c r="K75" s="25" t="s">
        <v>308</v>
      </c>
      <c r="L75" s="25" t="str">
        <f t="shared" si="1"/>
        <v>Team: CSE-335  -  Project: Wine Inventory Management Using Machine Vision</v>
      </c>
    </row>
    <row r="76" ht="18.75" customHeight="1">
      <c r="A76" s="25">
        <v>7.0</v>
      </c>
      <c r="B76" s="25">
        <v>7.0</v>
      </c>
      <c r="C76" s="25" t="s">
        <v>12</v>
      </c>
      <c r="D76" s="25" t="s">
        <v>169</v>
      </c>
      <c r="E76" s="25">
        <v>336.0</v>
      </c>
      <c r="F76" s="25" t="s">
        <v>501</v>
      </c>
      <c r="G76" s="25" t="s">
        <v>305</v>
      </c>
      <c r="H76" s="25" t="s">
        <v>306</v>
      </c>
      <c r="I76" s="26" t="s">
        <v>132</v>
      </c>
      <c r="J76" s="25" t="s">
        <v>502</v>
      </c>
      <c r="K76" s="25" t="s">
        <v>311</v>
      </c>
      <c r="L76" s="25" t="str">
        <f t="shared" si="1"/>
        <v>Team: CSE-336  -  Project: Wine Inventory Management Using Machine Vision</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6.75"/>
    <col customWidth="1" min="3" max="3" width="15.38"/>
    <col customWidth="1" min="4" max="4" width="5.75"/>
    <col customWidth="1" min="5" max="5" width="10.25"/>
    <col customWidth="1" min="6" max="6" width="14.25"/>
    <col customWidth="1" min="7" max="7" width="16.0"/>
    <col customWidth="1" min="8" max="8" width="16.5"/>
    <col customWidth="1" min="9" max="9" width="11.5"/>
    <col customWidth="1" min="10" max="10" width="52.38"/>
    <col customWidth="1" min="11" max="11" width="65.75"/>
    <col customWidth="1" min="12" max="12" width="92.75"/>
  </cols>
  <sheetData>
    <row r="1" ht="18.75" customHeight="1">
      <c r="A1" s="24" t="s">
        <v>0</v>
      </c>
      <c r="B1" s="24" t="s">
        <v>1</v>
      </c>
      <c r="C1" s="24" t="s">
        <v>2</v>
      </c>
      <c r="D1" s="24" t="s">
        <v>3</v>
      </c>
      <c r="E1" s="24" t="s">
        <v>4</v>
      </c>
      <c r="F1" s="24" t="s">
        <v>5</v>
      </c>
      <c r="G1" s="24" t="s">
        <v>6</v>
      </c>
      <c r="H1" s="24" t="s">
        <v>7</v>
      </c>
      <c r="I1" s="24" t="s">
        <v>8</v>
      </c>
      <c r="J1" s="24" t="s">
        <v>9</v>
      </c>
      <c r="K1" s="24" t="s">
        <v>10</v>
      </c>
      <c r="L1" s="24" t="s">
        <v>11</v>
      </c>
    </row>
    <row r="2" ht="18.75" customHeight="1">
      <c r="A2" s="25">
        <v>1.0</v>
      </c>
      <c r="B2" s="25">
        <v>2.0</v>
      </c>
      <c r="C2" s="25" t="s">
        <v>12</v>
      </c>
      <c r="D2" s="25" t="s">
        <v>13</v>
      </c>
      <c r="E2" s="25">
        <v>101.0</v>
      </c>
      <c r="F2" s="25" t="s">
        <v>378</v>
      </c>
      <c r="G2" s="25" t="s">
        <v>15</v>
      </c>
      <c r="H2" s="25" t="s">
        <v>16</v>
      </c>
      <c r="I2" s="26" t="s">
        <v>17</v>
      </c>
      <c r="J2" s="25" t="s">
        <v>379</v>
      </c>
      <c r="K2" s="25" t="s">
        <v>19</v>
      </c>
      <c r="L2" s="25" t="str">
        <f t="shared" ref="L2:L76" si="1">"Team: " &amp; F2 &amp; "  -  Project: " &amp; G2</f>
        <v>Team: CAP-101  -  Project: Rotary Joint Testing System</v>
      </c>
    </row>
    <row r="3" ht="18.75" customHeight="1">
      <c r="A3" s="25">
        <v>1.0</v>
      </c>
      <c r="B3" s="25">
        <v>1.0</v>
      </c>
      <c r="C3" s="25" t="s">
        <v>12</v>
      </c>
      <c r="D3" s="25" t="s">
        <v>13</v>
      </c>
      <c r="E3" s="25">
        <v>102.0</v>
      </c>
      <c r="F3" s="25" t="s">
        <v>380</v>
      </c>
      <c r="G3" s="25" t="s">
        <v>21</v>
      </c>
      <c r="H3" s="25" t="s">
        <v>22</v>
      </c>
      <c r="I3" s="26" t="s">
        <v>17</v>
      </c>
      <c r="J3" s="25" t="s">
        <v>381</v>
      </c>
      <c r="K3" s="25" t="s">
        <v>24</v>
      </c>
      <c r="L3" s="25" t="str">
        <f t="shared" si="1"/>
        <v>Team: CAP-102  -  Project: Cutting Deck Slicing Tray Cleaning Improvement</v>
      </c>
    </row>
    <row r="4" ht="18.75" customHeight="1">
      <c r="A4" s="25">
        <v>3.0</v>
      </c>
      <c r="B4" s="25">
        <v>1.0</v>
      </c>
      <c r="C4" s="25" t="s">
        <v>12</v>
      </c>
      <c r="D4" s="25" t="s">
        <v>13</v>
      </c>
      <c r="E4" s="25">
        <v>103.0</v>
      </c>
      <c r="F4" s="25" t="s">
        <v>382</v>
      </c>
      <c r="G4" s="25" t="s">
        <v>26</v>
      </c>
      <c r="H4" s="25" t="s">
        <v>27</v>
      </c>
      <c r="I4" s="26" t="s">
        <v>28</v>
      </c>
      <c r="J4" s="25" t="s">
        <v>383</v>
      </c>
      <c r="K4" s="25" t="s">
        <v>30</v>
      </c>
      <c r="L4" s="25" t="str">
        <f t="shared" si="1"/>
        <v>Team: CAP-103  -  Project: Interstitial Fluid as a Proxy for Blood</v>
      </c>
    </row>
    <row r="5" ht="18.75" customHeight="1">
      <c r="A5" s="25">
        <v>3.0</v>
      </c>
      <c r="B5" s="25">
        <v>2.0</v>
      </c>
      <c r="C5" s="25" t="s">
        <v>12</v>
      </c>
      <c r="D5" s="25" t="s">
        <v>13</v>
      </c>
      <c r="E5" s="25">
        <v>104.0</v>
      </c>
      <c r="F5" s="25" t="s">
        <v>384</v>
      </c>
      <c r="G5" s="25" t="s">
        <v>26</v>
      </c>
      <c r="H5" s="25" t="s">
        <v>27</v>
      </c>
      <c r="I5" s="26" t="s">
        <v>28</v>
      </c>
      <c r="J5" s="25" t="s">
        <v>385</v>
      </c>
      <c r="K5" s="25" t="s">
        <v>33</v>
      </c>
      <c r="L5" s="25" t="str">
        <f t="shared" si="1"/>
        <v>Team: CAP-104  -  Project: Interstitial Fluid as a Proxy for Blood</v>
      </c>
    </row>
    <row r="6" ht="18.75" customHeight="1">
      <c r="A6" s="25">
        <v>1.0</v>
      </c>
      <c r="B6" s="25">
        <v>3.0</v>
      </c>
      <c r="C6" s="25" t="s">
        <v>12</v>
      </c>
      <c r="D6" s="25" t="s">
        <v>13</v>
      </c>
      <c r="E6" s="25">
        <v>105.0</v>
      </c>
      <c r="F6" s="25" t="s">
        <v>386</v>
      </c>
      <c r="G6" s="25" t="s">
        <v>35</v>
      </c>
      <c r="H6" s="25" t="s">
        <v>16</v>
      </c>
      <c r="I6" s="26" t="s">
        <v>17</v>
      </c>
      <c r="J6" s="25" t="s">
        <v>387</v>
      </c>
      <c r="K6" s="25" t="s">
        <v>37</v>
      </c>
      <c r="L6" s="25" t="str">
        <f t="shared" si="1"/>
        <v>Team: CAP-105  -  Project: Crash Bottle Sensor</v>
      </c>
    </row>
    <row r="7" ht="18.75" customHeight="1">
      <c r="A7" s="25">
        <v>1.0</v>
      </c>
      <c r="B7" s="25">
        <v>4.0</v>
      </c>
      <c r="C7" s="25" t="s">
        <v>12</v>
      </c>
      <c r="D7" s="25" t="s">
        <v>13</v>
      </c>
      <c r="E7" s="25">
        <v>106.0</v>
      </c>
      <c r="F7" s="25" t="s">
        <v>388</v>
      </c>
      <c r="G7" s="25" t="s">
        <v>35</v>
      </c>
      <c r="H7" s="25" t="s">
        <v>16</v>
      </c>
      <c r="I7" s="26" t="s">
        <v>17</v>
      </c>
      <c r="J7" s="25" t="s">
        <v>389</v>
      </c>
      <c r="K7" s="25" t="s">
        <v>40</v>
      </c>
      <c r="L7" s="25" t="str">
        <f t="shared" si="1"/>
        <v>Team: CAP-106  -  Project: Crash Bottle Sensor</v>
      </c>
    </row>
    <row r="8" ht="18.75" customHeight="1">
      <c r="A8" s="25">
        <v>2.0</v>
      </c>
      <c r="B8" s="25">
        <v>5.0</v>
      </c>
      <c r="C8" s="25" t="s">
        <v>12</v>
      </c>
      <c r="D8" s="25" t="s">
        <v>13</v>
      </c>
      <c r="E8" s="25">
        <v>107.0</v>
      </c>
      <c r="F8" s="25" t="s">
        <v>390</v>
      </c>
      <c r="G8" s="25" t="s">
        <v>42</v>
      </c>
      <c r="H8" s="25" t="s">
        <v>43</v>
      </c>
      <c r="I8" s="26" t="s">
        <v>44</v>
      </c>
      <c r="J8" s="25" t="s">
        <v>391</v>
      </c>
      <c r="K8" s="25" t="s">
        <v>46</v>
      </c>
      <c r="L8" s="25" t="str">
        <f t="shared" si="1"/>
        <v>Team: CAP-107  -  Project: Lab-scale Extruder for Rubber Processing</v>
      </c>
    </row>
    <row r="9" ht="18.75" customHeight="1">
      <c r="A9" s="25">
        <v>3.0</v>
      </c>
      <c r="B9" s="25">
        <v>3.0</v>
      </c>
      <c r="C9" s="25" t="s">
        <v>12</v>
      </c>
      <c r="D9" s="25" t="s">
        <v>13</v>
      </c>
      <c r="E9" s="25">
        <v>108.0</v>
      </c>
      <c r="F9" s="25" t="s">
        <v>392</v>
      </c>
      <c r="G9" s="25" t="s">
        <v>48</v>
      </c>
      <c r="H9" s="25" t="s">
        <v>49</v>
      </c>
      <c r="I9" s="26" t="s">
        <v>50</v>
      </c>
      <c r="J9" s="25" t="s">
        <v>393</v>
      </c>
      <c r="K9" s="25" t="s">
        <v>52</v>
      </c>
      <c r="L9" s="25" t="str">
        <f t="shared" si="1"/>
        <v>Team: CAP-108  -  Project: Laser Needle Treatment</v>
      </c>
    </row>
    <row r="10" ht="18.75" customHeight="1">
      <c r="A10" s="25">
        <v>3.0</v>
      </c>
      <c r="B10" s="25">
        <v>4.0</v>
      </c>
      <c r="C10" s="25" t="s">
        <v>12</v>
      </c>
      <c r="D10" s="25" t="s">
        <v>13</v>
      </c>
      <c r="E10" s="25">
        <v>109.0</v>
      </c>
      <c r="F10" s="25" t="s">
        <v>394</v>
      </c>
      <c r="G10" s="25" t="s">
        <v>48</v>
      </c>
      <c r="H10" s="25" t="s">
        <v>49</v>
      </c>
      <c r="I10" s="26" t="s">
        <v>50</v>
      </c>
      <c r="J10" s="25" t="s">
        <v>395</v>
      </c>
      <c r="K10" s="25" t="s">
        <v>55</v>
      </c>
      <c r="L10" s="25" t="str">
        <f t="shared" si="1"/>
        <v>Team: CAP-109  -  Project: Laser Needle Treatment</v>
      </c>
    </row>
    <row r="11" ht="18.75" customHeight="1">
      <c r="A11" s="25">
        <v>1.0</v>
      </c>
      <c r="B11" s="25">
        <v>7.0</v>
      </c>
      <c r="C11" s="25" t="s">
        <v>12</v>
      </c>
      <c r="D11" s="25" t="s">
        <v>13</v>
      </c>
      <c r="E11" s="25">
        <v>110.0</v>
      </c>
      <c r="F11" s="25" t="s">
        <v>396</v>
      </c>
      <c r="G11" s="25" t="s">
        <v>57</v>
      </c>
      <c r="H11" s="25" t="s">
        <v>58</v>
      </c>
      <c r="I11" s="26" t="s">
        <v>59</v>
      </c>
      <c r="J11" s="25" t="s">
        <v>397</v>
      </c>
      <c r="K11" s="25" t="s">
        <v>61</v>
      </c>
      <c r="L11" s="25" t="str">
        <f t="shared" si="1"/>
        <v>Team: CAP-110  -  Project: HVAC Design Calculations</v>
      </c>
    </row>
    <row r="12" ht="18.75" customHeight="1">
      <c r="A12" s="25">
        <v>3.0</v>
      </c>
      <c r="B12" s="25">
        <v>5.0</v>
      </c>
      <c r="C12" s="25" t="s">
        <v>12</v>
      </c>
      <c r="D12" s="25" t="s">
        <v>13</v>
      </c>
      <c r="E12" s="25">
        <v>111.0</v>
      </c>
      <c r="F12" s="25" t="s">
        <v>398</v>
      </c>
      <c r="G12" s="25" t="s">
        <v>63</v>
      </c>
      <c r="H12" s="25" t="s">
        <v>49</v>
      </c>
      <c r="I12" s="26" t="s">
        <v>50</v>
      </c>
      <c r="J12" s="25" t="s">
        <v>399</v>
      </c>
      <c r="K12" s="25" t="s">
        <v>65</v>
      </c>
      <c r="L12" s="25" t="str">
        <f t="shared" si="1"/>
        <v>Team: CAP-111  -  Project: Motorized Automatic Syringe Plunger (30 mL, 50 mL, 60 mL)</v>
      </c>
    </row>
    <row r="13" ht="18.75" customHeight="1">
      <c r="A13" s="25">
        <v>3.0</v>
      </c>
      <c r="B13" s="25">
        <v>6.0</v>
      </c>
      <c r="C13" s="25" t="s">
        <v>12</v>
      </c>
      <c r="D13" s="25" t="s">
        <v>13</v>
      </c>
      <c r="E13" s="25">
        <v>112.0</v>
      </c>
      <c r="F13" s="25" t="s">
        <v>400</v>
      </c>
      <c r="G13" s="25" t="s">
        <v>63</v>
      </c>
      <c r="H13" s="25" t="s">
        <v>49</v>
      </c>
      <c r="I13" s="26" t="s">
        <v>50</v>
      </c>
      <c r="J13" s="25" t="s">
        <v>401</v>
      </c>
      <c r="K13" s="25" t="s">
        <v>68</v>
      </c>
      <c r="L13" s="25" t="str">
        <f t="shared" si="1"/>
        <v>Team: CAP-112  -  Project: Motorized Automatic Syringe Plunger (30 mL, 50 mL, 60 mL)</v>
      </c>
    </row>
    <row r="14" ht="18.75" customHeight="1">
      <c r="A14" s="25">
        <v>2.0</v>
      </c>
      <c r="B14" s="25">
        <v>4.0</v>
      </c>
      <c r="C14" s="25" t="s">
        <v>12</v>
      </c>
      <c r="D14" s="25" t="s">
        <v>13</v>
      </c>
      <c r="E14" s="25">
        <v>113.0</v>
      </c>
      <c r="F14" s="25" t="s">
        <v>402</v>
      </c>
      <c r="G14" s="25" t="s">
        <v>70</v>
      </c>
      <c r="H14" s="25" t="s">
        <v>71</v>
      </c>
      <c r="I14" s="26" t="s">
        <v>17</v>
      </c>
      <c r="J14" s="25" t="s">
        <v>403</v>
      </c>
      <c r="K14" s="25" t="s">
        <v>73</v>
      </c>
      <c r="L14" s="25" t="str">
        <f t="shared" si="1"/>
        <v>Team: CAP-113  -  Project: System to correctly position liner cardboard at bottom of the wooden bin</v>
      </c>
    </row>
    <row r="15" ht="18.75" customHeight="1">
      <c r="A15" s="25">
        <v>1.0</v>
      </c>
      <c r="B15" s="25">
        <v>6.0</v>
      </c>
      <c r="C15" s="25" t="s">
        <v>12</v>
      </c>
      <c r="D15" s="25" t="s">
        <v>13</v>
      </c>
      <c r="E15" s="25">
        <v>114.0</v>
      </c>
      <c r="F15" s="25" t="s">
        <v>404</v>
      </c>
      <c r="G15" s="25" t="s">
        <v>75</v>
      </c>
      <c r="H15" s="25" t="s">
        <v>76</v>
      </c>
      <c r="I15" s="26" t="s">
        <v>77</v>
      </c>
      <c r="J15" s="25" t="s">
        <v>405</v>
      </c>
      <c r="K15" s="25" t="s">
        <v>79</v>
      </c>
      <c r="L15" s="25" t="str">
        <f t="shared" si="1"/>
        <v>Team: CAP-114  -  Project: CO2 Refrigeration: Screw vs. Reciprocating</v>
      </c>
    </row>
    <row r="16" ht="18.75" customHeight="1">
      <c r="A16" s="25">
        <v>1.0</v>
      </c>
      <c r="B16" s="25">
        <v>5.0</v>
      </c>
      <c r="C16" s="25" t="s">
        <v>12</v>
      </c>
      <c r="D16" s="25" t="s">
        <v>13</v>
      </c>
      <c r="E16" s="25">
        <v>115.0</v>
      </c>
      <c r="F16" s="25" t="s">
        <v>406</v>
      </c>
      <c r="G16" s="25" t="s">
        <v>81</v>
      </c>
      <c r="H16" s="25" t="s">
        <v>76</v>
      </c>
      <c r="I16" s="26" t="s">
        <v>77</v>
      </c>
      <c r="J16" s="25" t="s">
        <v>407</v>
      </c>
      <c r="K16" s="25" t="s">
        <v>83</v>
      </c>
      <c r="L16" s="25" t="str">
        <f t="shared" si="1"/>
        <v>Team: CAP-115  -  Project: Customer Profile Power Calculator</v>
      </c>
    </row>
    <row r="17" ht="18.75" customHeight="1">
      <c r="A17" s="25">
        <v>2.0</v>
      </c>
      <c r="B17" s="25">
        <v>1.0</v>
      </c>
      <c r="C17" s="25" t="s">
        <v>12</v>
      </c>
      <c r="D17" s="25" t="s">
        <v>13</v>
      </c>
      <c r="E17" s="25">
        <v>116.0</v>
      </c>
      <c r="F17" s="25" t="s">
        <v>408</v>
      </c>
      <c r="G17" s="25" t="s">
        <v>85</v>
      </c>
      <c r="H17" s="25" t="s">
        <v>86</v>
      </c>
      <c r="I17" s="26" t="s">
        <v>17</v>
      </c>
      <c r="J17" s="25" t="s">
        <v>409</v>
      </c>
      <c r="K17" s="25" t="s">
        <v>88</v>
      </c>
      <c r="L17" s="25" t="str">
        <f t="shared" si="1"/>
        <v>Team: CAP-116  -  Project: Mandarin Long Stem Solution</v>
      </c>
    </row>
    <row r="18" ht="18.75" customHeight="1">
      <c r="A18" s="25">
        <v>2.0</v>
      </c>
      <c r="B18" s="25">
        <v>2.0</v>
      </c>
      <c r="C18" s="25" t="s">
        <v>12</v>
      </c>
      <c r="D18" s="25" t="s">
        <v>13</v>
      </c>
      <c r="E18" s="25">
        <v>117.0</v>
      </c>
      <c r="F18" s="25" t="s">
        <v>410</v>
      </c>
      <c r="G18" s="25" t="s">
        <v>85</v>
      </c>
      <c r="H18" s="25" t="s">
        <v>86</v>
      </c>
      <c r="I18" s="26" t="s">
        <v>17</v>
      </c>
      <c r="J18" s="25" t="s">
        <v>411</v>
      </c>
      <c r="K18" s="25" t="s">
        <v>91</v>
      </c>
      <c r="L18" s="25" t="str">
        <f t="shared" si="1"/>
        <v>Team: CAP-117  -  Project: Mandarin Long Stem Solution</v>
      </c>
    </row>
    <row r="19" ht="18.75" customHeight="1">
      <c r="A19" s="25">
        <v>2.0</v>
      </c>
      <c r="B19" s="25">
        <v>6.0</v>
      </c>
      <c r="C19" s="25" t="s">
        <v>12</v>
      </c>
      <c r="D19" s="25" t="s">
        <v>13</v>
      </c>
      <c r="E19" s="25">
        <v>118.0</v>
      </c>
      <c r="F19" s="25" t="s">
        <v>412</v>
      </c>
      <c r="G19" s="25" t="s">
        <v>93</v>
      </c>
      <c r="H19" s="25" t="s">
        <v>94</v>
      </c>
      <c r="I19" s="26" t="s">
        <v>59</v>
      </c>
      <c r="J19" s="25" t="s">
        <v>413</v>
      </c>
      <c r="K19" s="25" t="s">
        <v>96</v>
      </c>
      <c r="L19" s="25" t="str">
        <f t="shared" si="1"/>
        <v>Team: CAP-118  -  Project: Solar powered, portable sensor that would detect when flood water reached a point and send a cell signal.</v>
      </c>
    </row>
    <row r="20" ht="18.75" customHeight="1">
      <c r="A20" s="25">
        <v>2.0</v>
      </c>
      <c r="B20" s="25">
        <v>3.0</v>
      </c>
      <c r="C20" s="25" t="s">
        <v>12</v>
      </c>
      <c r="D20" s="25" t="s">
        <v>13</v>
      </c>
      <c r="E20" s="25">
        <v>119.0</v>
      </c>
      <c r="F20" s="25" t="s">
        <v>414</v>
      </c>
      <c r="G20" s="25" t="s">
        <v>98</v>
      </c>
      <c r="H20" s="25" t="s">
        <v>99</v>
      </c>
      <c r="I20" s="26" t="s">
        <v>100</v>
      </c>
      <c r="J20" s="25" t="s">
        <v>415</v>
      </c>
      <c r="K20" s="25" t="s">
        <v>102</v>
      </c>
      <c r="L20" s="25" t="str">
        <f t="shared" si="1"/>
        <v>Team: CAP-119  -  Project: Small to Mid Scale Processing Equipment for Fresh Jujube Fruits</v>
      </c>
    </row>
    <row r="21" ht="18.75" customHeight="1">
      <c r="A21" s="25">
        <v>3.0</v>
      </c>
      <c r="B21" s="25">
        <v>7.0</v>
      </c>
      <c r="C21" s="25" t="s">
        <v>12</v>
      </c>
      <c r="D21" s="25" t="s">
        <v>13</v>
      </c>
      <c r="E21" s="25">
        <v>120.0</v>
      </c>
      <c r="F21" s="25" t="s">
        <v>416</v>
      </c>
      <c r="G21" s="25" t="s">
        <v>104</v>
      </c>
      <c r="H21" s="25" t="s">
        <v>71</v>
      </c>
      <c r="I21" s="26" t="s">
        <v>17</v>
      </c>
      <c r="J21" s="25" t="s">
        <v>417</v>
      </c>
      <c r="K21" s="25" t="s">
        <v>106</v>
      </c>
      <c r="L21" s="25" t="str">
        <f t="shared" si="1"/>
        <v>Team: CAP-120  -  Project: Semi-automated Foil Seal sorting, and measuring.</v>
      </c>
    </row>
    <row r="22" ht="18.75" customHeight="1">
      <c r="A22" s="25">
        <v>2.0</v>
      </c>
      <c r="B22" s="25">
        <v>7.0</v>
      </c>
      <c r="C22" s="25" t="s">
        <v>12</v>
      </c>
      <c r="D22" s="25" t="s">
        <v>13</v>
      </c>
      <c r="E22" s="25">
        <v>121.0</v>
      </c>
      <c r="F22" s="25" t="s">
        <v>418</v>
      </c>
      <c r="G22" s="25" t="s">
        <v>108</v>
      </c>
      <c r="H22" s="25" t="s">
        <v>109</v>
      </c>
      <c r="I22" s="26" t="s">
        <v>100</v>
      </c>
      <c r="J22" s="25" t="s">
        <v>419</v>
      </c>
      <c r="K22" s="25" t="s">
        <v>420</v>
      </c>
      <c r="L22" s="25" t="str">
        <f t="shared" si="1"/>
        <v>Team: CAP-121  -  Project: Agricultural Implement for Planting Cover Crops under Vines or Trees</v>
      </c>
    </row>
    <row r="23" ht="18.75" customHeight="1">
      <c r="A23" s="25" t="s">
        <v>112</v>
      </c>
      <c r="B23" s="25"/>
      <c r="C23" s="25" t="s">
        <v>113</v>
      </c>
      <c r="D23" s="25" t="s">
        <v>13</v>
      </c>
      <c r="E23" s="25">
        <v>201.0</v>
      </c>
      <c r="F23" s="25" t="s">
        <v>114</v>
      </c>
      <c r="G23" s="25" t="s">
        <v>115</v>
      </c>
      <c r="H23" s="25" t="s">
        <v>116</v>
      </c>
      <c r="I23" s="26" t="s">
        <v>100</v>
      </c>
      <c r="J23" s="25" t="s">
        <v>117</v>
      </c>
      <c r="K23" s="25" t="s">
        <v>118</v>
      </c>
      <c r="L23" s="25" t="str">
        <f t="shared" si="1"/>
        <v>Team: CAP-201  -  Project: Smart Beetle Trap</v>
      </c>
    </row>
    <row r="24" ht="18.75" customHeight="1">
      <c r="A24" s="25" t="s">
        <v>112</v>
      </c>
      <c r="B24" s="25"/>
      <c r="C24" s="25" t="s">
        <v>113</v>
      </c>
      <c r="D24" s="25" t="s">
        <v>13</v>
      </c>
      <c r="E24" s="25">
        <v>202.0</v>
      </c>
      <c r="F24" s="25" t="s">
        <v>119</v>
      </c>
      <c r="G24" s="25" t="s">
        <v>120</v>
      </c>
      <c r="H24" s="25" t="s">
        <v>121</v>
      </c>
      <c r="I24" s="26" t="s">
        <v>77</v>
      </c>
      <c r="J24" s="25" t="s">
        <v>122</v>
      </c>
      <c r="K24" s="25" t="s">
        <v>123</v>
      </c>
      <c r="L24" s="25" t="str">
        <f t="shared" si="1"/>
        <v>Team: CAP-202  -  Project: Automated Seam Weld Sander</v>
      </c>
    </row>
    <row r="25" ht="18.75" customHeight="1">
      <c r="A25" s="25" t="s">
        <v>112</v>
      </c>
      <c r="B25" s="25"/>
      <c r="C25" s="25" t="s">
        <v>113</v>
      </c>
      <c r="D25" s="25" t="s">
        <v>13</v>
      </c>
      <c r="E25" s="25">
        <v>203.0</v>
      </c>
      <c r="F25" s="25" t="s">
        <v>124</v>
      </c>
      <c r="G25" s="25" t="s">
        <v>125</v>
      </c>
      <c r="H25" s="25" t="s">
        <v>126</v>
      </c>
      <c r="I25" s="26" t="s">
        <v>17</v>
      </c>
      <c r="J25" s="25" t="s">
        <v>127</v>
      </c>
      <c r="K25" s="25" t="s">
        <v>128</v>
      </c>
      <c r="L25" s="25" t="str">
        <f t="shared" si="1"/>
        <v>Team: CAP-203  -  Project: Continuous sterilization via ultra high intensity UV pulse light</v>
      </c>
    </row>
    <row r="26" ht="18.75" customHeight="1">
      <c r="A26" s="25" t="s">
        <v>112</v>
      </c>
      <c r="B26" s="25"/>
      <c r="C26" s="25" t="s">
        <v>113</v>
      </c>
      <c r="D26" s="25" t="s">
        <v>13</v>
      </c>
      <c r="E26" s="25">
        <v>204.0</v>
      </c>
      <c r="F26" s="25" t="s">
        <v>129</v>
      </c>
      <c r="G26" s="25" t="s">
        <v>130</v>
      </c>
      <c r="H26" s="25" t="s">
        <v>131</v>
      </c>
      <c r="I26" s="26" t="s">
        <v>132</v>
      </c>
      <c r="J26" s="25" t="s">
        <v>133</v>
      </c>
      <c r="K26" s="25" t="s">
        <v>134</v>
      </c>
      <c r="L26" s="25" t="str">
        <f t="shared" si="1"/>
        <v>Team: CAP-204  -  Project: The Perfect Cutter Drum</v>
      </c>
    </row>
    <row r="27" ht="18.75" customHeight="1">
      <c r="A27" s="25" t="s">
        <v>112</v>
      </c>
      <c r="B27" s="25"/>
      <c r="C27" s="25" t="s">
        <v>113</v>
      </c>
      <c r="D27" s="25" t="s">
        <v>13</v>
      </c>
      <c r="E27" s="25">
        <v>205.0</v>
      </c>
      <c r="F27" s="25" t="s">
        <v>135</v>
      </c>
      <c r="G27" s="25" t="s">
        <v>136</v>
      </c>
      <c r="H27" s="25" t="s">
        <v>137</v>
      </c>
      <c r="I27" s="26" t="s">
        <v>100</v>
      </c>
      <c r="J27" s="25" t="s">
        <v>138</v>
      </c>
      <c r="K27" s="25" t="s">
        <v>139</v>
      </c>
      <c r="L27" s="25" t="str">
        <f t="shared" si="1"/>
        <v>Team: CAP-205  -  Project: Horizontally Extractable Aeration System for Almond Drying</v>
      </c>
    </row>
    <row r="28" ht="18.75" customHeight="1">
      <c r="A28" s="25" t="s">
        <v>112</v>
      </c>
      <c r="B28" s="25"/>
      <c r="C28" s="25" t="s">
        <v>113</v>
      </c>
      <c r="D28" s="25" t="s">
        <v>13</v>
      </c>
      <c r="E28" s="25">
        <v>206.0</v>
      </c>
      <c r="F28" s="25" t="s">
        <v>140</v>
      </c>
      <c r="G28" s="25" t="s">
        <v>141</v>
      </c>
      <c r="H28" s="25" t="s">
        <v>49</v>
      </c>
      <c r="I28" s="26" t="s">
        <v>28</v>
      </c>
      <c r="J28" s="25" t="s">
        <v>142</v>
      </c>
      <c r="K28" s="25" t="s">
        <v>143</v>
      </c>
      <c r="L28" s="25" t="str">
        <f t="shared" si="1"/>
        <v>Team: CAP-206  -  Project: Expandable Screw</v>
      </c>
    </row>
    <row r="29" ht="18.75" customHeight="1">
      <c r="A29" s="25" t="s">
        <v>112</v>
      </c>
      <c r="B29" s="25"/>
      <c r="C29" s="25" t="s">
        <v>113</v>
      </c>
      <c r="D29" s="25" t="s">
        <v>13</v>
      </c>
      <c r="E29" s="25">
        <v>207.0</v>
      </c>
      <c r="F29" s="25" t="s">
        <v>144</v>
      </c>
      <c r="G29" s="25" t="s">
        <v>145</v>
      </c>
      <c r="H29" s="25" t="s">
        <v>146</v>
      </c>
      <c r="I29" s="26" t="s">
        <v>17</v>
      </c>
      <c r="J29" s="25" t="s">
        <v>147</v>
      </c>
      <c r="K29" s="25" t="s">
        <v>148</v>
      </c>
      <c r="L29" s="25" t="str">
        <f t="shared" si="1"/>
        <v>Team: CAP-207  -  Project: Paste Bin Washing</v>
      </c>
    </row>
    <row r="30" ht="18.75" customHeight="1">
      <c r="A30" s="25" t="s">
        <v>112</v>
      </c>
      <c r="B30" s="25"/>
      <c r="C30" s="25" t="s">
        <v>113</v>
      </c>
      <c r="D30" s="25" t="s">
        <v>13</v>
      </c>
      <c r="E30" s="25">
        <v>208.0</v>
      </c>
      <c r="F30" s="25" t="s">
        <v>149</v>
      </c>
      <c r="G30" s="25" t="s">
        <v>150</v>
      </c>
      <c r="H30" s="25" t="s">
        <v>151</v>
      </c>
      <c r="I30" s="26" t="s">
        <v>17</v>
      </c>
      <c r="J30" s="25" t="s">
        <v>152</v>
      </c>
      <c r="K30" s="25" t="s">
        <v>153</v>
      </c>
      <c r="L30" s="25" t="str">
        <f t="shared" si="1"/>
        <v>Team: CAP-208  -  Project: Tower Platform Height Process Optimization</v>
      </c>
    </row>
    <row r="31" ht="18.75" customHeight="1">
      <c r="A31" s="25" t="s">
        <v>112</v>
      </c>
      <c r="B31" s="25"/>
      <c r="C31" s="25" t="s">
        <v>113</v>
      </c>
      <c r="D31" s="25" t="s">
        <v>13</v>
      </c>
      <c r="E31" s="25">
        <v>209.0</v>
      </c>
      <c r="F31" s="25" t="s">
        <v>154</v>
      </c>
      <c r="G31" s="25" t="s">
        <v>155</v>
      </c>
      <c r="H31" s="25" t="s">
        <v>156</v>
      </c>
      <c r="I31" s="26" t="s">
        <v>17</v>
      </c>
      <c r="J31" s="25" t="s">
        <v>157</v>
      </c>
      <c r="K31" s="25" t="s">
        <v>158</v>
      </c>
      <c r="L31" s="25" t="str">
        <f t="shared" si="1"/>
        <v>Team: CAP-209  -  Project: Tank level control system</v>
      </c>
    </row>
    <row r="32" ht="18.75" customHeight="1">
      <c r="A32" s="25" t="s">
        <v>112</v>
      </c>
      <c r="B32" s="25"/>
      <c r="C32" s="25" t="s">
        <v>113</v>
      </c>
      <c r="D32" s="25" t="s">
        <v>13</v>
      </c>
      <c r="E32" s="25">
        <v>210.0</v>
      </c>
      <c r="F32" s="25" t="s">
        <v>159</v>
      </c>
      <c r="G32" s="25" t="s">
        <v>160</v>
      </c>
      <c r="H32" s="25" t="s">
        <v>161</v>
      </c>
      <c r="I32" s="26" t="s">
        <v>77</v>
      </c>
      <c r="J32" s="25" t="s">
        <v>162</v>
      </c>
      <c r="K32" s="25" t="s">
        <v>163</v>
      </c>
      <c r="L32" s="25" t="str">
        <f t="shared" si="1"/>
        <v>Team: CAP-210  -  Project: Tunnel Wind Power</v>
      </c>
    </row>
    <row r="33" ht="18.75" customHeight="1">
      <c r="A33" s="25" t="s">
        <v>112</v>
      </c>
      <c r="B33" s="25"/>
      <c r="C33" s="25" t="s">
        <v>113</v>
      </c>
      <c r="D33" s="25" t="s">
        <v>13</v>
      </c>
      <c r="E33" s="25">
        <v>211.0</v>
      </c>
      <c r="F33" s="25" t="s">
        <v>164</v>
      </c>
      <c r="G33" s="25" t="s">
        <v>165</v>
      </c>
      <c r="H33" s="25" t="s">
        <v>43</v>
      </c>
      <c r="I33" s="26" t="s">
        <v>166</v>
      </c>
      <c r="J33" s="25" t="s">
        <v>167</v>
      </c>
      <c r="K33" s="25" t="s">
        <v>168</v>
      </c>
      <c r="L33" s="25" t="str">
        <f t="shared" si="1"/>
        <v>Team: CAP-211  -  Project: Battery Workforce Challenge - Phase 2</v>
      </c>
    </row>
    <row r="34" ht="18.75" customHeight="1">
      <c r="A34" s="25">
        <v>4.0</v>
      </c>
      <c r="B34" s="25">
        <v>1.0</v>
      </c>
      <c r="C34" s="25" t="s">
        <v>12</v>
      </c>
      <c r="D34" s="25" t="s">
        <v>312</v>
      </c>
      <c r="E34" s="25">
        <v>401.0</v>
      </c>
      <c r="F34" s="25" t="s">
        <v>313</v>
      </c>
      <c r="G34" s="25" t="s">
        <v>314</v>
      </c>
      <c r="H34" s="25" t="s">
        <v>43</v>
      </c>
      <c r="I34" s="25" t="s">
        <v>315</v>
      </c>
      <c r="J34" s="25" t="s">
        <v>316</v>
      </c>
      <c r="K34" s="25" t="s">
        <v>317</v>
      </c>
      <c r="L34" s="25" t="str">
        <f t="shared" si="1"/>
        <v>Team: CEE-101  -  Project: Bioretention Cells</v>
      </c>
    </row>
    <row r="35" ht="18.75" customHeight="1">
      <c r="A35" s="25">
        <v>4.0</v>
      </c>
      <c r="B35" s="25">
        <v>2.0</v>
      </c>
      <c r="C35" s="25" t="s">
        <v>12</v>
      </c>
      <c r="D35" s="25" t="s">
        <v>312</v>
      </c>
      <c r="E35" s="25">
        <v>402.0</v>
      </c>
      <c r="F35" s="25" t="s">
        <v>318</v>
      </c>
      <c r="G35" s="25" t="s">
        <v>319</v>
      </c>
      <c r="H35" s="25" t="s">
        <v>320</v>
      </c>
      <c r="I35" s="25" t="s">
        <v>321</v>
      </c>
      <c r="J35" s="25" t="s">
        <v>322</v>
      </c>
      <c r="K35" s="25" t="s">
        <v>323</v>
      </c>
      <c r="L35" s="25" t="str">
        <f t="shared" si="1"/>
        <v>Team: CEE-102  -  Project: Geomatic and Geospatial Technologies</v>
      </c>
    </row>
    <row r="36" ht="18.75" customHeight="1">
      <c r="A36" s="25">
        <v>4.0</v>
      </c>
      <c r="B36" s="25">
        <v>3.0</v>
      </c>
      <c r="C36" s="25" t="s">
        <v>12</v>
      </c>
      <c r="D36" s="25" t="s">
        <v>312</v>
      </c>
      <c r="E36" s="25">
        <v>403.0</v>
      </c>
      <c r="F36" s="25" t="s">
        <v>324</v>
      </c>
      <c r="G36" s="25" t="s">
        <v>325</v>
      </c>
      <c r="H36" s="25" t="s">
        <v>326</v>
      </c>
      <c r="I36" s="25" t="s">
        <v>327</v>
      </c>
      <c r="J36" s="25" t="s">
        <v>328</v>
      </c>
      <c r="K36" s="25" t="s">
        <v>329</v>
      </c>
      <c r="L36" s="25" t="str">
        <f t="shared" si="1"/>
        <v>Team: CEE-103  -  Project: Experimental Smart Farm(ESF)</v>
      </c>
    </row>
    <row r="37" ht="18.75" customHeight="1">
      <c r="A37" s="25">
        <v>4.0</v>
      </c>
      <c r="B37" s="25">
        <v>4.0</v>
      </c>
      <c r="C37" s="25" t="s">
        <v>12</v>
      </c>
      <c r="D37" s="25" t="s">
        <v>312</v>
      </c>
      <c r="E37" s="25">
        <v>404.0</v>
      </c>
      <c r="F37" s="25" t="s">
        <v>330</v>
      </c>
      <c r="G37" s="25" t="s">
        <v>331</v>
      </c>
      <c r="H37" s="25" t="s">
        <v>332</v>
      </c>
      <c r="I37" s="25" t="s">
        <v>333</v>
      </c>
      <c r="J37" s="25" t="s">
        <v>334</v>
      </c>
      <c r="K37" s="25" t="s">
        <v>335</v>
      </c>
      <c r="L37" s="25" t="str">
        <f t="shared" si="1"/>
        <v>Team: CEE-104  -  Project: Shade Structure</v>
      </c>
    </row>
    <row r="38" ht="18.75" customHeight="1">
      <c r="A38" s="25">
        <v>4.0</v>
      </c>
      <c r="B38" s="25">
        <v>5.0</v>
      </c>
      <c r="C38" s="25" t="s">
        <v>12</v>
      </c>
      <c r="D38" s="25" t="s">
        <v>312</v>
      </c>
      <c r="E38" s="25">
        <v>405.0</v>
      </c>
      <c r="F38" s="25" t="s">
        <v>336</v>
      </c>
      <c r="G38" s="25" t="s">
        <v>337</v>
      </c>
      <c r="H38" s="25" t="s">
        <v>43</v>
      </c>
      <c r="I38" s="25" t="s">
        <v>338</v>
      </c>
      <c r="J38" s="25" t="s">
        <v>339</v>
      </c>
      <c r="K38" s="25" t="s">
        <v>340</v>
      </c>
      <c r="L38" s="25" t="str">
        <f t="shared" si="1"/>
        <v>Team: CEE-105  -  Project: Geotech</v>
      </c>
    </row>
    <row r="39" ht="18.75" customHeight="1">
      <c r="A39" s="25">
        <v>4.0</v>
      </c>
      <c r="B39" s="25">
        <v>6.0</v>
      </c>
      <c r="C39" s="25" t="s">
        <v>12</v>
      </c>
      <c r="D39" s="25" t="s">
        <v>312</v>
      </c>
      <c r="E39" s="25">
        <v>406.0</v>
      </c>
      <c r="F39" s="25" t="s">
        <v>341</v>
      </c>
      <c r="G39" s="25" t="s">
        <v>337</v>
      </c>
      <c r="H39" s="25" t="s">
        <v>43</v>
      </c>
      <c r="I39" s="25" t="s">
        <v>338</v>
      </c>
      <c r="J39" s="25" t="s">
        <v>339</v>
      </c>
      <c r="K39" s="25" t="s">
        <v>342</v>
      </c>
      <c r="L39" s="25" t="str">
        <f t="shared" si="1"/>
        <v>Team: CEE-106  -  Project: Geotech</v>
      </c>
    </row>
    <row r="40" ht="18.75" customHeight="1">
      <c r="A40" s="25">
        <v>4.0</v>
      </c>
      <c r="B40" s="25">
        <v>7.0</v>
      </c>
      <c r="C40" s="25" t="s">
        <v>12</v>
      </c>
      <c r="D40" s="25" t="s">
        <v>312</v>
      </c>
      <c r="E40" s="25">
        <v>407.0</v>
      </c>
      <c r="F40" s="25" t="s">
        <v>343</v>
      </c>
      <c r="G40" s="25" t="s">
        <v>344</v>
      </c>
      <c r="H40" s="25" t="s">
        <v>43</v>
      </c>
      <c r="I40" s="25" t="s">
        <v>345</v>
      </c>
      <c r="J40" s="25" t="s">
        <v>346</v>
      </c>
      <c r="K40" s="25" t="s">
        <v>347</v>
      </c>
      <c r="L40" s="25" t="str">
        <f t="shared" si="1"/>
        <v>Team: CEE-107  -  Project: Rainwater Harvesting</v>
      </c>
    </row>
    <row r="41" ht="18.75" customHeight="1">
      <c r="A41" s="25">
        <v>8.0</v>
      </c>
      <c r="B41" s="25">
        <v>4.0</v>
      </c>
      <c r="C41" s="25" t="s">
        <v>12</v>
      </c>
      <c r="D41" s="25" t="s">
        <v>169</v>
      </c>
      <c r="E41" s="25">
        <v>301.0</v>
      </c>
      <c r="F41" s="25" t="s">
        <v>421</v>
      </c>
      <c r="G41" s="25" t="s">
        <v>171</v>
      </c>
      <c r="H41" s="25" t="s">
        <v>172</v>
      </c>
      <c r="I41" s="26" t="s">
        <v>28</v>
      </c>
      <c r="J41" s="25" t="s">
        <v>422</v>
      </c>
      <c r="K41" s="25" t="s">
        <v>174</v>
      </c>
      <c r="L41" s="25" t="str">
        <f t="shared" si="1"/>
        <v>Team: CSE-301  -  Project: Machine Learning framework for Traumatic Brain Injury genetic data</v>
      </c>
    </row>
    <row r="42" ht="18.75" customHeight="1">
      <c r="A42" s="25">
        <v>7.0</v>
      </c>
      <c r="B42" s="25">
        <v>5.0</v>
      </c>
      <c r="C42" s="25" t="s">
        <v>12</v>
      </c>
      <c r="D42" s="25" t="s">
        <v>169</v>
      </c>
      <c r="E42" s="25">
        <v>302.0</v>
      </c>
      <c r="F42" s="25" t="s">
        <v>423</v>
      </c>
      <c r="G42" s="25" t="s">
        <v>171</v>
      </c>
      <c r="H42" s="25" t="s">
        <v>172</v>
      </c>
      <c r="I42" s="26" t="s">
        <v>28</v>
      </c>
      <c r="J42" s="25" t="s">
        <v>424</v>
      </c>
      <c r="K42" s="25" t="s">
        <v>177</v>
      </c>
      <c r="L42" s="25" t="str">
        <f t="shared" si="1"/>
        <v>Team: CSE-302  -  Project: Machine Learning framework for Traumatic Brain Injury genetic data</v>
      </c>
    </row>
    <row r="43" ht="18.75" customHeight="1">
      <c r="A43" s="25">
        <v>5.0</v>
      </c>
      <c r="B43" s="25">
        <v>2.0</v>
      </c>
      <c r="C43" s="25" t="s">
        <v>12</v>
      </c>
      <c r="D43" s="25" t="s">
        <v>169</v>
      </c>
      <c r="E43" s="25">
        <v>303.0</v>
      </c>
      <c r="F43" s="25" t="s">
        <v>425</v>
      </c>
      <c r="G43" s="25" t="s">
        <v>179</v>
      </c>
      <c r="H43" s="25" t="s">
        <v>172</v>
      </c>
      <c r="I43" s="26" t="s">
        <v>28</v>
      </c>
      <c r="J43" s="25" t="s">
        <v>426</v>
      </c>
      <c r="K43" s="25" t="s">
        <v>181</v>
      </c>
      <c r="L43" s="25" t="str">
        <f t="shared" si="1"/>
        <v>Team: CSE-303  -  Project: LLM model for health data - Phase 2</v>
      </c>
    </row>
    <row r="44" ht="18.75" customHeight="1">
      <c r="A44" s="25">
        <v>6.0</v>
      </c>
      <c r="B44" s="25">
        <v>2.0</v>
      </c>
      <c r="C44" s="25" t="s">
        <v>12</v>
      </c>
      <c r="D44" s="25" t="s">
        <v>169</v>
      </c>
      <c r="E44" s="25">
        <v>304.0</v>
      </c>
      <c r="F44" s="25" t="s">
        <v>427</v>
      </c>
      <c r="G44" s="25" t="s">
        <v>179</v>
      </c>
      <c r="H44" s="25" t="s">
        <v>172</v>
      </c>
      <c r="I44" s="26" t="s">
        <v>28</v>
      </c>
      <c r="J44" s="25" t="s">
        <v>428</v>
      </c>
      <c r="K44" s="25" t="s">
        <v>184</v>
      </c>
      <c r="L44" s="25" t="str">
        <f t="shared" si="1"/>
        <v>Team: CSE-304  -  Project: LLM model for health data - Phase 2</v>
      </c>
    </row>
    <row r="45" ht="18.75" customHeight="1">
      <c r="A45" s="25">
        <v>6.0</v>
      </c>
      <c r="B45" s="25">
        <v>4.0</v>
      </c>
      <c r="C45" s="25" t="s">
        <v>12</v>
      </c>
      <c r="D45" s="25" t="s">
        <v>169</v>
      </c>
      <c r="E45" s="25">
        <v>305.0</v>
      </c>
      <c r="F45" s="25" t="s">
        <v>429</v>
      </c>
      <c r="G45" s="25" t="s">
        <v>186</v>
      </c>
      <c r="H45" s="25" t="s">
        <v>187</v>
      </c>
      <c r="I45" s="26" t="s">
        <v>59</v>
      </c>
      <c r="J45" s="25" t="s">
        <v>430</v>
      </c>
      <c r="K45" s="25" t="s">
        <v>189</v>
      </c>
      <c r="L45" s="25" t="str">
        <f t="shared" si="1"/>
        <v>Team: CSE-305  -  Project: Machine learning for cardiac electrophysiology</v>
      </c>
    </row>
    <row r="46" ht="18.75" customHeight="1">
      <c r="A46" s="25">
        <v>6.0</v>
      </c>
      <c r="B46" s="25">
        <v>7.0</v>
      </c>
      <c r="C46" s="25" t="s">
        <v>12</v>
      </c>
      <c r="D46" s="25" t="s">
        <v>169</v>
      </c>
      <c r="E46" s="25">
        <v>306.0</v>
      </c>
      <c r="F46" s="25" t="s">
        <v>431</v>
      </c>
      <c r="G46" s="25" t="s">
        <v>191</v>
      </c>
      <c r="H46" s="25" t="s">
        <v>192</v>
      </c>
      <c r="I46" s="26" t="s">
        <v>193</v>
      </c>
      <c r="J46" s="25" t="s">
        <v>432</v>
      </c>
      <c r="K46" s="25" t="s">
        <v>195</v>
      </c>
      <c r="L46" s="25" t="str">
        <f t="shared" si="1"/>
        <v>Team: CSE-306  -  Project: Rapid Prototyping Services App</v>
      </c>
    </row>
    <row r="47" ht="18.75" customHeight="1">
      <c r="A47" s="25">
        <v>7.0</v>
      </c>
      <c r="B47" s="25">
        <v>7.0</v>
      </c>
      <c r="C47" s="25" t="s">
        <v>12</v>
      </c>
      <c r="D47" s="25" t="s">
        <v>169</v>
      </c>
      <c r="E47" s="25">
        <v>307.0</v>
      </c>
      <c r="F47" s="25" t="s">
        <v>433</v>
      </c>
      <c r="G47" s="25" t="s">
        <v>191</v>
      </c>
      <c r="H47" s="25" t="s">
        <v>192</v>
      </c>
      <c r="I47" s="26" t="s">
        <v>193</v>
      </c>
      <c r="J47" s="25" t="s">
        <v>434</v>
      </c>
      <c r="K47" s="25" t="s">
        <v>435</v>
      </c>
      <c r="L47" s="25" t="str">
        <f t="shared" si="1"/>
        <v>Team: CSE-307  -  Project: Rapid Prototyping Services App</v>
      </c>
    </row>
    <row r="48" ht="18.75" customHeight="1">
      <c r="A48" s="25">
        <v>5.0</v>
      </c>
      <c r="B48" s="25">
        <v>4.0</v>
      </c>
      <c r="C48" s="25" t="s">
        <v>12</v>
      </c>
      <c r="D48" s="25" t="s">
        <v>169</v>
      </c>
      <c r="E48" s="25">
        <v>308.0</v>
      </c>
      <c r="F48" s="25" t="s">
        <v>436</v>
      </c>
      <c r="G48" s="25" t="s">
        <v>200</v>
      </c>
      <c r="H48" s="25" t="s">
        <v>201</v>
      </c>
      <c r="I48" s="26" t="s">
        <v>50</v>
      </c>
      <c r="J48" s="25" t="s">
        <v>437</v>
      </c>
      <c r="K48" s="25" t="s">
        <v>438</v>
      </c>
      <c r="L48" s="25" t="str">
        <f t="shared" si="1"/>
        <v>Team: CSE-308  -  Project: Cognitive Tests Using Modern Mobile Game Technology</v>
      </c>
    </row>
    <row r="49" ht="18.75" customHeight="1">
      <c r="A49" s="25">
        <v>7.0</v>
      </c>
      <c r="B49" s="25">
        <v>8.0</v>
      </c>
      <c r="C49" s="25" t="s">
        <v>12</v>
      </c>
      <c r="D49" s="25" t="s">
        <v>169</v>
      </c>
      <c r="E49" s="25">
        <v>309.0</v>
      </c>
      <c r="F49" s="25" t="s">
        <v>439</v>
      </c>
      <c r="G49" s="25" t="s">
        <v>200</v>
      </c>
      <c r="H49" s="25" t="s">
        <v>201</v>
      </c>
      <c r="I49" s="26" t="s">
        <v>50</v>
      </c>
      <c r="J49" s="25" t="s">
        <v>440</v>
      </c>
      <c r="K49" s="25" t="s">
        <v>206</v>
      </c>
      <c r="L49" s="25" t="str">
        <f t="shared" si="1"/>
        <v>Team: CSE-309  -  Project: Cognitive Tests Using Modern Mobile Game Technology</v>
      </c>
    </row>
    <row r="50" ht="18.75" customHeight="1">
      <c r="A50" s="25">
        <v>5.0</v>
      </c>
      <c r="B50" s="25">
        <v>3.0</v>
      </c>
      <c r="C50" s="25" t="s">
        <v>12</v>
      </c>
      <c r="D50" s="25" t="s">
        <v>169</v>
      </c>
      <c r="E50" s="25">
        <v>310.0</v>
      </c>
      <c r="F50" s="25" t="s">
        <v>441</v>
      </c>
      <c r="G50" s="25" t="s">
        <v>208</v>
      </c>
      <c r="H50" s="25" t="s">
        <v>442</v>
      </c>
      <c r="I50" s="26" t="s">
        <v>210</v>
      </c>
      <c r="J50" s="25" t="s">
        <v>443</v>
      </c>
      <c r="K50" s="25" t="s">
        <v>212</v>
      </c>
      <c r="L50" s="25" t="str">
        <f t="shared" si="1"/>
        <v>Team: CSE-310  -  Project: Advanced Image Analysis Platform based on Segment Anything Model (SAM)</v>
      </c>
    </row>
    <row r="51" ht="18.75" customHeight="1">
      <c r="A51" s="25">
        <v>8.0</v>
      </c>
      <c r="B51" s="25">
        <v>1.0</v>
      </c>
      <c r="C51" s="25" t="s">
        <v>12</v>
      </c>
      <c r="D51" s="25" t="s">
        <v>169</v>
      </c>
      <c r="E51" s="25">
        <v>311.0</v>
      </c>
      <c r="F51" s="25" t="s">
        <v>444</v>
      </c>
      <c r="G51" s="25" t="s">
        <v>208</v>
      </c>
      <c r="H51" s="25" t="s">
        <v>442</v>
      </c>
      <c r="I51" s="26" t="s">
        <v>210</v>
      </c>
      <c r="J51" s="25" t="s">
        <v>445</v>
      </c>
      <c r="K51" s="25" t="s">
        <v>215</v>
      </c>
      <c r="L51" s="25" t="str">
        <f t="shared" si="1"/>
        <v>Team: CSE-311  -  Project: Advanced Image Analysis Platform based on Segment Anything Model (SAM)</v>
      </c>
    </row>
    <row r="52" ht="18.75" customHeight="1">
      <c r="A52" s="25">
        <v>7.0</v>
      </c>
      <c r="B52" s="25">
        <v>3.0</v>
      </c>
      <c r="C52" s="25" t="s">
        <v>12</v>
      </c>
      <c r="D52" s="25" t="s">
        <v>169</v>
      </c>
      <c r="E52" s="25">
        <v>312.0</v>
      </c>
      <c r="F52" s="25" t="s">
        <v>446</v>
      </c>
      <c r="G52" s="25" t="s">
        <v>217</v>
      </c>
      <c r="H52" s="25" t="s">
        <v>126</v>
      </c>
      <c r="I52" s="26" t="s">
        <v>17</v>
      </c>
      <c r="J52" s="25" t="s">
        <v>447</v>
      </c>
      <c r="K52" s="25" t="s">
        <v>219</v>
      </c>
      <c r="L52" s="25" t="str">
        <f t="shared" si="1"/>
        <v>Team: CSE-312  -  Project: Average size of tomatoes in trailer</v>
      </c>
    </row>
    <row r="53" ht="18.75" customHeight="1">
      <c r="A53" s="25">
        <v>5.0</v>
      </c>
      <c r="B53" s="25">
        <v>6.0</v>
      </c>
      <c r="C53" s="25" t="s">
        <v>12</v>
      </c>
      <c r="D53" s="25" t="s">
        <v>169</v>
      </c>
      <c r="E53" s="25">
        <v>313.0</v>
      </c>
      <c r="F53" s="25" t="s">
        <v>448</v>
      </c>
      <c r="G53" s="25" t="s">
        <v>217</v>
      </c>
      <c r="H53" s="25" t="s">
        <v>126</v>
      </c>
      <c r="I53" s="26" t="s">
        <v>17</v>
      </c>
      <c r="J53" s="25" t="s">
        <v>449</v>
      </c>
      <c r="K53" s="25" t="s">
        <v>222</v>
      </c>
      <c r="L53" s="25" t="str">
        <f t="shared" si="1"/>
        <v>Team: CSE-313  -  Project: Average size of tomatoes in trailer</v>
      </c>
    </row>
    <row r="54" ht="18.75" customHeight="1">
      <c r="A54" s="25">
        <v>6.0</v>
      </c>
      <c r="B54" s="25">
        <v>6.0</v>
      </c>
      <c r="C54" s="25" t="s">
        <v>12</v>
      </c>
      <c r="D54" s="25" t="s">
        <v>169</v>
      </c>
      <c r="E54" s="25">
        <v>314.0</v>
      </c>
      <c r="F54" s="25" t="s">
        <v>450</v>
      </c>
      <c r="G54" s="25" t="s">
        <v>224</v>
      </c>
      <c r="H54" s="25" t="s">
        <v>225</v>
      </c>
      <c r="I54" s="26" t="s">
        <v>17</v>
      </c>
      <c r="J54" s="25" t="s">
        <v>451</v>
      </c>
      <c r="K54" s="25" t="s">
        <v>227</v>
      </c>
      <c r="L54" s="25" t="str">
        <f t="shared" si="1"/>
        <v>Team: CSE-314  -  Project: SpoilSafe Monitor</v>
      </c>
    </row>
    <row r="55" ht="18.75" customHeight="1">
      <c r="A55" s="25">
        <v>8.0</v>
      </c>
      <c r="B55" s="25">
        <v>8.0</v>
      </c>
      <c r="C55" s="25" t="s">
        <v>12</v>
      </c>
      <c r="D55" s="25" t="s">
        <v>169</v>
      </c>
      <c r="E55" s="25">
        <v>315.0</v>
      </c>
      <c r="F55" s="25" t="s">
        <v>452</v>
      </c>
      <c r="G55" s="25" t="s">
        <v>224</v>
      </c>
      <c r="H55" s="25" t="s">
        <v>225</v>
      </c>
      <c r="I55" s="26" t="s">
        <v>17</v>
      </c>
      <c r="J55" s="25" t="s">
        <v>453</v>
      </c>
      <c r="K55" s="25" t="s">
        <v>454</v>
      </c>
      <c r="L55" s="25" t="str">
        <f t="shared" si="1"/>
        <v>Team: CSE-315  -  Project: SpoilSafe Monitor</v>
      </c>
    </row>
    <row r="56" ht="18.75" customHeight="1">
      <c r="A56" s="25">
        <v>6.0</v>
      </c>
      <c r="B56" s="25">
        <v>3.0</v>
      </c>
      <c r="C56" s="25" t="s">
        <v>12</v>
      </c>
      <c r="D56" s="25" t="s">
        <v>169</v>
      </c>
      <c r="E56" s="25">
        <v>316.0</v>
      </c>
      <c r="F56" s="25" t="s">
        <v>455</v>
      </c>
      <c r="G56" s="25" t="s">
        <v>232</v>
      </c>
      <c r="H56" s="25" t="s">
        <v>233</v>
      </c>
      <c r="I56" s="26" t="s">
        <v>234</v>
      </c>
      <c r="J56" s="25" t="s">
        <v>456</v>
      </c>
      <c r="K56" s="25" t="s">
        <v>236</v>
      </c>
      <c r="L56" s="25" t="str">
        <f t="shared" si="1"/>
        <v>Team: CSE-316  -  Project: Developing an interface for gridded data products</v>
      </c>
    </row>
    <row r="57" ht="18.75" customHeight="1">
      <c r="A57" s="25">
        <v>7.0</v>
      </c>
      <c r="B57" s="25">
        <v>6.0</v>
      </c>
      <c r="C57" s="25" t="s">
        <v>12</v>
      </c>
      <c r="D57" s="25" t="s">
        <v>169</v>
      </c>
      <c r="E57" s="25">
        <v>317.0</v>
      </c>
      <c r="F57" s="25" t="s">
        <v>457</v>
      </c>
      <c r="G57" s="25" t="s">
        <v>238</v>
      </c>
      <c r="H57" s="25" t="s">
        <v>161</v>
      </c>
      <c r="I57" s="26" t="s">
        <v>77</v>
      </c>
      <c r="J57" s="25" t="s">
        <v>458</v>
      </c>
      <c r="K57" s="25" t="s">
        <v>240</v>
      </c>
      <c r="L57" s="25" t="str">
        <f t="shared" si="1"/>
        <v>Team: CSE-317  -  Project: BART Aerial Track Inspection</v>
      </c>
    </row>
    <row r="58" ht="18.75" customHeight="1">
      <c r="A58" s="25">
        <v>8.0</v>
      </c>
      <c r="B58" s="25">
        <v>3.0</v>
      </c>
      <c r="C58" s="25" t="s">
        <v>12</v>
      </c>
      <c r="D58" s="25" t="s">
        <v>169</v>
      </c>
      <c r="E58" s="25">
        <v>318.0</v>
      </c>
      <c r="F58" s="25" t="s">
        <v>459</v>
      </c>
      <c r="G58" s="25" t="s">
        <v>238</v>
      </c>
      <c r="H58" s="25" t="s">
        <v>161</v>
      </c>
      <c r="I58" s="26" t="s">
        <v>77</v>
      </c>
      <c r="J58" s="25" t="s">
        <v>460</v>
      </c>
      <c r="K58" s="25" t="s">
        <v>243</v>
      </c>
      <c r="L58" s="25" t="str">
        <f t="shared" si="1"/>
        <v>Team: CSE-318  -  Project: BART Aerial Track Inspection</v>
      </c>
    </row>
    <row r="59" ht="18.75" customHeight="1">
      <c r="A59" s="25">
        <v>8.0</v>
      </c>
      <c r="B59" s="25">
        <v>2.0</v>
      </c>
      <c r="C59" s="25" t="s">
        <v>12</v>
      </c>
      <c r="D59" s="25" t="s">
        <v>169</v>
      </c>
      <c r="E59" s="25">
        <v>319.0</v>
      </c>
      <c r="F59" s="25" t="s">
        <v>461</v>
      </c>
      <c r="G59" s="25" t="s">
        <v>245</v>
      </c>
      <c r="H59" s="25" t="s">
        <v>156</v>
      </c>
      <c r="I59" s="26" t="s">
        <v>17</v>
      </c>
      <c r="J59" s="25" t="s">
        <v>462</v>
      </c>
      <c r="K59" s="25" t="s">
        <v>247</v>
      </c>
      <c r="L59" s="25" t="str">
        <f t="shared" si="1"/>
        <v>Team: CSE-319  -  Project: Vehicle Mileage and Fuel Logging Application</v>
      </c>
    </row>
    <row r="60" ht="18.75" customHeight="1">
      <c r="A60" s="25">
        <v>5.0</v>
      </c>
      <c r="B60" s="25">
        <v>9.0</v>
      </c>
      <c r="C60" s="25" t="s">
        <v>12</v>
      </c>
      <c r="D60" s="25" t="s">
        <v>169</v>
      </c>
      <c r="E60" s="25">
        <v>320.0</v>
      </c>
      <c r="F60" s="25" t="s">
        <v>463</v>
      </c>
      <c r="G60" s="25" t="s">
        <v>245</v>
      </c>
      <c r="H60" s="25" t="s">
        <v>156</v>
      </c>
      <c r="I60" s="26" t="s">
        <v>17</v>
      </c>
      <c r="J60" s="25" t="s">
        <v>464</v>
      </c>
      <c r="K60" s="25" t="s">
        <v>250</v>
      </c>
      <c r="L60" s="25" t="str">
        <f t="shared" si="1"/>
        <v>Team: CSE-320  -  Project: Vehicle Mileage and Fuel Logging Application</v>
      </c>
    </row>
    <row r="61" ht="18.75" customHeight="1">
      <c r="A61" s="25">
        <v>8.0</v>
      </c>
      <c r="B61" s="25">
        <v>9.0</v>
      </c>
      <c r="C61" s="25" t="s">
        <v>12</v>
      </c>
      <c r="D61" s="25" t="s">
        <v>169</v>
      </c>
      <c r="E61" s="25">
        <v>321.0</v>
      </c>
      <c r="F61" s="25" t="s">
        <v>465</v>
      </c>
      <c r="G61" s="25" t="s">
        <v>252</v>
      </c>
      <c r="H61" s="25" t="s">
        <v>151</v>
      </c>
      <c r="I61" s="26" t="s">
        <v>17</v>
      </c>
      <c r="J61" s="25" t="s">
        <v>466</v>
      </c>
      <c r="K61" s="25" t="s">
        <v>467</v>
      </c>
      <c r="L61" s="25" t="str">
        <f t="shared" si="1"/>
        <v>Team: CSE-321  -  Project: Cheese Block Defect Detection</v>
      </c>
    </row>
    <row r="62" ht="18.75" customHeight="1">
      <c r="A62" s="25">
        <v>7.0</v>
      </c>
      <c r="B62" s="25">
        <v>4.0</v>
      </c>
      <c r="C62" s="25" t="s">
        <v>12</v>
      </c>
      <c r="D62" s="25" t="s">
        <v>169</v>
      </c>
      <c r="E62" s="25">
        <v>322.0</v>
      </c>
      <c r="F62" s="25" t="s">
        <v>468</v>
      </c>
      <c r="G62" s="25" t="s">
        <v>252</v>
      </c>
      <c r="H62" s="25" t="s">
        <v>151</v>
      </c>
      <c r="I62" s="26" t="s">
        <v>17</v>
      </c>
      <c r="J62" s="25" t="s">
        <v>469</v>
      </c>
      <c r="K62" s="25" t="s">
        <v>257</v>
      </c>
      <c r="L62" s="25" t="str">
        <f t="shared" si="1"/>
        <v>Team: CSE-322  -  Project: Cheese Block Defect Detection</v>
      </c>
    </row>
    <row r="63" ht="18.75" customHeight="1">
      <c r="A63" s="25">
        <v>6.0</v>
      </c>
      <c r="B63" s="25">
        <v>1.0</v>
      </c>
      <c r="C63" s="25" t="s">
        <v>12</v>
      </c>
      <c r="D63" s="25" t="s">
        <v>169</v>
      </c>
      <c r="E63" s="25">
        <v>323.0</v>
      </c>
      <c r="F63" s="25" t="s">
        <v>470</v>
      </c>
      <c r="G63" s="25" t="s">
        <v>259</v>
      </c>
      <c r="H63" s="25" t="s">
        <v>260</v>
      </c>
      <c r="I63" s="26" t="s">
        <v>17</v>
      </c>
      <c r="J63" s="25" t="s">
        <v>471</v>
      </c>
      <c r="K63" s="25" t="s">
        <v>472</v>
      </c>
      <c r="L63" s="25" t="str">
        <f t="shared" si="1"/>
        <v>Team: CSE-323  -  Project: Crop Yield Estimation via Robotic Image Capture</v>
      </c>
    </row>
    <row r="64" ht="18.75" customHeight="1">
      <c r="A64" s="25">
        <v>8.0</v>
      </c>
      <c r="B64" s="25">
        <v>5.0</v>
      </c>
      <c r="C64" s="25" t="s">
        <v>12</v>
      </c>
      <c r="D64" s="25" t="s">
        <v>169</v>
      </c>
      <c r="E64" s="25">
        <v>324.0</v>
      </c>
      <c r="F64" s="25" t="s">
        <v>473</v>
      </c>
      <c r="G64" s="25" t="s">
        <v>264</v>
      </c>
      <c r="H64" s="25" t="s">
        <v>126</v>
      </c>
      <c r="I64" s="26" t="s">
        <v>17</v>
      </c>
      <c r="J64" s="25" t="s">
        <v>474</v>
      </c>
      <c r="K64" s="25" t="s">
        <v>475</v>
      </c>
      <c r="L64" s="25" t="str">
        <f t="shared" si="1"/>
        <v>Team: CSE-324  -  Project: Programming a robotic arm to weld parts</v>
      </c>
    </row>
    <row r="65" ht="18.75" customHeight="1">
      <c r="A65" s="25">
        <v>8.0</v>
      </c>
      <c r="B65" s="25">
        <v>7.0</v>
      </c>
      <c r="C65" s="25" t="s">
        <v>12</v>
      </c>
      <c r="D65" s="25" t="s">
        <v>169</v>
      </c>
      <c r="E65" s="25">
        <v>325.0</v>
      </c>
      <c r="F65" s="25" t="s">
        <v>476</v>
      </c>
      <c r="G65" s="25" t="s">
        <v>268</v>
      </c>
      <c r="H65" s="25" t="s">
        <v>269</v>
      </c>
      <c r="I65" s="26" t="s">
        <v>193</v>
      </c>
      <c r="J65" s="25" t="s">
        <v>477</v>
      </c>
      <c r="K65" s="25" t="s">
        <v>271</v>
      </c>
      <c r="L65" s="25" t="str">
        <f t="shared" si="1"/>
        <v>Team: CSE-325  -  Project: Turning Search Results into Curated and Linked Information</v>
      </c>
    </row>
    <row r="66" ht="18.75" customHeight="1">
      <c r="A66" s="25">
        <v>6.0</v>
      </c>
      <c r="B66" s="25">
        <v>8.0</v>
      </c>
      <c r="C66" s="25" t="s">
        <v>12</v>
      </c>
      <c r="D66" s="25" t="s">
        <v>169</v>
      </c>
      <c r="E66" s="25">
        <v>326.0</v>
      </c>
      <c r="F66" s="25" t="s">
        <v>478</v>
      </c>
      <c r="G66" s="25" t="s">
        <v>268</v>
      </c>
      <c r="H66" s="25" t="s">
        <v>269</v>
      </c>
      <c r="I66" s="26" t="s">
        <v>193</v>
      </c>
      <c r="J66" s="25" t="s">
        <v>479</v>
      </c>
      <c r="K66" s="25" t="s">
        <v>480</v>
      </c>
      <c r="L66" s="25" t="str">
        <f t="shared" si="1"/>
        <v>Team: CSE-326  -  Project: Turning Search Results into Curated and Linked Information</v>
      </c>
    </row>
    <row r="67" ht="18.75" customHeight="1">
      <c r="A67" s="25">
        <v>5.0</v>
      </c>
      <c r="B67" s="25">
        <v>5.0</v>
      </c>
      <c r="C67" s="25" t="s">
        <v>12</v>
      </c>
      <c r="D67" s="25" t="s">
        <v>169</v>
      </c>
      <c r="E67" s="25">
        <v>327.0</v>
      </c>
      <c r="F67" s="25" t="s">
        <v>481</v>
      </c>
      <c r="G67" s="25" t="s">
        <v>276</v>
      </c>
      <c r="H67" s="25" t="s">
        <v>269</v>
      </c>
      <c r="I67" s="26" t="s">
        <v>193</v>
      </c>
      <c r="J67" s="25" t="s">
        <v>482</v>
      </c>
      <c r="K67" s="25" t="s">
        <v>278</v>
      </c>
      <c r="L67" s="25" t="str">
        <f t="shared" si="1"/>
        <v>Team: CSE-327  -  Project: Networking Engagement - Information Capture and Aggregation App</v>
      </c>
    </row>
    <row r="68" ht="18.75" customHeight="1">
      <c r="A68" s="25">
        <v>7.0</v>
      </c>
      <c r="B68" s="25">
        <v>9.0</v>
      </c>
      <c r="C68" s="25" t="s">
        <v>12</v>
      </c>
      <c r="D68" s="25" t="s">
        <v>169</v>
      </c>
      <c r="E68" s="25">
        <v>328.0</v>
      </c>
      <c r="F68" s="25" t="s">
        <v>483</v>
      </c>
      <c r="G68" s="25" t="s">
        <v>276</v>
      </c>
      <c r="H68" s="25" t="s">
        <v>269</v>
      </c>
      <c r="I68" s="26" t="s">
        <v>193</v>
      </c>
      <c r="J68" s="25" t="s">
        <v>484</v>
      </c>
      <c r="K68" s="25" t="s">
        <v>281</v>
      </c>
      <c r="L68" s="25" t="str">
        <f t="shared" si="1"/>
        <v>Team: CSE-328  -  Project: Networking Engagement - Information Capture and Aggregation App</v>
      </c>
    </row>
    <row r="69" ht="18.75" customHeight="1">
      <c r="A69" s="25">
        <v>6.0</v>
      </c>
      <c r="B69" s="25">
        <v>5.0</v>
      </c>
      <c r="C69" s="25" t="s">
        <v>12</v>
      </c>
      <c r="D69" s="25" t="s">
        <v>169</v>
      </c>
      <c r="E69" s="25">
        <v>329.0</v>
      </c>
      <c r="F69" s="25" t="s">
        <v>485</v>
      </c>
      <c r="G69" s="25" t="s">
        <v>283</v>
      </c>
      <c r="H69" s="25" t="s">
        <v>126</v>
      </c>
      <c r="I69" s="26" t="s">
        <v>17</v>
      </c>
      <c r="J69" s="25" t="s">
        <v>486</v>
      </c>
      <c r="K69" s="25" t="s">
        <v>285</v>
      </c>
      <c r="L69" s="25" t="str">
        <f t="shared" si="1"/>
        <v>Team: CSE-329  -  Project: Plant Counting Program</v>
      </c>
    </row>
    <row r="70" ht="18.75" customHeight="1">
      <c r="A70" s="25">
        <v>8.0</v>
      </c>
      <c r="B70" s="25">
        <v>6.0</v>
      </c>
      <c r="C70" s="25" t="s">
        <v>12</v>
      </c>
      <c r="D70" s="25" t="s">
        <v>169</v>
      </c>
      <c r="E70" s="25">
        <v>330.0</v>
      </c>
      <c r="F70" s="25" t="s">
        <v>487</v>
      </c>
      <c r="G70" s="25" t="s">
        <v>283</v>
      </c>
      <c r="H70" s="25" t="s">
        <v>126</v>
      </c>
      <c r="I70" s="26" t="s">
        <v>17</v>
      </c>
      <c r="J70" s="25" t="s">
        <v>488</v>
      </c>
      <c r="K70" s="25" t="s">
        <v>288</v>
      </c>
      <c r="L70" s="25" t="str">
        <f t="shared" si="1"/>
        <v>Team: CSE-330  -  Project: Plant Counting Program</v>
      </c>
    </row>
    <row r="71" ht="18.75" customHeight="1">
      <c r="A71" s="25">
        <v>5.0</v>
      </c>
      <c r="B71" s="25">
        <v>7.0</v>
      </c>
      <c r="C71" s="25" t="s">
        <v>12</v>
      </c>
      <c r="D71" s="25" t="s">
        <v>169</v>
      </c>
      <c r="E71" s="25">
        <v>331.0</v>
      </c>
      <c r="F71" s="25" t="s">
        <v>489</v>
      </c>
      <c r="G71" s="25" t="s">
        <v>238</v>
      </c>
      <c r="H71" s="25" t="s">
        <v>161</v>
      </c>
      <c r="I71" s="26" t="s">
        <v>77</v>
      </c>
      <c r="J71" s="25" t="s">
        <v>490</v>
      </c>
      <c r="K71" s="25" t="s">
        <v>291</v>
      </c>
      <c r="L71" s="25" t="str">
        <f t="shared" si="1"/>
        <v>Team: CSE-331  -  Project: BART Aerial Track Inspection</v>
      </c>
    </row>
    <row r="72" ht="18.75" customHeight="1">
      <c r="A72" s="25">
        <v>6.0</v>
      </c>
      <c r="B72" s="25">
        <v>9.0</v>
      </c>
      <c r="C72" s="25" t="s">
        <v>12</v>
      </c>
      <c r="D72" s="25" t="s">
        <v>169</v>
      </c>
      <c r="E72" s="25">
        <v>332.0</v>
      </c>
      <c r="F72" s="25" t="s">
        <v>491</v>
      </c>
      <c r="G72" s="25" t="s">
        <v>293</v>
      </c>
      <c r="H72" s="25" t="s">
        <v>161</v>
      </c>
      <c r="I72" s="26" t="s">
        <v>77</v>
      </c>
      <c r="J72" s="25" t="s">
        <v>492</v>
      </c>
      <c r="K72" s="25" t="s">
        <v>295</v>
      </c>
      <c r="L72" s="25" t="str">
        <f t="shared" si="1"/>
        <v>Team: CSE-332  -  Project: Assistive Wayfinding for BART Stations</v>
      </c>
    </row>
    <row r="73" ht="18.75" customHeight="1">
      <c r="A73" s="25">
        <v>7.0</v>
      </c>
      <c r="B73" s="25">
        <v>1.0</v>
      </c>
      <c r="C73" s="25" t="s">
        <v>12</v>
      </c>
      <c r="D73" s="25" t="s">
        <v>169</v>
      </c>
      <c r="E73" s="25">
        <v>333.0</v>
      </c>
      <c r="F73" s="25" t="s">
        <v>493</v>
      </c>
      <c r="G73" s="25" t="s">
        <v>297</v>
      </c>
      <c r="H73" s="25" t="s">
        <v>298</v>
      </c>
      <c r="I73" s="26" t="s">
        <v>59</v>
      </c>
      <c r="J73" s="25" t="s">
        <v>494</v>
      </c>
      <c r="K73" s="25" t="s">
        <v>495</v>
      </c>
      <c r="L73" s="25" t="str">
        <f t="shared" si="1"/>
        <v>Team: CSE-333  -  Project: Cloud sync engine</v>
      </c>
    </row>
    <row r="74" ht="18.75" customHeight="1">
      <c r="A74" s="25">
        <v>5.0</v>
      </c>
      <c r="B74" s="25">
        <v>8.0</v>
      </c>
      <c r="C74" s="25" t="s">
        <v>12</v>
      </c>
      <c r="D74" s="25" t="s">
        <v>169</v>
      </c>
      <c r="E74" s="25">
        <v>334.0</v>
      </c>
      <c r="F74" s="25" t="s">
        <v>496</v>
      </c>
      <c r="G74" s="25" t="s">
        <v>297</v>
      </c>
      <c r="H74" s="25" t="s">
        <v>298</v>
      </c>
      <c r="I74" s="26" t="s">
        <v>59</v>
      </c>
      <c r="J74" s="25" t="s">
        <v>497</v>
      </c>
      <c r="K74" s="25" t="s">
        <v>498</v>
      </c>
      <c r="L74" s="25" t="str">
        <f t="shared" si="1"/>
        <v>Team: CSE-334  -  Project: Cloud sync engine</v>
      </c>
    </row>
    <row r="75" ht="18.75" customHeight="1">
      <c r="A75" s="25">
        <v>5.0</v>
      </c>
      <c r="B75" s="25">
        <v>1.0</v>
      </c>
      <c r="C75" s="25" t="s">
        <v>12</v>
      </c>
      <c r="D75" s="25" t="s">
        <v>169</v>
      </c>
      <c r="E75" s="25">
        <v>335.0</v>
      </c>
      <c r="F75" s="25" t="s">
        <v>499</v>
      </c>
      <c r="G75" s="25" t="s">
        <v>305</v>
      </c>
      <c r="H75" s="25" t="s">
        <v>306</v>
      </c>
      <c r="I75" s="26" t="s">
        <v>132</v>
      </c>
      <c r="J75" s="25" t="s">
        <v>500</v>
      </c>
      <c r="K75" s="25" t="s">
        <v>308</v>
      </c>
      <c r="L75" s="25" t="str">
        <f t="shared" si="1"/>
        <v>Team: CSE-335  -  Project: Wine Inventory Management Using Machine Vision</v>
      </c>
    </row>
    <row r="76" ht="18.75" customHeight="1">
      <c r="A76" s="25">
        <v>7.0</v>
      </c>
      <c r="B76" s="25">
        <v>2.0</v>
      </c>
      <c r="C76" s="25" t="s">
        <v>12</v>
      </c>
      <c r="D76" s="25" t="s">
        <v>169</v>
      </c>
      <c r="E76" s="25">
        <v>336.0</v>
      </c>
      <c r="F76" s="25" t="s">
        <v>501</v>
      </c>
      <c r="G76" s="25" t="s">
        <v>305</v>
      </c>
      <c r="H76" s="25" t="s">
        <v>306</v>
      </c>
      <c r="I76" s="26" t="s">
        <v>132</v>
      </c>
      <c r="J76" s="25" t="s">
        <v>502</v>
      </c>
      <c r="K76" s="25" t="s">
        <v>311</v>
      </c>
      <c r="L76" s="25" t="str">
        <f t="shared" si="1"/>
        <v>Team: CSE-336  -  Project: Wine Inventory Management Using Machine Vision</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6.75"/>
    <col customWidth="1" min="3" max="3" width="15.38"/>
    <col customWidth="1" min="4" max="4" width="5.75"/>
    <col customWidth="1" min="5" max="5" width="10.25"/>
    <col customWidth="1" min="6" max="6" width="14.25"/>
    <col customWidth="1" min="7" max="7" width="16.0"/>
    <col customWidth="1" min="8" max="8" width="16.5"/>
    <col customWidth="1" min="9" max="9" width="11.5"/>
    <col customWidth="1" min="10" max="10" width="52.38"/>
    <col customWidth="1" min="11" max="11" width="65.75"/>
    <col customWidth="1" min="12" max="12" width="92.75"/>
  </cols>
  <sheetData>
    <row r="1" ht="18.75" customHeight="1">
      <c r="A1" s="24" t="s">
        <v>0</v>
      </c>
      <c r="B1" s="24" t="s">
        <v>1</v>
      </c>
      <c r="C1" s="24" t="s">
        <v>2</v>
      </c>
      <c r="D1" s="24" t="s">
        <v>3</v>
      </c>
      <c r="E1" s="24" t="s">
        <v>4</v>
      </c>
      <c r="F1" s="24" t="s">
        <v>5</v>
      </c>
      <c r="G1" s="24" t="s">
        <v>6</v>
      </c>
      <c r="H1" s="24" t="s">
        <v>7</v>
      </c>
      <c r="I1" s="24" t="s">
        <v>8</v>
      </c>
      <c r="J1" s="24" t="s">
        <v>9</v>
      </c>
      <c r="K1" s="24" t="s">
        <v>10</v>
      </c>
      <c r="L1" s="24" t="s">
        <v>11</v>
      </c>
    </row>
    <row r="2" ht="18.75" customHeight="1">
      <c r="A2" s="25">
        <v>1.0</v>
      </c>
      <c r="B2" s="25">
        <v>1.0</v>
      </c>
      <c r="C2" s="25" t="s">
        <v>12</v>
      </c>
      <c r="D2" s="25" t="s">
        <v>13</v>
      </c>
      <c r="E2" s="25">
        <v>101.0</v>
      </c>
      <c r="F2" s="25" t="s">
        <v>378</v>
      </c>
      <c r="G2" s="25" t="s">
        <v>15</v>
      </c>
      <c r="H2" s="25" t="s">
        <v>16</v>
      </c>
      <c r="I2" s="26" t="s">
        <v>17</v>
      </c>
      <c r="J2" s="25" t="s">
        <v>379</v>
      </c>
      <c r="K2" s="25" t="s">
        <v>19</v>
      </c>
      <c r="L2" s="25" t="str">
        <f t="shared" ref="L2:L76" si="1">"Team: " &amp; F2 &amp; "  -  Project: " &amp; G2</f>
        <v>Team: CAP-101  -  Project: Rotary Joint Testing System</v>
      </c>
    </row>
    <row r="3" ht="18.75" customHeight="1">
      <c r="A3" s="25">
        <v>1.0</v>
      </c>
      <c r="B3" s="25">
        <v>2.0</v>
      </c>
      <c r="C3" s="25" t="s">
        <v>12</v>
      </c>
      <c r="D3" s="25" t="s">
        <v>13</v>
      </c>
      <c r="E3" s="25">
        <v>102.0</v>
      </c>
      <c r="F3" s="25" t="s">
        <v>380</v>
      </c>
      <c r="G3" s="25" t="s">
        <v>21</v>
      </c>
      <c r="H3" s="25" t="s">
        <v>22</v>
      </c>
      <c r="I3" s="26" t="s">
        <v>17</v>
      </c>
      <c r="J3" s="25" t="s">
        <v>381</v>
      </c>
      <c r="K3" s="25" t="s">
        <v>24</v>
      </c>
      <c r="L3" s="25" t="str">
        <f t="shared" si="1"/>
        <v>Team: CAP-102  -  Project: Cutting Deck Slicing Tray Cleaning Improvement</v>
      </c>
    </row>
    <row r="4" ht="18.75" customHeight="1">
      <c r="A4" s="25">
        <v>1.0</v>
      </c>
      <c r="B4" s="25">
        <v>3.0</v>
      </c>
      <c r="C4" s="25" t="s">
        <v>12</v>
      </c>
      <c r="D4" s="25" t="s">
        <v>13</v>
      </c>
      <c r="E4" s="25">
        <v>103.0</v>
      </c>
      <c r="F4" s="25" t="s">
        <v>382</v>
      </c>
      <c r="G4" s="25" t="s">
        <v>26</v>
      </c>
      <c r="H4" s="25" t="s">
        <v>27</v>
      </c>
      <c r="I4" s="26" t="s">
        <v>28</v>
      </c>
      <c r="J4" s="25" t="s">
        <v>383</v>
      </c>
      <c r="K4" s="25" t="s">
        <v>30</v>
      </c>
      <c r="L4" s="25" t="str">
        <f t="shared" si="1"/>
        <v>Team: CAP-103  -  Project: Interstitial Fluid as a Proxy for Blood</v>
      </c>
    </row>
    <row r="5" ht="18.75" customHeight="1">
      <c r="A5" s="25">
        <v>1.0</v>
      </c>
      <c r="B5" s="25">
        <v>4.0</v>
      </c>
      <c r="C5" s="25" t="s">
        <v>12</v>
      </c>
      <c r="D5" s="25" t="s">
        <v>13</v>
      </c>
      <c r="E5" s="25">
        <v>104.0</v>
      </c>
      <c r="F5" s="25" t="s">
        <v>384</v>
      </c>
      <c r="G5" s="25" t="s">
        <v>26</v>
      </c>
      <c r="H5" s="25" t="s">
        <v>27</v>
      </c>
      <c r="I5" s="26" t="s">
        <v>28</v>
      </c>
      <c r="J5" s="25" t="s">
        <v>385</v>
      </c>
      <c r="K5" s="25" t="s">
        <v>33</v>
      </c>
      <c r="L5" s="25" t="str">
        <f t="shared" si="1"/>
        <v>Team: CAP-104  -  Project: Interstitial Fluid as a Proxy for Blood</v>
      </c>
    </row>
    <row r="6" ht="18.75" customHeight="1">
      <c r="A6" s="25">
        <v>1.0</v>
      </c>
      <c r="B6" s="25">
        <v>5.0</v>
      </c>
      <c r="C6" s="25" t="s">
        <v>12</v>
      </c>
      <c r="D6" s="25" t="s">
        <v>13</v>
      </c>
      <c r="E6" s="25">
        <v>105.0</v>
      </c>
      <c r="F6" s="25" t="s">
        <v>386</v>
      </c>
      <c r="G6" s="25" t="s">
        <v>35</v>
      </c>
      <c r="H6" s="25" t="s">
        <v>16</v>
      </c>
      <c r="I6" s="26" t="s">
        <v>17</v>
      </c>
      <c r="J6" s="25" t="s">
        <v>387</v>
      </c>
      <c r="K6" s="25" t="s">
        <v>37</v>
      </c>
      <c r="L6" s="25" t="str">
        <f t="shared" si="1"/>
        <v>Team: CAP-105  -  Project: Crash Bottle Sensor</v>
      </c>
    </row>
    <row r="7" ht="18.75" customHeight="1">
      <c r="A7" s="25">
        <v>1.0</v>
      </c>
      <c r="B7" s="25">
        <v>6.0</v>
      </c>
      <c r="C7" s="25" t="s">
        <v>12</v>
      </c>
      <c r="D7" s="25" t="s">
        <v>13</v>
      </c>
      <c r="E7" s="25">
        <v>106.0</v>
      </c>
      <c r="F7" s="25" t="s">
        <v>388</v>
      </c>
      <c r="G7" s="25" t="s">
        <v>35</v>
      </c>
      <c r="H7" s="25" t="s">
        <v>16</v>
      </c>
      <c r="I7" s="26" t="s">
        <v>17</v>
      </c>
      <c r="J7" s="25" t="s">
        <v>389</v>
      </c>
      <c r="K7" s="25" t="s">
        <v>40</v>
      </c>
      <c r="L7" s="25" t="str">
        <f t="shared" si="1"/>
        <v>Team: CAP-106  -  Project: Crash Bottle Sensor</v>
      </c>
    </row>
    <row r="8" ht="18.75" customHeight="1">
      <c r="A8" s="25">
        <v>1.0</v>
      </c>
      <c r="B8" s="25">
        <v>7.0</v>
      </c>
      <c r="C8" s="25" t="s">
        <v>12</v>
      </c>
      <c r="D8" s="25" t="s">
        <v>13</v>
      </c>
      <c r="E8" s="25">
        <v>107.0</v>
      </c>
      <c r="F8" s="25" t="s">
        <v>390</v>
      </c>
      <c r="G8" s="25" t="s">
        <v>42</v>
      </c>
      <c r="H8" s="25" t="s">
        <v>43</v>
      </c>
      <c r="I8" s="26" t="s">
        <v>44</v>
      </c>
      <c r="J8" s="25" t="s">
        <v>391</v>
      </c>
      <c r="K8" s="25" t="s">
        <v>46</v>
      </c>
      <c r="L8" s="25" t="str">
        <f t="shared" si="1"/>
        <v>Team: CAP-107  -  Project: Lab-scale Extruder for Rubber Processing</v>
      </c>
    </row>
    <row r="9" ht="18.75" customHeight="1">
      <c r="A9" s="25">
        <v>2.0</v>
      </c>
      <c r="B9" s="25">
        <v>1.0</v>
      </c>
      <c r="C9" s="25" t="s">
        <v>12</v>
      </c>
      <c r="D9" s="25" t="s">
        <v>13</v>
      </c>
      <c r="E9" s="25">
        <v>108.0</v>
      </c>
      <c r="F9" s="25" t="s">
        <v>392</v>
      </c>
      <c r="G9" s="25" t="s">
        <v>48</v>
      </c>
      <c r="H9" s="25" t="s">
        <v>49</v>
      </c>
      <c r="I9" s="26" t="s">
        <v>50</v>
      </c>
      <c r="J9" s="25" t="s">
        <v>393</v>
      </c>
      <c r="K9" s="25" t="s">
        <v>52</v>
      </c>
      <c r="L9" s="25" t="str">
        <f t="shared" si="1"/>
        <v>Team: CAP-108  -  Project: Laser Needle Treatment</v>
      </c>
    </row>
    <row r="10" ht="18.75" customHeight="1">
      <c r="A10" s="25">
        <v>2.0</v>
      </c>
      <c r="B10" s="25">
        <v>2.0</v>
      </c>
      <c r="C10" s="25" t="s">
        <v>12</v>
      </c>
      <c r="D10" s="25" t="s">
        <v>13</v>
      </c>
      <c r="E10" s="25">
        <v>109.0</v>
      </c>
      <c r="F10" s="25" t="s">
        <v>394</v>
      </c>
      <c r="G10" s="25" t="s">
        <v>48</v>
      </c>
      <c r="H10" s="25" t="s">
        <v>49</v>
      </c>
      <c r="I10" s="26" t="s">
        <v>50</v>
      </c>
      <c r="J10" s="25" t="s">
        <v>395</v>
      </c>
      <c r="K10" s="25" t="s">
        <v>55</v>
      </c>
      <c r="L10" s="25" t="str">
        <f t="shared" si="1"/>
        <v>Team: CAP-109  -  Project: Laser Needle Treatment</v>
      </c>
    </row>
    <row r="11" ht="18.75" customHeight="1">
      <c r="A11" s="25">
        <v>2.0</v>
      </c>
      <c r="B11" s="25">
        <v>3.0</v>
      </c>
      <c r="C11" s="25" t="s">
        <v>12</v>
      </c>
      <c r="D11" s="25" t="s">
        <v>13</v>
      </c>
      <c r="E11" s="25">
        <v>110.0</v>
      </c>
      <c r="F11" s="25" t="s">
        <v>396</v>
      </c>
      <c r="G11" s="25" t="s">
        <v>57</v>
      </c>
      <c r="H11" s="25" t="s">
        <v>58</v>
      </c>
      <c r="I11" s="26" t="s">
        <v>59</v>
      </c>
      <c r="J11" s="25" t="s">
        <v>397</v>
      </c>
      <c r="K11" s="25" t="s">
        <v>61</v>
      </c>
      <c r="L11" s="25" t="str">
        <f t="shared" si="1"/>
        <v>Team: CAP-110  -  Project: HVAC Design Calculations</v>
      </c>
    </row>
    <row r="12" ht="18.75" customHeight="1">
      <c r="A12" s="25">
        <v>2.0</v>
      </c>
      <c r="B12" s="25">
        <v>4.0</v>
      </c>
      <c r="C12" s="25" t="s">
        <v>12</v>
      </c>
      <c r="D12" s="25" t="s">
        <v>13</v>
      </c>
      <c r="E12" s="25">
        <v>111.0</v>
      </c>
      <c r="F12" s="25" t="s">
        <v>398</v>
      </c>
      <c r="G12" s="25" t="s">
        <v>63</v>
      </c>
      <c r="H12" s="25" t="s">
        <v>49</v>
      </c>
      <c r="I12" s="26" t="s">
        <v>50</v>
      </c>
      <c r="J12" s="25" t="s">
        <v>399</v>
      </c>
      <c r="K12" s="25" t="s">
        <v>65</v>
      </c>
      <c r="L12" s="25" t="str">
        <f t="shared" si="1"/>
        <v>Team: CAP-111  -  Project: Motorized Automatic Syringe Plunger (30 mL, 50 mL, 60 mL)</v>
      </c>
    </row>
    <row r="13" ht="18.75" customHeight="1">
      <c r="A13" s="25">
        <v>2.0</v>
      </c>
      <c r="B13" s="25">
        <v>5.0</v>
      </c>
      <c r="C13" s="25" t="s">
        <v>12</v>
      </c>
      <c r="D13" s="25" t="s">
        <v>13</v>
      </c>
      <c r="E13" s="25">
        <v>112.0</v>
      </c>
      <c r="F13" s="25" t="s">
        <v>400</v>
      </c>
      <c r="G13" s="25" t="s">
        <v>63</v>
      </c>
      <c r="H13" s="25" t="s">
        <v>49</v>
      </c>
      <c r="I13" s="26" t="s">
        <v>50</v>
      </c>
      <c r="J13" s="25" t="s">
        <v>401</v>
      </c>
      <c r="K13" s="25" t="s">
        <v>68</v>
      </c>
      <c r="L13" s="25" t="str">
        <f t="shared" si="1"/>
        <v>Team: CAP-112  -  Project: Motorized Automatic Syringe Plunger (30 mL, 50 mL, 60 mL)</v>
      </c>
    </row>
    <row r="14" ht="18.75" customHeight="1">
      <c r="A14" s="25">
        <v>2.0</v>
      </c>
      <c r="B14" s="25">
        <v>6.0</v>
      </c>
      <c r="C14" s="25" t="s">
        <v>12</v>
      </c>
      <c r="D14" s="25" t="s">
        <v>13</v>
      </c>
      <c r="E14" s="25">
        <v>113.0</v>
      </c>
      <c r="F14" s="25" t="s">
        <v>402</v>
      </c>
      <c r="G14" s="25" t="s">
        <v>70</v>
      </c>
      <c r="H14" s="25" t="s">
        <v>71</v>
      </c>
      <c r="I14" s="26" t="s">
        <v>17</v>
      </c>
      <c r="J14" s="25" t="s">
        <v>403</v>
      </c>
      <c r="K14" s="25" t="s">
        <v>73</v>
      </c>
      <c r="L14" s="25" t="str">
        <f t="shared" si="1"/>
        <v>Team: CAP-113  -  Project: System to correctly position liner cardboard at bottom of the wooden bin</v>
      </c>
    </row>
    <row r="15" ht="18.75" customHeight="1">
      <c r="A15" s="25">
        <v>2.0</v>
      </c>
      <c r="B15" s="25">
        <v>7.0</v>
      </c>
      <c r="C15" s="25" t="s">
        <v>12</v>
      </c>
      <c r="D15" s="25" t="s">
        <v>13</v>
      </c>
      <c r="E15" s="25">
        <v>114.0</v>
      </c>
      <c r="F15" s="25" t="s">
        <v>404</v>
      </c>
      <c r="G15" s="25" t="s">
        <v>75</v>
      </c>
      <c r="H15" s="25" t="s">
        <v>76</v>
      </c>
      <c r="I15" s="26" t="s">
        <v>77</v>
      </c>
      <c r="J15" s="25" t="s">
        <v>405</v>
      </c>
      <c r="K15" s="25" t="s">
        <v>79</v>
      </c>
      <c r="L15" s="25" t="str">
        <f t="shared" si="1"/>
        <v>Team: CAP-114  -  Project: CO2 Refrigeration: Screw vs. Reciprocating</v>
      </c>
    </row>
    <row r="16" ht="18.75" customHeight="1">
      <c r="A16" s="25">
        <v>3.0</v>
      </c>
      <c r="B16" s="25">
        <v>1.0</v>
      </c>
      <c r="C16" s="25" t="s">
        <v>12</v>
      </c>
      <c r="D16" s="25" t="s">
        <v>13</v>
      </c>
      <c r="E16" s="25">
        <v>115.0</v>
      </c>
      <c r="F16" s="25" t="s">
        <v>406</v>
      </c>
      <c r="G16" s="25" t="s">
        <v>81</v>
      </c>
      <c r="H16" s="25" t="s">
        <v>76</v>
      </c>
      <c r="I16" s="26" t="s">
        <v>77</v>
      </c>
      <c r="J16" s="25" t="s">
        <v>407</v>
      </c>
      <c r="K16" s="25" t="s">
        <v>83</v>
      </c>
      <c r="L16" s="25" t="str">
        <f t="shared" si="1"/>
        <v>Team: CAP-115  -  Project: Customer Profile Power Calculator</v>
      </c>
    </row>
    <row r="17" ht="18.75" customHeight="1">
      <c r="A17" s="25">
        <v>3.0</v>
      </c>
      <c r="B17" s="25">
        <v>2.0</v>
      </c>
      <c r="C17" s="25" t="s">
        <v>12</v>
      </c>
      <c r="D17" s="25" t="s">
        <v>13</v>
      </c>
      <c r="E17" s="25">
        <v>116.0</v>
      </c>
      <c r="F17" s="25" t="s">
        <v>408</v>
      </c>
      <c r="G17" s="25" t="s">
        <v>85</v>
      </c>
      <c r="H17" s="25" t="s">
        <v>86</v>
      </c>
      <c r="I17" s="26" t="s">
        <v>17</v>
      </c>
      <c r="J17" s="25" t="s">
        <v>409</v>
      </c>
      <c r="K17" s="25" t="s">
        <v>88</v>
      </c>
      <c r="L17" s="25" t="str">
        <f t="shared" si="1"/>
        <v>Team: CAP-116  -  Project: Mandarin Long Stem Solution</v>
      </c>
    </row>
    <row r="18" ht="18.75" customHeight="1">
      <c r="A18" s="25">
        <v>3.0</v>
      </c>
      <c r="B18" s="25">
        <v>3.0</v>
      </c>
      <c r="C18" s="25" t="s">
        <v>12</v>
      </c>
      <c r="D18" s="25" t="s">
        <v>13</v>
      </c>
      <c r="E18" s="25">
        <v>117.0</v>
      </c>
      <c r="F18" s="25" t="s">
        <v>410</v>
      </c>
      <c r="G18" s="25" t="s">
        <v>85</v>
      </c>
      <c r="H18" s="25" t="s">
        <v>86</v>
      </c>
      <c r="I18" s="26" t="s">
        <v>17</v>
      </c>
      <c r="J18" s="25" t="s">
        <v>411</v>
      </c>
      <c r="K18" s="25" t="s">
        <v>91</v>
      </c>
      <c r="L18" s="25" t="str">
        <f t="shared" si="1"/>
        <v>Team: CAP-117  -  Project: Mandarin Long Stem Solution</v>
      </c>
    </row>
    <row r="19" ht="18.75" customHeight="1">
      <c r="A19" s="25">
        <v>3.0</v>
      </c>
      <c r="B19" s="25">
        <v>4.0</v>
      </c>
      <c r="C19" s="25" t="s">
        <v>12</v>
      </c>
      <c r="D19" s="25" t="s">
        <v>13</v>
      </c>
      <c r="E19" s="25">
        <v>118.0</v>
      </c>
      <c r="F19" s="25" t="s">
        <v>412</v>
      </c>
      <c r="G19" s="25" t="s">
        <v>93</v>
      </c>
      <c r="H19" s="25" t="s">
        <v>94</v>
      </c>
      <c r="I19" s="26" t="s">
        <v>59</v>
      </c>
      <c r="J19" s="25" t="s">
        <v>413</v>
      </c>
      <c r="K19" s="25" t="s">
        <v>96</v>
      </c>
      <c r="L19" s="25" t="str">
        <f t="shared" si="1"/>
        <v>Team: CAP-118  -  Project: Solar powered, portable sensor that would detect when flood water reached a point and send a cell signal.</v>
      </c>
    </row>
    <row r="20" ht="18.75" customHeight="1">
      <c r="A20" s="25">
        <v>3.0</v>
      </c>
      <c r="B20" s="25">
        <v>5.0</v>
      </c>
      <c r="C20" s="25" t="s">
        <v>12</v>
      </c>
      <c r="D20" s="25" t="s">
        <v>13</v>
      </c>
      <c r="E20" s="25">
        <v>119.0</v>
      </c>
      <c r="F20" s="25" t="s">
        <v>414</v>
      </c>
      <c r="G20" s="25" t="s">
        <v>98</v>
      </c>
      <c r="H20" s="25" t="s">
        <v>99</v>
      </c>
      <c r="I20" s="26" t="s">
        <v>100</v>
      </c>
      <c r="J20" s="25" t="s">
        <v>415</v>
      </c>
      <c r="K20" s="25" t="s">
        <v>102</v>
      </c>
      <c r="L20" s="25" t="str">
        <f t="shared" si="1"/>
        <v>Team: CAP-119  -  Project: Small to Mid Scale Processing Equipment for Fresh Jujube Fruits</v>
      </c>
    </row>
    <row r="21" ht="18.75" customHeight="1">
      <c r="A21" s="25">
        <v>3.0</v>
      </c>
      <c r="B21" s="25">
        <v>6.0</v>
      </c>
      <c r="C21" s="25" t="s">
        <v>12</v>
      </c>
      <c r="D21" s="25" t="s">
        <v>13</v>
      </c>
      <c r="E21" s="25">
        <v>120.0</v>
      </c>
      <c r="F21" s="25" t="s">
        <v>416</v>
      </c>
      <c r="G21" s="25" t="s">
        <v>104</v>
      </c>
      <c r="H21" s="25" t="s">
        <v>71</v>
      </c>
      <c r="I21" s="26" t="s">
        <v>17</v>
      </c>
      <c r="J21" s="25" t="s">
        <v>417</v>
      </c>
      <c r="K21" s="25" t="s">
        <v>106</v>
      </c>
      <c r="L21" s="25" t="str">
        <f t="shared" si="1"/>
        <v>Team: CAP-120  -  Project: Semi-automated Foil Seal sorting, and measuring.</v>
      </c>
    </row>
    <row r="22" ht="18.75" customHeight="1">
      <c r="A22" s="25">
        <v>3.0</v>
      </c>
      <c r="B22" s="25">
        <v>7.0</v>
      </c>
      <c r="C22" s="25" t="s">
        <v>12</v>
      </c>
      <c r="D22" s="25" t="s">
        <v>13</v>
      </c>
      <c r="E22" s="25">
        <v>121.0</v>
      </c>
      <c r="F22" s="25" t="s">
        <v>418</v>
      </c>
      <c r="G22" s="25" t="s">
        <v>108</v>
      </c>
      <c r="H22" s="25" t="s">
        <v>109</v>
      </c>
      <c r="I22" s="26" t="s">
        <v>100</v>
      </c>
      <c r="J22" s="25" t="s">
        <v>419</v>
      </c>
      <c r="K22" s="25" t="s">
        <v>420</v>
      </c>
      <c r="L22" s="25" t="str">
        <f t="shared" si="1"/>
        <v>Team: CAP-121  -  Project: Agricultural Implement for Planting Cover Crops under Vines or Trees</v>
      </c>
    </row>
    <row r="23" ht="18.75" customHeight="1">
      <c r="A23" s="25" t="s">
        <v>112</v>
      </c>
      <c r="B23" s="25"/>
      <c r="C23" s="25" t="s">
        <v>113</v>
      </c>
      <c r="D23" s="25" t="s">
        <v>13</v>
      </c>
      <c r="E23" s="25">
        <v>201.0</v>
      </c>
      <c r="F23" s="25" t="s">
        <v>114</v>
      </c>
      <c r="G23" s="25" t="s">
        <v>115</v>
      </c>
      <c r="H23" s="25" t="s">
        <v>116</v>
      </c>
      <c r="I23" s="26" t="s">
        <v>100</v>
      </c>
      <c r="J23" s="25" t="s">
        <v>117</v>
      </c>
      <c r="K23" s="25" t="s">
        <v>118</v>
      </c>
      <c r="L23" s="25" t="str">
        <f t="shared" si="1"/>
        <v>Team: CAP-201  -  Project: Smart Beetle Trap</v>
      </c>
    </row>
    <row r="24" ht="18.75" customHeight="1">
      <c r="A24" s="25" t="s">
        <v>112</v>
      </c>
      <c r="B24" s="25"/>
      <c r="C24" s="25" t="s">
        <v>113</v>
      </c>
      <c r="D24" s="25" t="s">
        <v>13</v>
      </c>
      <c r="E24" s="25">
        <v>202.0</v>
      </c>
      <c r="F24" s="25" t="s">
        <v>119</v>
      </c>
      <c r="G24" s="25" t="s">
        <v>120</v>
      </c>
      <c r="H24" s="25" t="s">
        <v>121</v>
      </c>
      <c r="I24" s="26" t="s">
        <v>77</v>
      </c>
      <c r="J24" s="25" t="s">
        <v>122</v>
      </c>
      <c r="K24" s="25" t="s">
        <v>123</v>
      </c>
      <c r="L24" s="25" t="str">
        <f t="shared" si="1"/>
        <v>Team: CAP-202  -  Project: Automated Seam Weld Sander</v>
      </c>
    </row>
    <row r="25" ht="18.75" customHeight="1">
      <c r="A25" s="25" t="s">
        <v>112</v>
      </c>
      <c r="B25" s="25"/>
      <c r="C25" s="25" t="s">
        <v>113</v>
      </c>
      <c r="D25" s="25" t="s">
        <v>13</v>
      </c>
      <c r="E25" s="25">
        <v>203.0</v>
      </c>
      <c r="F25" s="25" t="s">
        <v>124</v>
      </c>
      <c r="G25" s="25" t="s">
        <v>125</v>
      </c>
      <c r="H25" s="25" t="s">
        <v>126</v>
      </c>
      <c r="I25" s="26" t="s">
        <v>17</v>
      </c>
      <c r="J25" s="25" t="s">
        <v>127</v>
      </c>
      <c r="K25" s="25" t="s">
        <v>128</v>
      </c>
      <c r="L25" s="25" t="str">
        <f t="shared" si="1"/>
        <v>Team: CAP-203  -  Project: Continuous sterilization via ultra high intensity UV pulse light</v>
      </c>
    </row>
    <row r="26" ht="18.75" customHeight="1">
      <c r="A26" s="25" t="s">
        <v>112</v>
      </c>
      <c r="B26" s="25"/>
      <c r="C26" s="25" t="s">
        <v>113</v>
      </c>
      <c r="D26" s="25" t="s">
        <v>13</v>
      </c>
      <c r="E26" s="25">
        <v>204.0</v>
      </c>
      <c r="F26" s="25" t="s">
        <v>129</v>
      </c>
      <c r="G26" s="25" t="s">
        <v>130</v>
      </c>
      <c r="H26" s="25" t="s">
        <v>131</v>
      </c>
      <c r="I26" s="26" t="s">
        <v>132</v>
      </c>
      <c r="J26" s="25" t="s">
        <v>133</v>
      </c>
      <c r="K26" s="25" t="s">
        <v>134</v>
      </c>
      <c r="L26" s="25" t="str">
        <f t="shared" si="1"/>
        <v>Team: CAP-204  -  Project: The Perfect Cutter Drum</v>
      </c>
    </row>
    <row r="27" ht="18.75" customHeight="1">
      <c r="A27" s="25" t="s">
        <v>112</v>
      </c>
      <c r="B27" s="25"/>
      <c r="C27" s="25" t="s">
        <v>113</v>
      </c>
      <c r="D27" s="25" t="s">
        <v>13</v>
      </c>
      <c r="E27" s="25">
        <v>205.0</v>
      </c>
      <c r="F27" s="25" t="s">
        <v>135</v>
      </c>
      <c r="G27" s="25" t="s">
        <v>136</v>
      </c>
      <c r="H27" s="25" t="s">
        <v>137</v>
      </c>
      <c r="I27" s="26" t="s">
        <v>100</v>
      </c>
      <c r="J27" s="25" t="s">
        <v>138</v>
      </c>
      <c r="K27" s="25" t="s">
        <v>139</v>
      </c>
      <c r="L27" s="25" t="str">
        <f t="shared" si="1"/>
        <v>Team: CAP-205  -  Project: Horizontally Extractable Aeration System for Almond Drying</v>
      </c>
    </row>
    <row r="28" ht="18.75" customHeight="1">
      <c r="A28" s="25" t="s">
        <v>112</v>
      </c>
      <c r="B28" s="25"/>
      <c r="C28" s="25" t="s">
        <v>113</v>
      </c>
      <c r="D28" s="25" t="s">
        <v>13</v>
      </c>
      <c r="E28" s="25">
        <v>206.0</v>
      </c>
      <c r="F28" s="25" t="s">
        <v>140</v>
      </c>
      <c r="G28" s="25" t="s">
        <v>141</v>
      </c>
      <c r="H28" s="25" t="s">
        <v>49</v>
      </c>
      <c r="I28" s="26" t="s">
        <v>28</v>
      </c>
      <c r="J28" s="25" t="s">
        <v>142</v>
      </c>
      <c r="K28" s="25" t="s">
        <v>143</v>
      </c>
      <c r="L28" s="25" t="str">
        <f t="shared" si="1"/>
        <v>Team: CAP-206  -  Project: Expandable Screw</v>
      </c>
    </row>
    <row r="29" ht="18.75" customHeight="1">
      <c r="A29" s="25" t="s">
        <v>112</v>
      </c>
      <c r="B29" s="25"/>
      <c r="C29" s="25" t="s">
        <v>113</v>
      </c>
      <c r="D29" s="25" t="s">
        <v>13</v>
      </c>
      <c r="E29" s="25">
        <v>207.0</v>
      </c>
      <c r="F29" s="25" t="s">
        <v>144</v>
      </c>
      <c r="G29" s="25" t="s">
        <v>145</v>
      </c>
      <c r="H29" s="25" t="s">
        <v>146</v>
      </c>
      <c r="I29" s="26" t="s">
        <v>17</v>
      </c>
      <c r="J29" s="25" t="s">
        <v>147</v>
      </c>
      <c r="K29" s="25" t="s">
        <v>148</v>
      </c>
      <c r="L29" s="25" t="str">
        <f t="shared" si="1"/>
        <v>Team: CAP-207  -  Project: Paste Bin Washing</v>
      </c>
    </row>
    <row r="30" ht="18.75" customHeight="1">
      <c r="A30" s="25" t="s">
        <v>112</v>
      </c>
      <c r="B30" s="25"/>
      <c r="C30" s="25" t="s">
        <v>113</v>
      </c>
      <c r="D30" s="25" t="s">
        <v>13</v>
      </c>
      <c r="E30" s="25">
        <v>208.0</v>
      </c>
      <c r="F30" s="25" t="s">
        <v>149</v>
      </c>
      <c r="G30" s="25" t="s">
        <v>150</v>
      </c>
      <c r="H30" s="25" t="s">
        <v>151</v>
      </c>
      <c r="I30" s="26" t="s">
        <v>17</v>
      </c>
      <c r="J30" s="25" t="s">
        <v>152</v>
      </c>
      <c r="K30" s="25" t="s">
        <v>153</v>
      </c>
      <c r="L30" s="25" t="str">
        <f t="shared" si="1"/>
        <v>Team: CAP-208  -  Project: Tower Platform Height Process Optimization</v>
      </c>
    </row>
    <row r="31" ht="18.75" customHeight="1">
      <c r="A31" s="25" t="s">
        <v>112</v>
      </c>
      <c r="B31" s="25"/>
      <c r="C31" s="25" t="s">
        <v>113</v>
      </c>
      <c r="D31" s="25" t="s">
        <v>13</v>
      </c>
      <c r="E31" s="25">
        <v>209.0</v>
      </c>
      <c r="F31" s="25" t="s">
        <v>154</v>
      </c>
      <c r="G31" s="25" t="s">
        <v>155</v>
      </c>
      <c r="H31" s="25" t="s">
        <v>156</v>
      </c>
      <c r="I31" s="26" t="s">
        <v>17</v>
      </c>
      <c r="J31" s="25" t="s">
        <v>157</v>
      </c>
      <c r="K31" s="25" t="s">
        <v>158</v>
      </c>
      <c r="L31" s="25" t="str">
        <f t="shared" si="1"/>
        <v>Team: CAP-209  -  Project: Tank level control system</v>
      </c>
    </row>
    <row r="32" ht="18.75" customHeight="1">
      <c r="A32" s="25" t="s">
        <v>112</v>
      </c>
      <c r="B32" s="25"/>
      <c r="C32" s="25" t="s">
        <v>113</v>
      </c>
      <c r="D32" s="25" t="s">
        <v>13</v>
      </c>
      <c r="E32" s="25">
        <v>210.0</v>
      </c>
      <c r="F32" s="25" t="s">
        <v>159</v>
      </c>
      <c r="G32" s="25" t="s">
        <v>160</v>
      </c>
      <c r="H32" s="25" t="s">
        <v>161</v>
      </c>
      <c r="I32" s="26" t="s">
        <v>77</v>
      </c>
      <c r="J32" s="25" t="s">
        <v>162</v>
      </c>
      <c r="K32" s="25" t="s">
        <v>163</v>
      </c>
      <c r="L32" s="25" t="str">
        <f t="shared" si="1"/>
        <v>Team: CAP-210  -  Project: Tunnel Wind Power</v>
      </c>
    </row>
    <row r="33" ht="18.75" customHeight="1">
      <c r="A33" s="25" t="s">
        <v>112</v>
      </c>
      <c r="B33" s="25"/>
      <c r="C33" s="25" t="s">
        <v>113</v>
      </c>
      <c r="D33" s="25" t="s">
        <v>13</v>
      </c>
      <c r="E33" s="25">
        <v>211.0</v>
      </c>
      <c r="F33" s="25" t="s">
        <v>164</v>
      </c>
      <c r="G33" s="25" t="s">
        <v>165</v>
      </c>
      <c r="H33" s="25" t="s">
        <v>43</v>
      </c>
      <c r="I33" s="26" t="s">
        <v>166</v>
      </c>
      <c r="J33" s="25" t="s">
        <v>167</v>
      </c>
      <c r="K33" s="25" t="s">
        <v>168</v>
      </c>
      <c r="L33" s="25" t="str">
        <f t="shared" si="1"/>
        <v>Team: CAP-211  -  Project: Battery Workforce Challenge - Phase 2</v>
      </c>
    </row>
    <row r="34" ht="18.75" customHeight="1">
      <c r="A34" s="25">
        <v>4.0</v>
      </c>
      <c r="B34" s="25">
        <v>1.0</v>
      </c>
      <c r="C34" s="25" t="s">
        <v>12</v>
      </c>
      <c r="D34" s="25" t="s">
        <v>312</v>
      </c>
      <c r="E34" s="25">
        <v>401.0</v>
      </c>
      <c r="F34" s="25" t="s">
        <v>313</v>
      </c>
      <c r="G34" s="25" t="s">
        <v>314</v>
      </c>
      <c r="H34" s="25" t="s">
        <v>43</v>
      </c>
      <c r="I34" s="25" t="s">
        <v>315</v>
      </c>
      <c r="J34" s="25" t="s">
        <v>316</v>
      </c>
      <c r="K34" s="25" t="s">
        <v>317</v>
      </c>
      <c r="L34" s="25" t="str">
        <f t="shared" si="1"/>
        <v>Team: CEE-101  -  Project: Bioretention Cells</v>
      </c>
    </row>
    <row r="35" ht="18.75" customHeight="1">
      <c r="A35" s="25">
        <v>4.0</v>
      </c>
      <c r="B35" s="25">
        <v>2.0</v>
      </c>
      <c r="C35" s="25" t="s">
        <v>12</v>
      </c>
      <c r="D35" s="25" t="s">
        <v>312</v>
      </c>
      <c r="E35" s="25">
        <v>402.0</v>
      </c>
      <c r="F35" s="25" t="s">
        <v>318</v>
      </c>
      <c r="G35" s="25" t="s">
        <v>319</v>
      </c>
      <c r="H35" s="25" t="s">
        <v>320</v>
      </c>
      <c r="I35" s="25" t="s">
        <v>321</v>
      </c>
      <c r="J35" s="25" t="s">
        <v>322</v>
      </c>
      <c r="K35" s="25" t="s">
        <v>323</v>
      </c>
      <c r="L35" s="25" t="str">
        <f t="shared" si="1"/>
        <v>Team: CEE-102  -  Project: Geomatic and Geospatial Technologies</v>
      </c>
    </row>
    <row r="36" ht="18.75" customHeight="1">
      <c r="A36" s="25">
        <v>4.0</v>
      </c>
      <c r="B36" s="25">
        <v>3.0</v>
      </c>
      <c r="C36" s="25" t="s">
        <v>12</v>
      </c>
      <c r="D36" s="25" t="s">
        <v>312</v>
      </c>
      <c r="E36" s="25">
        <v>403.0</v>
      </c>
      <c r="F36" s="25" t="s">
        <v>324</v>
      </c>
      <c r="G36" s="25" t="s">
        <v>325</v>
      </c>
      <c r="H36" s="25" t="s">
        <v>326</v>
      </c>
      <c r="I36" s="25" t="s">
        <v>327</v>
      </c>
      <c r="J36" s="25" t="s">
        <v>328</v>
      </c>
      <c r="K36" s="25" t="s">
        <v>329</v>
      </c>
      <c r="L36" s="25" t="str">
        <f t="shared" si="1"/>
        <v>Team: CEE-103  -  Project: Experimental Smart Farm(ESF)</v>
      </c>
    </row>
    <row r="37" ht="18.75" customHeight="1">
      <c r="A37" s="25">
        <v>4.0</v>
      </c>
      <c r="B37" s="25">
        <v>4.0</v>
      </c>
      <c r="C37" s="25" t="s">
        <v>12</v>
      </c>
      <c r="D37" s="25" t="s">
        <v>312</v>
      </c>
      <c r="E37" s="25">
        <v>404.0</v>
      </c>
      <c r="F37" s="25" t="s">
        <v>330</v>
      </c>
      <c r="G37" s="25" t="s">
        <v>331</v>
      </c>
      <c r="H37" s="25" t="s">
        <v>332</v>
      </c>
      <c r="I37" s="25" t="s">
        <v>333</v>
      </c>
      <c r="J37" s="25" t="s">
        <v>334</v>
      </c>
      <c r="K37" s="25" t="s">
        <v>335</v>
      </c>
      <c r="L37" s="25" t="str">
        <f t="shared" si="1"/>
        <v>Team: CEE-104  -  Project: Shade Structure</v>
      </c>
    </row>
    <row r="38" ht="18.75" customHeight="1">
      <c r="A38" s="25">
        <v>4.0</v>
      </c>
      <c r="B38" s="25">
        <v>5.0</v>
      </c>
      <c r="C38" s="25" t="s">
        <v>12</v>
      </c>
      <c r="D38" s="25" t="s">
        <v>312</v>
      </c>
      <c r="E38" s="25">
        <v>405.0</v>
      </c>
      <c r="F38" s="25" t="s">
        <v>336</v>
      </c>
      <c r="G38" s="25" t="s">
        <v>337</v>
      </c>
      <c r="H38" s="25" t="s">
        <v>43</v>
      </c>
      <c r="I38" s="25" t="s">
        <v>338</v>
      </c>
      <c r="J38" s="25" t="s">
        <v>339</v>
      </c>
      <c r="K38" s="25" t="s">
        <v>340</v>
      </c>
      <c r="L38" s="25" t="str">
        <f t="shared" si="1"/>
        <v>Team: CEE-105  -  Project: Geotech</v>
      </c>
    </row>
    <row r="39" ht="18.75" customHeight="1">
      <c r="A39" s="25">
        <v>4.0</v>
      </c>
      <c r="B39" s="25">
        <v>6.0</v>
      </c>
      <c r="C39" s="25" t="s">
        <v>12</v>
      </c>
      <c r="D39" s="25" t="s">
        <v>312</v>
      </c>
      <c r="E39" s="25">
        <v>406.0</v>
      </c>
      <c r="F39" s="25" t="s">
        <v>341</v>
      </c>
      <c r="G39" s="25" t="s">
        <v>337</v>
      </c>
      <c r="H39" s="25" t="s">
        <v>43</v>
      </c>
      <c r="I39" s="25" t="s">
        <v>338</v>
      </c>
      <c r="J39" s="25" t="s">
        <v>339</v>
      </c>
      <c r="K39" s="25" t="s">
        <v>342</v>
      </c>
      <c r="L39" s="25" t="str">
        <f t="shared" si="1"/>
        <v>Team: CEE-106  -  Project: Geotech</v>
      </c>
    </row>
    <row r="40" ht="18.75" customHeight="1">
      <c r="A40" s="25">
        <v>4.0</v>
      </c>
      <c r="B40" s="25">
        <v>7.0</v>
      </c>
      <c r="C40" s="25" t="s">
        <v>12</v>
      </c>
      <c r="D40" s="25" t="s">
        <v>312</v>
      </c>
      <c r="E40" s="25">
        <v>407.0</v>
      </c>
      <c r="F40" s="25" t="s">
        <v>343</v>
      </c>
      <c r="G40" s="25" t="s">
        <v>344</v>
      </c>
      <c r="H40" s="25" t="s">
        <v>43</v>
      </c>
      <c r="I40" s="25" t="s">
        <v>345</v>
      </c>
      <c r="J40" s="25" t="s">
        <v>346</v>
      </c>
      <c r="K40" s="25" t="s">
        <v>347</v>
      </c>
      <c r="L40" s="25" t="str">
        <f t="shared" si="1"/>
        <v>Team: CEE-107  -  Project: Rainwater Harvesting</v>
      </c>
    </row>
    <row r="41" ht="18.75" customHeight="1">
      <c r="A41" s="25">
        <v>8.0</v>
      </c>
      <c r="B41" s="25">
        <v>4.0</v>
      </c>
      <c r="C41" s="25" t="s">
        <v>12</v>
      </c>
      <c r="D41" s="25" t="s">
        <v>169</v>
      </c>
      <c r="E41" s="25">
        <v>301.0</v>
      </c>
      <c r="F41" s="25" t="s">
        <v>421</v>
      </c>
      <c r="G41" s="25" t="s">
        <v>171</v>
      </c>
      <c r="H41" s="25" t="s">
        <v>172</v>
      </c>
      <c r="I41" s="26" t="s">
        <v>28</v>
      </c>
      <c r="J41" s="25" t="s">
        <v>422</v>
      </c>
      <c r="K41" s="25" t="s">
        <v>174</v>
      </c>
      <c r="L41" s="25" t="str">
        <f t="shared" si="1"/>
        <v>Team: CSE-301  -  Project: Machine Learning framework for Traumatic Brain Injury genetic data</v>
      </c>
    </row>
    <row r="42" ht="18.75" customHeight="1">
      <c r="A42" s="25">
        <v>5.0</v>
      </c>
      <c r="B42" s="25">
        <v>5.0</v>
      </c>
      <c r="C42" s="25" t="s">
        <v>12</v>
      </c>
      <c r="D42" s="25" t="s">
        <v>169</v>
      </c>
      <c r="E42" s="25">
        <v>302.0</v>
      </c>
      <c r="F42" s="25" t="s">
        <v>423</v>
      </c>
      <c r="G42" s="25" t="s">
        <v>171</v>
      </c>
      <c r="H42" s="25" t="s">
        <v>172</v>
      </c>
      <c r="I42" s="26" t="s">
        <v>28</v>
      </c>
      <c r="J42" s="25" t="s">
        <v>424</v>
      </c>
      <c r="K42" s="25" t="s">
        <v>177</v>
      </c>
      <c r="L42" s="25" t="str">
        <f t="shared" si="1"/>
        <v>Team: CSE-302  -  Project: Machine Learning framework for Traumatic Brain Injury genetic data</v>
      </c>
    </row>
    <row r="43" ht="18.75" customHeight="1">
      <c r="A43" s="25">
        <v>5.0</v>
      </c>
      <c r="B43" s="25">
        <v>2.0</v>
      </c>
      <c r="C43" s="25" t="s">
        <v>12</v>
      </c>
      <c r="D43" s="25" t="s">
        <v>169</v>
      </c>
      <c r="E43" s="25">
        <v>303.0</v>
      </c>
      <c r="F43" s="25" t="s">
        <v>425</v>
      </c>
      <c r="G43" s="25" t="s">
        <v>179</v>
      </c>
      <c r="H43" s="25" t="s">
        <v>172</v>
      </c>
      <c r="I43" s="26" t="s">
        <v>28</v>
      </c>
      <c r="J43" s="25" t="s">
        <v>426</v>
      </c>
      <c r="K43" s="25" t="s">
        <v>181</v>
      </c>
      <c r="L43" s="25" t="str">
        <f t="shared" si="1"/>
        <v>Team: CSE-303  -  Project: LLM model for health data - Phase 2</v>
      </c>
    </row>
    <row r="44" ht="18.75" customHeight="1">
      <c r="A44" s="25">
        <v>6.0</v>
      </c>
      <c r="B44" s="25">
        <v>2.0</v>
      </c>
      <c r="C44" s="25" t="s">
        <v>12</v>
      </c>
      <c r="D44" s="25" t="s">
        <v>169</v>
      </c>
      <c r="E44" s="25">
        <v>304.0</v>
      </c>
      <c r="F44" s="25" t="s">
        <v>427</v>
      </c>
      <c r="G44" s="25" t="s">
        <v>179</v>
      </c>
      <c r="H44" s="25" t="s">
        <v>172</v>
      </c>
      <c r="I44" s="26" t="s">
        <v>28</v>
      </c>
      <c r="J44" s="25" t="s">
        <v>428</v>
      </c>
      <c r="K44" s="25" t="s">
        <v>184</v>
      </c>
      <c r="L44" s="25" t="str">
        <f t="shared" si="1"/>
        <v>Team: CSE-304  -  Project: LLM model for health data - Phase 2</v>
      </c>
    </row>
    <row r="45" ht="18.75" customHeight="1">
      <c r="A45" s="25">
        <v>6.0</v>
      </c>
      <c r="B45" s="25">
        <v>4.0</v>
      </c>
      <c r="C45" s="25" t="s">
        <v>12</v>
      </c>
      <c r="D45" s="25" t="s">
        <v>169</v>
      </c>
      <c r="E45" s="25">
        <v>305.0</v>
      </c>
      <c r="F45" s="25" t="s">
        <v>429</v>
      </c>
      <c r="G45" s="25" t="s">
        <v>186</v>
      </c>
      <c r="H45" s="25" t="s">
        <v>187</v>
      </c>
      <c r="I45" s="26" t="s">
        <v>59</v>
      </c>
      <c r="J45" s="25" t="s">
        <v>430</v>
      </c>
      <c r="K45" s="25" t="s">
        <v>189</v>
      </c>
      <c r="L45" s="25" t="str">
        <f t="shared" si="1"/>
        <v>Team: CSE-305  -  Project: Machine learning for cardiac electrophysiology</v>
      </c>
    </row>
    <row r="46" ht="18.75" customHeight="1">
      <c r="A46" s="25">
        <v>6.0</v>
      </c>
      <c r="B46" s="25">
        <v>7.0</v>
      </c>
      <c r="C46" s="25" t="s">
        <v>12</v>
      </c>
      <c r="D46" s="25" t="s">
        <v>169</v>
      </c>
      <c r="E46" s="25">
        <v>306.0</v>
      </c>
      <c r="F46" s="25" t="s">
        <v>431</v>
      </c>
      <c r="G46" s="25" t="s">
        <v>191</v>
      </c>
      <c r="H46" s="25" t="s">
        <v>192</v>
      </c>
      <c r="I46" s="26" t="s">
        <v>193</v>
      </c>
      <c r="J46" s="25" t="s">
        <v>432</v>
      </c>
      <c r="K46" s="25" t="s">
        <v>195</v>
      </c>
      <c r="L46" s="25" t="str">
        <f t="shared" si="1"/>
        <v>Team: CSE-306  -  Project: Rapid Prototyping Services App</v>
      </c>
    </row>
    <row r="47" ht="18.75" customHeight="1">
      <c r="A47" s="25">
        <v>7.0</v>
      </c>
      <c r="B47" s="25">
        <v>7.0</v>
      </c>
      <c r="C47" s="25" t="s">
        <v>12</v>
      </c>
      <c r="D47" s="25" t="s">
        <v>169</v>
      </c>
      <c r="E47" s="25">
        <v>307.0</v>
      </c>
      <c r="F47" s="25" t="s">
        <v>433</v>
      </c>
      <c r="G47" s="25" t="s">
        <v>191</v>
      </c>
      <c r="H47" s="25" t="s">
        <v>192</v>
      </c>
      <c r="I47" s="26" t="s">
        <v>193</v>
      </c>
      <c r="J47" s="25" t="s">
        <v>434</v>
      </c>
      <c r="K47" s="25" t="s">
        <v>435</v>
      </c>
      <c r="L47" s="25" t="str">
        <f t="shared" si="1"/>
        <v>Team: CSE-307  -  Project: Rapid Prototyping Services App</v>
      </c>
    </row>
    <row r="48" ht="18.75" customHeight="1">
      <c r="A48" s="25">
        <v>5.0</v>
      </c>
      <c r="B48" s="25">
        <v>4.0</v>
      </c>
      <c r="C48" s="25" t="s">
        <v>12</v>
      </c>
      <c r="D48" s="25" t="s">
        <v>169</v>
      </c>
      <c r="E48" s="25">
        <v>308.0</v>
      </c>
      <c r="F48" s="25" t="s">
        <v>436</v>
      </c>
      <c r="G48" s="25" t="s">
        <v>200</v>
      </c>
      <c r="H48" s="25" t="s">
        <v>201</v>
      </c>
      <c r="I48" s="26" t="s">
        <v>50</v>
      </c>
      <c r="J48" s="25" t="s">
        <v>437</v>
      </c>
      <c r="K48" s="25" t="s">
        <v>438</v>
      </c>
      <c r="L48" s="25" t="str">
        <f t="shared" si="1"/>
        <v>Team: CSE-308  -  Project: Cognitive Tests Using Modern Mobile Game Technology</v>
      </c>
    </row>
    <row r="49" ht="18.75" customHeight="1">
      <c r="A49" s="25">
        <v>7.0</v>
      </c>
      <c r="B49" s="25">
        <v>8.0</v>
      </c>
      <c r="C49" s="25" t="s">
        <v>12</v>
      </c>
      <c r="D49" s="25" t="s">
        <v>169</v>
      </c>
      <c r="E49" s="25">
        <v>309.0</v>
      </c>
      <c r="F49" s="25" t="s">
        <v>439</v>
      </c>
      <c r="G49" s="25" t="s">
        <v>200</v>
      </c>
      <c r="H49" s="25" t="s">
        <v>201</v>
      </c>
      <c r="I49" s="26" t="s">
        <v>50</v>
      </c>
      <c r="J49" s="25" t="s">
        <v>440</v>
      </c>
      <c r="K49" s="25" t="s">
        <v>206</v>
      </c>
      <c r="L49" s="25" t="str">
        <f t="shared" si="1"/>
        <v>Team: CSE-309  -  Project: Cognitive Tests Using Modern Mobile Game Technology</v>
      </c>
    </row>
    <row r="50" ht="18.75" customHeight="1">
      <c r="A50" s="25">
        <v>5.0</v>
      </c>
      <c r="B50" s="25">
        <v>3.0</v>
      </c>
      <c r="C50" s="25" t="s">
        <v>12</v>
      </c>
      <c r="D50" s="25" t="s">
        <v>169</v>
      </c>
      <c r="E50" s="25">
        <v>310.0</v>
      </c>
      <c r="F50" s="25" t="s">
        <v>441</v>
      </c>
      <c r="G50" s="25" t="s">
        <v>208</v>
      </c>
      <c r="H50" s="25" t="s">
        <v>442</v>
      </c>
      <c r="I50" s="26" t="s">
        <v>210</v>
      </c>
      <c r="J50" s="25" t="s">
        <v>443</v>
      </c>
      <c r="K50" s="25" t="s">
        <v>212</v>
      </c>
      <c r="L50" s="25" t="str">
        <f t="shared" si="1"/>
        <v>Team: CSE-310  -  Project: Advanced Image Analysis Platform based on Segment Anything Model (SAM)</v>
      </c>
    </row>
    <row r="51" ht="18.75" customHeight="1">
      <c r="A51" s="25">
        <v>8.0</v>
      </c>
      <c r="B51" s="25">
        <v>1.0</v>
      </c>
      <c r="C51" s="25" t="s">
        <v>12</v>
      </c>
      <c r="D51" s="25" t="s">
        <v>169</v>
      </c>
      <c r="E51" s="25">
        <v>311.0</v>
      </c>
      <c r="F51" s="25" t="s">
        <v>444</v>
      </c>
      <c r="G51" s="25" t="s">
        <v>208</v>
      </c>
      <c r="H51" s="25" t="s">
        <v>442</v>
      </c>
      <c r="I51" s="26" t="s">
        <v>210</v>
      </c>
      <c r="J51" s="25" t="s">
        <v>445</v>
      </c>
      <c r="K51" s="25" t="s">
        <v>215</v>
      </c>
      <c r="L51" s="25" t="str">
        <f t="shared" si="1"/>
        <v>Team: CSE-311  -  Project: Advanced Image Analysis Platform based on Segment Anything Model (SAM)</v>
      </c>
    </row>
    <row r="52" ht="18.75" customHeight="1">
      <c r="A52" s="25">
        <v>6.0</v>
      </c>
      <c r="B52" s="25">
        <v>3.0</v>
      </c>
      <c r="C52" s="25" t="s">
        <v>12</v>
      </c>
      <c r="D52" s="25" t="s">
        <v>169</v>
      </c>
      <c r="E52" s="25">
        <v>312.0</v>
      </c>
      <c r="F52" s="25" t="s">
        <v>446</v>
      </c>
      <c r="G52" s="25" t="s">
        <v>217</v>
      </c>
      <c r="H52" s="25" t="s">
        <v>126</v>
      </c>
      <c r="I52" s="26" t="s">
        <v>17</v>
      </c>
      <c r="J52" s="25" t="s">
        <v>447</v>
      </c>
      <c r="K52" s="25" t="s">
        <v>219</v>
      </c>
      <c r="L52" s="25" t="str">
        <f t="shared" si="1"/>
        <v>Team: CSE-312  -  Project: Average size of tomatoes in trailer</v>
      </c>
    </row>
    <row r="53" ht="18.75" customHeight="1">
      <c r="A53" s="25">
        <v>5.0</v>
      </c>
      <c r="B53" s="25">
        <v>6.0</v>
      </c>
      <c r="C53" s="25" t="s">
        <v>12</v>
      </c>
      <c r="D53" s="25" t="s">
        <v>169</v>
      </c>
      <c r="E53" s="25">
        <v>313.0</v>
      </c>
      <c r="F53" s="25" t="s">
        <v>448</v>
      </c>
      <c r="G53" s="25" t="s">
        <v>217</v>
      </c>
      <c r="H53" s="25" t="s">
        <v>126</v>
      </c>
      <c r="I53" s="26" t="s">
        <v>17</v>
      </c>
      <c r="J53" s="25" t="s">
        <v>449</v>
      </c>
      <c r="K53" s="25" t="s">
        <v>222</v>
      </c>
      <c r="L53" s="25" t="str">
        <f t="shared" si="1"/>
        <v>Team: CSE-313  -  Project: Average size of tomatoes in trailer</v>
      </c>
    </row>
    <row r="54" ht="18.75" customHeight="1">
      <c r="A54" s="25">
        <v>6.0</v>
      </c>
      <c r="B54" s="25">
        <v>6.0</v>
      </c>
      <c r="C54" s="25" t="s">
        <v>12</v>
      </c>
      <c r="D54" s="25" t="s">
        <v>169</v>
      </c>
      <c r="E54" s="25">
        <v>314.0</v>
      </c>
      <c r="F54" s="25" t="s">
        <v>450</v>
      </c>
      <c r="G54" s="25" t="s">
        <v>224</v>
      </c>
      <c r="H54" s="25" t="s">
        <v>225</v>
      </c>
      <c r="I54" s="26" t="s">
        <v>17</v>
      </c>
      <c r="J54" s="25" t="s">
        <v>451</v>
      </c>
      <c r="K54" s="25" t="s">
        <v>227</v>
      </c>
      <c r="L54" s="25" t="str">
        <f t="shared" si="1"/>
        <v>Team: CSE-314  -  Project: SpoilSafe Monitor</v>
      </c>
    </row>
    <row r="55" ht="18.75" customHeight="1">
      <c r="A55" s="25">
        <v>8.0</v>
      </c>
      <c r="B55" s="25">
        <v>8.0</v>
      </c>
      <c r="C55" s="25" t="s">
        <v>12</v>
      </c>
      <c r="D55" s="25" t="s">
        <v>169</v>
      </c>
      <c r="E55" s="25">
        <v>315.0</v>
      </c>
      <c r="F55" s="25" t="s">
        <v>452</v>
      </c>
      <c r="G55" s="25" t="s">
        <v>224</v>
      </c>
      <c r="H55" s="25" t="s">
        <v>225</v>
      </c>
      <c r="I55" s="26" t="s">
        <v>17</v>
      </c>
      <c r="J55" s="25" t="s">
        <v>453</v>
      </c>
      <c r="K55" s="25" t="s">
        <v>454</v>
      </c>
      <c r="L55" s="25" t="str">
        <f t="shared" si="1"/>
        <v>Team: CSE-315  -  Project: SpoilSafe Monitor</v>
      </c>
    </row>
    <row r="56" ht="18.75" customHeight="1">
      <c r="A56" s="25">
        <v>8.0</v>
      </c>
      <c r="B56" s="25">
        <v>3.0</v>
      </c>
      <c r="C56" s="25" t="s">
        <v>12</v>
      </c>
      <c r="D56" s="25" t="s">
        <v>169</v>
      </c>
      <c r="E56" s="25">
        <v>316.0</v>
      </c>
      <c r="F56" s="25" t="s">
        <v>455</v>
      </c>
      <c r="G56" s="25" t="s">
        <v>232</v>
      </c>
      <c r="H56" s="25" t="s">
        <v>233</v>
      </c>
      <c r="I56" s="26" t="s">
        <v>234</v>
      </c>
      <c r="J56" s="25" t="s">
        <v>456</v>
      </c>
      <c r="K56" s="25" t="s">
        <v>236</v>
      </c>
      <c r="L56" s="25" t="str">
        <f t="shared" si="1"/>
        <v>Team: CSE-316  -  Project: Developing an interface for gridded data products</v>
      </c>
    </row>
    <row r="57" ht="18.75" customHeight="1">
      <c r="A57" s="25">
        <v>7.0</v>
      </c>
      <c r="B57" s="25">
        <v>6.0</v>
      </c>
      <c r="C57" s="25" t="s">
        <v>12</v>
      </c>
      <c r="D57" s="25" t="s">
        <v>169</v>
      </c>
      <c r="E57" s="25">
        <v>317.0</v>
      </c>
      <c r="F57" s="25" t="s">
        <v>457</v>
      </c>
      <c r="G57" s="25" t="s">
        <v>238</v>
      </c>
      <c r="H57" s="25" t="s">
        <v>161</v>
      </c>
      <c r="I57" s="26" t="s">
        <v>77</v>
      </c>
      <c r="J57" s="25" t="s">
        <v>458</v>
      </c>
      <c r="K57" s="25" t="s">
        <v>240</v>
      </c>
      <c r="L57" s="25" t="str">
        <f t="shared" si="1"/>
        <v>Team: CSE-317  -  Project: BART Aerial Track Inspection</v>
      </c>
    </row>
    <row r="58" ht="18.75" customHeight="1">
      <c r="A58" s="25">
        <v>7.0</v>
      </c>
      <c r="B58" s="25">
        <v>3.0</v>
      </c>
      <c r="C58" s="25" t="s">
        <v>12</v>
      </c>
      <c r="D58" s="25" t="s">
        <v>169</v>
      </c>
      <c r="E58" s="25">
        <v>318.0</v>
      </c>
      <c r="F58" s="25" t="s">
        <v>459</v>
      </c>
      <c r="G58" s="25" t="s">
        <v>238</v>
      </c>
      <c r="H58" s="25" t="s">
        <v>161</v>
      </c>
      <c r="I58" s="26" t="s">
        <v>77</v>
      </c>
      <c r="J58" s="25" t="s">
        <v>460</v>
      </c>
      <c r="K58" s="25" t="s">
        <v>243</v>
      </c>
      <c r="L58" s="25" t="str">
        <f t="shared" si="1"/>
        <v>Team: CSE-318  -  Project: BART Aerial Track Inspection</v>
      </c>
    </row>
    <row r="59" ht="18.75" customHeight="1">
      <c r="A59" s="25">
        <v>8.0</v>
      </c>
      <c r="B59" s="25">
        <v>2.0</v>
      </c>
      <c r="C59" s="25" t="s">
        <v>12</v>
      </c>
      <c r="D59" s="25" t="s">
        <v>169</v>
      </c>
      <c r="E59" s="25">
        <v>319.0</v>
      </c>
      <c r="F59" s="25" t="s">
        <v>461</v>
      </c>
      <c r="G59" s="25" t="s">
        <v>245</v>
      </c>
      <c r="H59" s="25" t="s">
        <v>156</v>
      </c>
      <c r="I59" s="26" t="s">
        <v>17</v>
      </c>
      <c r="J59" s="25" t="s">
        <v>462</v>
      </c>
      <c r="K59" s="25" t="s">
        <v>247</v>
      </c>
      <c r="L59" s="25" t="str">
        <f t="shared" si="1"/>
        <v>Team: CSE-319  -  Project: Vehicle Mileage and Fuel Logging Application</v>
      </c>
    </row>
    <row r="60" ht="18.75" customHeight="1">
      <c r="A60" s="25">
        <v>5.0</v>
      </c>
      <c r="B60" s="25">
        <v>9.0</v>
      </c>
      <c r="C60" s="25" t="s">
        <v>12</v>
      </c>
      <c r="D60" s="25" t="s">
        <v>169</v>
      </c>
      <c r="E60" s="25">
        <v>320.0</v>
      </c>
      <c r="F60" s="25" t="s">
        <v>463</v>
      </c>
      <c r="G60" s="25" t="s">
        <v>245</v>
      </c>
      <c r="H60" s="25" t="s">
        <v>156</v>
      </c>
      <c r="I60" s="26" t="s">
        <v>17</v>
      </c>
      <c r="J60" s="25" t="s">
        <v>464</v>
      </c>
      <c r="K60" s="25" t="s">
        <v>250</v>
      </c>
      <c r="L60" s="25" t="str">
        <f t="shared" si="1"/>
        <v>Team: CSE-320  -  Project: Vehicle Mileage and Fuel Logging Application</v>
      </c>
    </row>
    <row r="61" ht="18.75" customHeight="1">
      <c r="A61" s="25">
        <v>7.0</v>
      </c>
      <c r="B61" s="25">
        <v>9.0</v>
      </c>
      <c r="C61" s="25" t="s">
        <v>12</v>
      </c>
      <c r="D61" s="25" t="s">
        <v>169</v>
      </c>
      <c r="E61" s="25">
        <v>321.0</v>
      </c>
      <c r="F61" s="25" t="s">
        <v>465</v>
      </c>
      <c r="G61" s="25" t="s">
        <v>252</v>
      </c>
      <c r="H61" s="25" t="s">
        <v>151</v>
      </c>
      <c r="I61" s="26" t="s">
        <v>17</v>
      </c>
      <c r="J61" s="25" t="s">
        <v>466</v>
      </c>
      <c r="K61" s="25" t="s">
        <v>467</v>
      </c>
      <c r="L61" s="25" t="str">
        <f t="shared" si="1"/>
        <v>Team: CSE-321  -  Project: Cheese Block Defect Detection</v>
      </c>
    </row>
    <row r="62" ht="18.75" customHeight="1">
      <c r="A62" s="25">
        <v>7.0</v>
      </c>
      <c r="B62" s="25">
        <v>4.0</v>
      </c>
      <c r="C62" s="25" t="s">
        <v>12</v>
      </c>
      <c r="D62" s="25" t="s">
        <v>169</v>
      </c>
      <c r="E62" s="25">
        <v>322.0</v>
      </c>
      <c r="F62" s="25" t="s">
        <v>468</v>
      </c>
      <c r="G62" s="25" t="s">
        <v>252</v>
      </c>
      <c r="H62" s="25" t="s">
        <v>151</v>
      </c>
      <c r="I62" s="26" t="s">
        <v>17</v>
      </c>
      <c r="J62" s="25" t="s">
        <v>469</v>
      </c>
      <c r="K62" s="25" t="s">
        <v>257</v>
      </c>
      <c r="L62" s="25" t="str">
        <f t="shared" si="1"/>
        <v>Team: CSE-322  -  Project: Cheese Block Defect Detection</v>
      </c>
    </row>
    <row r="63" ht="18.75" customHeight="1">
      <c r="A63" s="25">
        <v>6.0</v>
      </c>
      <c r="B63" s="25">
        <v>1.0</v>
      </c>
      <c r="C63" s="25" t="s">
        <v>12</v>
      </c>
      <c r="D63" s="25" t="s">
        <v>169</v>
      </c>
      <c r="E63" s="25">
        <v>323.0</v>
      </c>
      <c r="F63" s="25" t="s">
        <v>470</v>
      </c>
      <c r="G63" s="25" t="s">
        <v>259</v>
      </c>
      <c r="H63" s="25" t="s">
        <v>260</v>
      </c>
      <c r="I63" s="26" t="s">
        <v>17</v>
      </c>
      <c r="J63" s="25" t="s">
        <v>471</v>
      </c>
      <c r="K63" s="25" t="s">
        <v>472</v>
      </c>
      <c r="L63" s="25" t="str">
        <f t="shared" si="1"/>
        <v>Team: CSE-323  -  Project: Crop Yield Estimation via Robotic Image Capture</v>
      </c>
    </row>
    <row r="64" ht="18.75" customHeight="1">
      <c r="A64" s="25">
        <v>8.0</v>
      </c>
      <c r="B64" s="25">
        <v>5.0</v>
      </c>
      <c r="C64" s="25" t="s">
        <v>12</v>
      </c>
      <c r="D64" s="25" t="s">
        <v>169</v>
      </c>
      <c r="E64" s="25">
        <v>324.0</v>
      </c>
      <c r="F64" s="25" t="s">
        <v>473</v>
      </c>
      <c r="G64" s="25" t="s">
        <v>264</v>
      </c>
      <c r="H64" s="25" t="s">
        <v>126</v>
      </c>
      <c r="I64" s="26" t="s">
        <v>17</v>
      </c>
      <c r="J64" s="25" t="s">
        <v>474</v>
      </c>
      <c r="K64" s="25" t="s">
        <v>475</v>
      </c>
      <c r="L64" s="25" t="str">
        <f t="shared" si="1"/>
        <v>Team: CSE-324  -  Project: Programming a robotic arm to weld parts</v>
      </c>
    </row>
    <row r="65" ht="18.75" customHeight="1">
      <c r="A65" s="25">
        <v>8.0</v>
      </c>
      <c r="B65" s="25">
        <v>7.0</v>
      </c>
      <c r="C65" s="25" t="s">
        <v>12</v>
      </c>
      <c r="D65" s="25" t="s">
        <v>169</v>
      </c>
      <c r="E65" s="25">
        <v>325.0</v>
      </c>
      <c r="F65" s="25" t="s">
        <v>476</v>
      </c>
      <c r="G65" s="25" t="s">
        <v>268</v>
      </c>
      <c r="H65" s="25" t="s">
        <v>269</v>
      </c>
      <c r="I65" s="26" t="s">
        <v>193</v>
      </c>
      <c r="J65" s="25" t="s">
        <v>477</v>
      </c>
      <c r="K65" s="25" t="s">
        <v>271</v>
      </c>
      <c r="L65" s="25" t="str">
        <f t="shared" si="1"/>
        <v>Team: CSE-325  -  Project: Turning Search Results into Curated and Linked Information</v>
      </c>
    </row>
    <row r="66" ht="18.75" customHeight="1">
      <c r="A66" s="25">
        <v>5.0</v>
      </c>
      <c r="B66" s="25">
        <v>8.0</v>
      </c>
      <c r="C66" s="25" t="s">
        <v>12</v>
      </c>
      <c r="D66" s="25" t="s">
        <v>169</v>
      </c>
      <c r="E66" s="25">
        <v>326.0</v>
      </c>
      <c r="F66" s="25" t="s">
        <v>478</v>
      </c>
      <c r="G66" s="25" t="s">
        <v>268</v>
      </c>
      <c r="H66" s="25" t="s">
        <v>269</v>
      </c>
      <c r="I66" s="26" t="s">
        <v>193</v>
      </c>
      <c r="J66" s="25" t="s">
        <v>479</v>
      </c>
      <c r="K66" s="25" t="s">
        <v>480</v>
      </c>
      <c r="L66" s="25" t="str">
        <f t="shared" si="1"/>
        <v>Team: CSE-326  -  Project: Turning Search Results into Curated and Linked Information</v>
      </c>
    </row>
    <row r="67" ht="18.75" customHeight="1">
      <c r="A67" s="25">
        <v>7.0</v>
      </c>
      <c r="B67" s="25">
        <v>5.0</v>
      </c>
      <c r="C67" s="25" t="s">
        <v>12</v>
      </c>
      <c r="D67" s="25" t="s">
        <v>169</v>
      </c>
      <c r="E67" s="25">
        <v>327.0</v>
      </c>
      <c r="F67" s="25" t="s">
        <v>481</v>
      </c>
      <c r="G67" s="25" t="s">
        <v>276</v>
      </c>
      <c r="H67" s="25" t="s">
        <v>269</v>
      </c>
      <c r="I67" s="26" t="s">
        <v>193</v>
      </c>
      <c r="J67" s="25" t="s">
        <v>482</v>
      </c>
      <c r="K67" s="25" t="s">
        <v>278</v>
      </c>
      <c r="L67" s="25" t="str">
        <f t="shared" si="1"/>
        <v>Team: CSE-327  -  Project: Networking Engagement - Information Capture and Aggregation App</v>
      </c>
    </row>
    <row r="68" ht="18.75" customHeight="1">
      <c r="A68" s="25">
        <v>8.0</v>
      </c>
      <c r="B68" s="25">
        <v>9.0</v>
      </c>
      <c r="C68" s="25" t="s">
        <v>12</v>
      </c>
      <c r="D68" s="25" t="s">
        <v>169</v>
      </c>
      <c r="E68" s="25">
        <v>328.0</v>
      </c>
      <c r="F68" s="25" t="s">
        <v>483</v>
      </c>
      <c r="G68" s="25" t="s">
        <v>276</v>
      </c>
      <c r="H68" s="25" t="s">
        <v>269</v>
      </c>
      <c r="I68" s="26" t="s">
        <v>193</v>
      </c>
      <c r="J68" s="25" t="s">
        <v>484</v>
      </c>
      <c r="K68" s="25" t="s">
        <v>281</v>
      </c>
      <c r="L68" s="25" t="str">
        <f t="shared" si="1"/>
        <v>Team: CSE-328  -  Project: Networking Engagement - Information Capture and Aggregation App</v>
      </c>
    </row>
    <row r="69" ht="18.75" customHeight="1">
      <c r="A69" s="25">
        <v>6.0</v>
      </c>
      <c r="B69" s="25">
        <v>5.0</v>
      </c>
      <c r="C69" s="25" t="s">
        <v>12</v>
      </c>
      <c r="D69" s="25" t="s">
        <v>169</v>
      </c>
      <c r="E69" s="25">
        <v>329.0</v>
      </c>
      <c r="F69" s="25" t="s">
        <v>485</v>
      </c>
      <c r="G69" s="25" t="s">
        <v>283</v>
      </c>
      <c r="H69" s="25" t="s">
        <v>126</v>
      </c>
      <c r="I69" s="26" t="s">
        <v>17</v>
      </c>
      <c r="J69" s="25" t="s">
        <v>486</v>
      </c>
      <c r="K69" s="25" t="s">
        <v>285</v>
      </c>
      <c r="L69" s="25" t="str">
        <f t="shared" si="1"/>
        <v>Team: CSE-329  -  Project: Plant Counting Program</v>
      </c>
    </row>
    <row r="70" ht="18.75" customHeight="1">
      <c r="A70" s="25">
        <v>8.0</v>
      </c>
      <c r="B70" s="25">
        <v>6.0</v>
      </c>
      <c r="C70" s="25" t="s">
        <v>12</v>
      </c>
      <c r="D70" s="25" t="s">
        <v>169</v>
      </c>
      <c r="E70" s="25">
        <v>330.0</v>
      </c>
      <c r="F70" s="25" t="s">
        <v>487</v>
      </c>
      <c r="G70" s="25" t="s">
        <v>283</v>
      </c>
      <c r="H70" s="25" t="s">
        <v>126</v>
      </c>
      <c r="I70" s="26" t="s">
        <v>17</v>
      </c>
      <c r="J70" s="25" t="s">
        <v>488</v>
      </c>
      <c r="K70" s="25" t="s">
        <v>288</v>
      </c>
      <c r="L70" s="25" t="str">
        <f t="shared" si="1"/>
        <v>Team: CSE-330  -  Project: Plant Counting Program</v>
      </c>
    </row>
    <row r="71" ht="18.75" customHeight="1">
      <c r="A71" s="25">
        <v>5.0</v>
      </c>
      <c r="B71" s="25">
        <v>7.0</v>
      </c>
      <c r="C71" s="25" t="s">
        <v>12</v>
      </c>
      <c r="D71" s="25" t="s">
        <v>169</v>
      </c>
      <c r="E71" s="25">
        <v>331.0</v>
      </c>
      <c r="F71" s="25" t="s">
        <v>489</v>
      </c>
      <c r="G71" s="25" t="s">
        <v>238</v>
      </c>
      <c r="H71" s="25" t="s">
        <v>161</v>
      </c>
      <c r="I71" s="26" t="s">
        <v>77</v>
      </c>
      <c r="J71" s="25" t="s">
        <v>490</v>
      </c>
      <c r="K71" s="25" t="s">
        <v>291</v>
      </c>
      <c r="L71" s="25" t="str">
        <f t="shared" si="1"/>
        <v>Team: CSE-331  -  Project: BART Aerial Track Inspection</v>
      </c>
    </row>
    <row r="72" ht="18.75" customHeight="1">
      <c r="A72" s="25">
        <v>6.0</v>
      </c>
      <c r="B72" s="25">
        <v>9.0</v>
      </c>
      <c r="C72" s="25" t="s">
        <v>12</v>
      </c>
      <c r="D72" s="25" t="s">
        <v>169</v>
      </c>
      <c r="E72" s="25">
        <v>332.0</v>
      </c>
      <c r="F72" s="25" t="s">
        <v>491</v>
      </c>
      <c r="G72" s="25" t="s">
        <v>293</v>
      </c>
      <c r="H72" s="25" t="s">
        <v>161</v>
      </c>
      <c r="I72" s="26" t="s">
        <v>77</v>
      </c>
      <c r="J72" s="25" t="s">
        <v>492</v>
      </c>
      <c r="K72" s="25" t="s">
        <v>295</v>
      </c>
      <c r="L72" s="25" t="str">
        <f t="shared" si="1"/>
        <v>Team: CSE-332  -  Project: Assistive Wayfinding for BART Stations</v>
      </c>
    </row>
    <row r="73" ht="18.75" customHeight="1">
      <c r="A73" s="25">
        <v>7.0</v>
      </c>
      <c r="B73" s="25">
        <v>1.0</v>
      </c>
      <c r="C73" s="25" t="s">
        <v>12</v>
      </c>
      <c r="D73" s="25" t="s">
        <v>169</v>
      </c>
      <c r="E73" s="25">
        <v>333.0</v>
      </c>
      <c r="F73" s="25" t="s">
        <v>493</v>
      </c>
      <c r="G73" s="25" t="s">
        <v>297</v>
      </c>
      <c r="H73" s="25" t="s">
        <v>298</v>
      </c>
      <c r="I73" s="26" t="s">
        <v>59</v>
      </c>
      <c r="J73" s="25" t="s">
        <v>494</v>
      </c>
      <c r="K73" s="25" t="s">
        <v>495</v>
      </c>
      <c r="L73" s="25" t="str">
        <f t="shared" si="1"/>
        <v>Team: CSE-333  -  Project: Cloud sync engine</v>
      </c>
    </row>
    <row r="74" ht="18.75" customHeight="1">
      <c r="A74" s="25">
        <v>6.0</v>
      </c>
      <c r="B74" s="25">
        <v>8.0</v>
      </c>
      <c r="C74" s="25" t="s">
        <v>12</v>
      </c>
      <c r="D74" s="25" t="s">
        <v>169</v>
      </c>
      <c r="E74" s="25">
        <v>334.0</v>
      </c>
      <c r="F74" s="25" t="s">
        <v>496</v>
      </c>
      <c r="G74" s="25" t="s">
        <v>297</v>
      </c>
      <c r="H74" s="25" t="s">
        <v>298</v>
      </c>
      <c r="I74" s="26" t="s">
        <v>59</v>
      </c>
      <c r="J74" s="25" t="s">
        <v>497</v>
      </c>
      <c r="K74" s="25" t="s">
        <v>498</v>
      </c>
      <c r="L74" s="25" t="str">
        <f t="shared" si="1"/>
        <v>Team: CSE-334  -  Project: Cloud sync engine</v>
      </c>
    </row>
    <row r="75" ht="18.75" customHeight="1">
      <c r="A75" s="25">
        <v>5.0</v>
      </c>
      <c r="B75" s="25">
        <v>1.0</v>
      </c>
      <c r="C75" s="25" t="s">
        <v>12</v>
      </c>
      <c r="D75" s="25" t="s">
        <v>169</v>
      </c>
      <c r="E75" s="25">
        <v>335.0</v>
      </c>
      <c r="F75" s="25" t="s">
        <v>499</v>
      </c>
      <c r="G75" s="25" t="s">
        <v>305</v>
      </c>
      <c r="H75" s="25" t="s">
        <v>306</v>
      </c>
      <c r="I75" s="26" t="s">
        <v>132</v>
      </c>
      <c r="J75" s="25" t="s">
        <v>500</v>
      </c>
      <c r="K75" s="25" t="s">
        <v>308</v>
      </c>
      <c r="L75" s="25" t="str">
        <f t="shared" si="1"/>
        <v>Team: CSE-335  -  Project: Wine Inventory Management Using Machine Vision</v>
      </c>
    </row>
    <row r="76" ht="18.75" customHeight="1">
      <c r="A76" s="25">
        <v>7.0</v>
      </c>
      <c r="B76" s="25">
        <v>2.0</v>
      </c>
      <c r="C76" s="25" t="s">
        <v>12</v>
      </c>
      <c r="D76" s="25" t="s">
        <v>169</v>
      </c>
      <c r="E76" s="25">
        <v>336.0</v>
      </c>
      <c r="F76" s="25" t="s">
        <v>501</v>
      </c>
      <c r="G76" s="25" t="s">
        <v>305</v>
      </c>
      <c r="H76" s="25" t="s">
        <v>306</v>
      </c>
      <c r="I76" s="26" t="s">
        <v>132</v>
      </c>
      <c r="J76" s="25" t="s">
        <v>502</v>
      </c>
      <c r="K76" s="25" t="s">
        <v>311</v>
      </c>
      <c r="L76" s="25" t="str">
        <f t="shared" si="1"/>
        <v>Team: CSE-336  -  Project: Wine Inventory Management Using Machine Vision</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13"/>
    <col customWidth="1" min="2" max="2" width="8.13"/>
    <col customWidth="1" min="3" max="3" width="11.88"/>
    <col customWidth="1" min="4" max="4" width="6.88"/>
    <col customWidth="1" min="7" max="7" width="23.63"/>
    <col customWidth="1" min="8" max="8" width="20.63"/>
  </cols>
  <sheetData>
    <row r="1" ht="22.5" customHeight="1">
      <c r="A1" s="27" t="s">
        <v>503</v>
      </c>
      <c r="B1" s="28">
        <v>5.0</v>
      </c>
      <c r="C1" s="27"/>
      <c r="D1" s="27"/>
      <c r="E1" s="27"/>
      <c r="F1" s="28"/>
      <c r="G1" s="27"/>
      <c r="H1" s="28"/>
    </row>
    <row r="2" ht="22.5" customHeight="1">
      <c r="A2" s="27"/>
      <c r="B2" s="27"/>
      <c r="C2" s="27"/>
      <c r="D2" s="28"/>
      <c r="E2" s="27"/>
      <c r="F2" s="28"/>
      <c r="G2" s="27"/>
      <c r="H2" s="28"/>
    </row>
    <row r="3" ht="22.5" customHeight="1">
      <c r="A3" s="27" t="s">
        <v>504</v>
      </c>
      <c r="B3" s="27" t="s">
        <v>505</v>
      </c>
      <c r="C3" s="27"/>
      <c r="D3" s="28"/>
      <c r="E3" s="27"/>
      <c r="F3" s="28"/>
      <c r="G3" s="27"/>
      <c r="H3" s="28"/>
    </row>
    <row r="4" ht="22.5" customHeight="1">
      <c r="A4" s="28" t="s">
        <v>506</v>
      </c>
      <c r="B4" s="29">
        <v>0.375</v>
      </c>
      <c r="C4" s="27"/>
      <c r="D4" s="28"/>
      <c r="E4" s="27"/>
      <c r="F4" s="28"/>
      <c r="G4" s="27"/>
      <c r="H4" s="28"/>
    </row>
    <row r="5" ht="22.5" customHeight="1">
      <c r="A5" s="28" t="s">
        <v>507</v>
      </c>
      <c r="B5" s="29">
        <v>0.4166666666666667</v>
      </c>
      <c r="C5" s="27"/>
      <c r="D5" s="28"/>
      <c r="E5" s="27"/>
      <c r="F5" s="28"/>
      <c r="G5" s="27"/>
      <c r="H5" s="28"/>
    </row>
    <row r="6" ht="22.5" customHeight="1">
      <c r="A6" s="28" t="s">
        <v>508</v>
      </c>
      <c r="B6" s="29">
        <v>0.5</v>
      </c>
      <c r="C6" s="27"/>
      <c r="D6" s="28"/>
      <c r="E6" s="27"/>
      <c r="F6" s="28"/>
      <c r="G6" s="27"/>
      <c r="H6" s="28"/>
    </row>
    <row r="7" ht="22.5" customHeight="1">
      <c r="A7" s="28" t="s">
        <v>509</v>
      </c>
      <c r="B7" s="29">
        <v>0.5416666666666666</v>
      </c>
      <c r="C7" s="27"/>
      <c r="D7" s="28"/>
      <c r="E7" s="27"/>
      <c r="F7" s="28"/>
      <c r="G7" s="27"/>
      <c r="H7" s="28"/>
    </row>
    <row r="8" ht="22.5" customHeight="1">
      <c r="A8" s="28" t="s">
        <v>510</v>
      </c>
      <c r="B8" s="30">
        <v>0.6666666666666666</v>
      </c>
      <c r="C8" s="27"/>
      <c r="D8" s="28"/>
      <c r="E8" s="27"/>
      <c r="F8" s="28"/>
      <c r="G8" s="27"/>
      <c r="H8" s="28"/>
    </row>
    <row r="9" ht="22.5" customHeight="1">
      <c r="A9" s="27"/>
      <c r="B9" s="28"/>
      <c r="C9" s="27"/>
      <c r="D9" s="28"/>
      <c r="E9" s="27"/>
      <c r="F9" s="28"/>
      <c r="G9" s="27"/>
      <c r="H9" s="28"/>
    </row>
    <row r="10" ht="22.5" customHeight="1">
      <c r="A10" s="27" t="s">
        <v>511</v>
      </c>
      <c r="B10" s="28">
        <v>3.0</v>
      </c>
      <c r="C10" s="27"/>
      <c r="D10" s="28"/>
      <c r="E10" s="27"/>
      <c r="F10" s="28"/>
      <c r="G10" s="27"/>
      <c r="H10" s="28"/>
    </row>
    <row r="11" ht="22.5" customHeight="1">
      <c r="A11" s="27"/>
      <c r="B11" s="28"/>
      <c r="C11" s="27"/>
      <c r="D11" s="28"/>
      <c r="E11" s="27"/>
      <c r="F11" s="28"/>
      <c r="G11" s="27"/>
      <c r="H11" s="28"/>
    </row>
    <row r="12" ht="22.5" customHeight="1">
      <c r="A12" s="27" t="s">
        <v>512</v>
      </c>
      <c r="B12" s="28">
        <v>5.0</v>
      </c>
      <c r="C12" s="27" t="s">
        <v>513</v>
      </c>
      <c r="D12" s="28">
        <v>30.0</v>
      </c>
      <c r="E12" s="27" t="s">
        <v>514</v>
      </c>
      <c r="F12" s="28">
        <v>10.0</v>
      </c>
      <c r="G12" s="27" t="s">
        <v>515</v>
      </c>
      <c r="H12" s="28">
        <v>4.0</v>
      </c>
    </row>
    <row r="13" ht="22.5" customHeight="1">
      <c r="A13" s="27" t="s">
        <v>516</v>
      </c>
      <c r="B13" s="28">
        <v>4.0</v>
      </c>
      <c r="C13" s="27" t="s">
        <v>517</v>
      </c>
      <c r="D13" s="28">
        <v>20.0</v>
      </c>
      <c r="E13" s="27" t="s">
        <v>518</v>
      </c>
      <c r="F13" s="28">
        <v>20.0</v>
      </c>
      <c r="G13" s="27" t="s">
        <v>519</v>
      </c>
      <c r="H13" s="28">
        <v>5.0</v>
      </c>
    </row>
    <row r="14" ht="22.5" customHeight="1">
      <c r="A14" s="27" t="s">
        <v>520</v>
      </c>
      <c r="B14" s="28">
        <v>0.0</v>
      </c>
      <c r="C14" s="27" t="s">
        <v>521</v>
      </c>
      <c r="D14" s="5"/>
      <c r="E14" s="27" t="s">
        <v>522</v>
      </c>
      <c r="F14" s="5"/>
      <c r="G14" s="27" t="s">
        <v>523</v>
      </c>
      <c r="H14" s="5"/>
    </row>
    <row r="15" ht="22.5" customHeight="1">
      <c r="A15" s="5"/>
      <c r="B15" s="5"/>
      <c r="C15" s="5"/>
      <c r="D15" s="5"/>
      <c r="E15" s="5"/>
      <c r="F15" s="5"/>
      <c r="G15" s="5"/>
      <c r="H15" s="5"/>
    </row>
    <row r="16" ht="22.5" customHeight="1">
      <c r="A16" s="5" t="s">
        <v>0</v>
      </c>
      <c r="B16" s="5" t="s">
        <v>349</v>
      </c>
      <c r="C16" s="5" t="s">
        <v>350</v>
      </c>
      <c r="D16" s="5" t="s">
        <v>3</v>
      </c>
      <c r="E16" s="5" t="s">
        <v>351</v>
      </c>
      <c r="F16" s="5" t="s">
        <v>352</v>
      </c>
      <c r="G16" s="5" t="s">
        <v>353</v>
      </c>
      <c r="H16" s="5" t="s">
        <v>354</v>
      </c>
    </row>
    <row r="17" ht="22.5" customHeight="1">
      <c r="A17" s="31">
        <v>1.0</v>
      </c>
      <c r="B17" s="31" t="s">
        <v>375</v>
      </c>
      <c r="C17" s="32"/>
      <c r="D17" s="7" t="s">
        <v>13</v>
      </c>
      <c r="E17" s="33" t="s">
        <v>524</v>
      </c>
      <c r="F17" s="34">
        <v>1.0</v>
      </c>
      <c r="G17" s="35"/>
      <c r="H17" s="32"/>
    </row>
    <row r="18" ht="22.5" customHeight="1">
      <c r="A18" s="36">
        <v>2.0</v>
      </c>
      <c r="B18" s="31" t="s">
        <v>372</v>
      </c>
      <c r="C18" s="32"/>
      <c r="D18" s="7" t="s">
        <v>13</v>
      </c>
      <c r="E18" s="37" t="s">
        <v>525</v>
      </c>
      <c r="F18" s="38">
        <v>2.0</v>
      </c>
      <c r="G18" s="35"/>
      <c r="H18" s="32"/>
    </row>
    <row r="19" ht="22.5" customHeight="1">
      <c r="A19" s="31">
        <v>3.0</v>
      </c>
      <c r="B19" s="31" t="s">
        <v>526</v>
      </c>
      <c r="C19" s="32"/>
      <c r="D19" s="7" t="s">
        <v>13</v>
      </c>
      <c r="E19" s="39" t="s">
        <v>359</v>
      </c>
      <c r="F19" s="9">
        <v>3.0</v>
      </c>
      <c r="G19" s="36"/>
      <c r="H19" s="32"/>
    </row>
    <row r="20" ht="22.5" customHeight="1">
      <c r="A20" s="36">
        <v>4.0</v>
      </c>
      <c r="B20" s="31" t="s">
        <v>369</v>
      </c>
      <c r="C20" s="32"/>
      <c r="D20" s="7" t="s">
        <v>13</v>
      </c>
      <c r="E20" s="40" t="s">
        <v>362</v>
      </c>
      <c r="F20" s="12">
        <v>4.0</v>
      </c>
      <c r="G20" s="35"/>
      <c r="H20" s="32"/>
    </row>
    <row r="21" ht="22.5" customHeight="1">
      <c r="A21" s="31">
        <v>5.0</v>
      </c>
      <c r="B21" s="31" t="s">
        <v>366</v>
      </c>
      <c r="C21" s="32"/>
      <c r="D21" s="7" t="s">
        <v>13</v>
      </c>
      <c r="E21" s="41" t="s">
        <v>356</v>
      </c>
      <c r="F21" s="14">
        <v>5.0</v>
      </c>
      <c r="G21" s="35"/>
      <c r="H21" s="32"/>
    </row>
    <row r="22" ht="22.5" customHeight="1">
      <c r="A22" s="36">
        <v>6.0</v>
      </c>
      <c r="B22" s="31" t="s">
        <v>364</v>
      </c>
      <c r="C22" s="32"/>
      <c r="D22" s="18" t="s">
        <v>169</v>
      </c>
      <c r="E22" s="42" t="s">
        <v>527</v>
      </c>
      <c r="F22" s="19">
        <v>6.0</v>
      </c>
      <c r="G22" s="36"/>
      <c r="H22" s="32"/>
    </row>
    <row r="23" ht="22.5" customHeight="1">
      <c r="A23" s="31">
        <v>7.0</v>
      </c>
      <c r="B23" s="31" t="s">
        <v>361</v>
      </c>
      <c r="C23" s="32"/>
      <c r="D23" s="18" t="s">
        <v>169</v>
      </c>
      <c r="E23" s="43" t="s">
        <v>528</v>
      </c>
      <c r="F23" s="20">
        <v>7.0</v>
      </c>
      <c r="G23" s="36"/>
      <c r="H23" s="32"/>
    </row>
    <row r="24" ht="22.5" customHeight="1">
      <c r="A24" s="36">
        <v>8.0</v>
      </c>
      <c r="B24" s="31" t="s">
        <v>358</v>
      </c>
      <c r="C24" s="32"/>
      <c r="D24" s="18" t="s">
        <v>169</v>
      </c>
      <c r="E24" s="44" t="s">
        <v>8</v>
      </c>
      <c r="F24" s="21">
        <v>8.0</v>
      </c>
      <c r="G24" s="36"/>
      <c r="H24" s="32"/>
    </row>
    <row r="25" ht="22.5" customHeight="1">
      <c r="A25" s="31">
        <v>9.0</v>
      </c>
      <c r="B25" s="31" t="s">
        <v>355</v>
      </c>
      <c r="C25" s="32"/>
      <c r="D25" s="18" t="s">
        <v>169</v>
      </c>
      <c r="E25" s="45" t="s">
        <v>8</v>
      </c>
      <c r="F25" s="22">
        <v>9.0</v>
      </c>
      <c r="G25" s="36"/>
      <c r="H25" s="32"/>
    </row>
    <row r="26" ht="22.5" customHeight="1">
      <c r="A26" s="46"/>
      <c r="B26" s="46"/>
      <c r="C26" s="46"/>
      <c r="D26" s="46"/>
      <c r="E26" s="46"/>
      <c r="F26" s="46"/>
      <c r="G26" s="46"/>
      <c r="H26" s="46"/>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5"/>
    <col customWidth="1" min="2" max="2" width="80.13"/>
    <col customWidth="1" min="3" max="3" width="80.38"/>
  </cols>
  <sheetData>
    <row r="1">
      <c r="A1" s="47" t="s">
        <v>529</v>
      </c>
      <c r="B1" s="47" t="s">
        <v>530</v>
      </c>
      <c r="C1" s="47" t="s">
        <v>174</v>
      </c>
      <c r="D1" s="48"/>
    </row>
    <row r="2">
      <c r="A2" s="47" t="s">
        <v>531</v>
      </c>
      <c r="B2" s="47" t="s">
        <v>532</v>
      </c>
      <c r="C2" s="47" t="s">
        <v>177</v>
      </c>
      <c r="D2" s="48"/>
    </row>
    <row r="3">
      <c r="A3" s="47" t="s">
        <v>533</v>
      </c>
      <c r="B3" s="47" t="s">
        <v>534</v>
      </c>
      <c r="C3" s="47" t="s">
        <v>181</v>
      </c>
      <c r="D3" s="48"/>
    </row>
    <row r="4">
      <c r="A4" s="47" t="s">
        <v>535</v>
      </c>
      <c r="B4" s="47" t="s">
        <v>536</v>
      </c>
      <c r="C4" s="47" t="s">
        <v>184</v>
      </c>
      <c r="D4" s="48"/>
    </row>
    <row r="5">
      <c r="A5" s="47" t="s">
        <v>537</v>
      </c>
      <c r="B5" s="47" t="s">
        <v>538</v>
      </c>
      <c r="C5" s="47" t="s">
        <v>189</v>
      </c>
      <c r="D5" s="48"/>
    </row>
    <row r="6">
      <c r="A6" s="47" t="s">
        <v>539</v>
      </c>
      <c r="B6" s="47" t="s">
        <v>540</v>
      </c>
      <c r="C6" s="47" t="s">
        <v>195</v>
      </c>
      <c r="D6" s="48"/>
    </row>
    <row r="7">
      <c r="A7" s="47" t="s">
        <v>541</v>
      </c>
      <c r="B7" s="47" t="s">
        <v>542</v>
      </c>
      <c r="C7" s="47" t="s">
        <v>435</v>
      </c>
      <c r="D7" s="48"/>
    </row>
    <row r="8">
      <c r="A8" s="47" t="s">
        <v>543</v>
      </c>
      <c r="B8" s="47" t="s">
        <v>544</v>
      </c>
      <c r="C8" s="47" t="s">
        <v>438</v>
      </c>
      <c r="D8" s="48"/>
    </row>
    <row r="9">
      <c r="A9" s="47" t="s">
        <v>545</v>
      </c>
      <c r="B9" s="47" t="s">
        <v>546</v>
      </c>
      <c r="C9" s="47" t="s">
        <v>206</v>
      </c>
      <c r="D9" s="48"/>
    </row>
    <row r="10">
      <c r="A10" s="47" t="s">
        <v>547</v>
      </c>
      <c r="B10" s="47" t="s">
        <v>548</v>
      </c>
      <c r="C10" s="47" t="s">
        <v>212</v>
      </c>
      <c r="D10" s="48"/>
    </row>
    <row r="11">
      <c r="A11" s="47" t="s">
        <v>549</v>
      </c>
      <c r="B11" s="47" t="s">
        <v>550</v>
      </c>
      <c r="C11" s="47" t="s">
        <v>215</v>
      </c>
      <c r="D11" s="48"/>
    </row>
    <row r="12">
      <c r="A12" s="47" t="s">
        <v>551</v>
      </c>
      <c r="B12" s="47" t="s">
        <v>552</v>
      </c>
      <c r="C12" s="47" t="s">
        <v>219</v>
      </c>
      <c r="D12" s="48"/>
    </row>
    <row r="13">
      <c r="A13" s="47" t="s">
        <v>553</v>
      </c>
      <c r="B13" s="47" t="s">
        <v>554</v>
      </c>
      <c r="C13" s="47" t="s">
        <v>222</v>
      </c>
      <c r="D13" s="48"/>
    </row>
    <row r="14">
      <c r="A14" s="47" t="s">
        <v>555</v>
      </c>
      <c r="B14" s="47" t="s">
        <v>556</v>
      </c>
      <c r="C14" s="47" t="s">
        <v>227</v>
      </c>
      <c r="D14" s="48"/>
    </row>
    <row r="15">
      <c r="A15" s="47" t="s">
        <v>557</v>
      </c>
      <c r="B15" s="47" t="s">
        <v>558</v>
      </c>
      <c r="C15" s="47" t="s">
        <v>454</v>
      </c>
      <c r="D15" s="48"/>
    </row>
    <row r="16">
      <c r="A16" s="47" t="s">
        <v>559</v>
      </c>
      <c r="B16" s="47" t="s">
        <v>560</v>
      </c>
      <c r="C16" s="47" t="s">
        <v>236</v>
      </c>
      <c r="D16" s="48"/>
    </row>
    <row r="17">
      <c r="A17" s="47" t="s">
        <v>561</v>
      </c>
      <c r="B17" s="47" t="s">
        <v>562</v>
      </c>
      <c r="C17" s="47" t="s">
        <v>240</v>
      </c>
      <c r="D17" s="48"/>
    </row>
    <row r="18">
      <c r="A18" s="47" t="s">
        <v>563</v>
      </c>
      <c r="B18" s="47" t="s">
        <v>564</v>
      </c>
      <c r="C18" s="47" t="s">
        <v>243</v>
      </c>
      <c r="D18" s="48"/>
    </row>
    <row r="19">
      <c r="A19" s="47" t="s">
        <v>565</v>
      </c>
      <c r="B19" s="47" t="s">
        <v>566</v>
      </c>
      <c r="C19" s="47" t="s">
        <v>247</v>
      </c>
      <c r="D19" s="48"/>
    </row>
    <row r="20">
      <c r="A20" s="47" t="s">
        <v>567</v>
      </c>
      <c r="B20" s="47" t="s">
        <v>568</v>
      </c>
      <c r="C20" s="47" t="s">
        <v>250</v>
      </c>
      <c r="D20" s="48"/>
    </row>
    <row r="21">
      <c r="A21" s="47" t="s">
        <v>569</v>
      </c>
      <c r="B21" s="47" t="s">
        <v>570</v>
      </c>
      <c r="C21" s="47" t="s">
        <v>467</v>
      </c>
      <c r="D21" s="48"/>
    </row>
    <row r="22">
      <c r="A22" s="47" t="s">
        <v>571</v>
      </c>
      <c r="B22" s="47" t="s">
        <v>572</v>
      </c>
      <c r="C22" s="47" t="s">
        <v>257</v>
      </c>
      <c r="D22" s="48"/>
    </row>
    <row r="23">
      <c r="A23" s="47" t="s">
        <v>573</v>
      </c>
      <c r="B23" s="47" t="s">
        <v>574</v>
      </c>
      <c r="C23" s="47" t="s">
        <v>472</v>
      </c>
      <c r="D23" s="48"/>
    </row>
    <row r="24">
      <c r="A24" s="47" t="s">
        <v>575</v>
      </c>
      <c r="B24" s="47" t="s">
        <v>576</v>
      </c>
      <c r="C24" s="47" t="s">
        <v>475</v>
      </c>
      <c r="D24" s="48"/>
    </row>
    <row r="25">
      <c r="A25" s="47" t="s">
        <v>577</v>
      </c>
      <c r="B25" s="47" t="s">
        <v>578</v>
      </c>
      <c r="C25" s="47" t="s">
        <v>271</v>
      </c>
      <c r="D25" s="48"/>
    </row>
    <row r="26">
      <c r="A26" s="47" t="s">
        <v>579</v>
      </c>
      <c r="B26" s="47" t="s">
        <v>580</v>
      </c>
      <c r="C26" s="47" t="s">
        <v>480</v>
      </c>
      <c r="D26" s="48"/>
    </row>
    <row r="27">
      <c r="A27" s="47" t="s">
        <v>581</v>
      </c>
      <c r="B27" s="47" t="s">
        <v>582</v>
      </c>
      <c r="C27" s="47" t="s">
        <v>278</v>
      </c>
      <c r="D27" s="48"/>
    </row>
    <row r="28">
      <c r="A28" s="47" t="s">
        <v>583</v>
      </c>
      <c r="B28" s="47" t="s">
        <v>584</v>
      </c>
      <c r="C28" s="47" t="s">
        <v>281</v>
      </c>
      <c r="D28" s="48"/>
    </row>
    <row r="29">
      <c r="A29" s="47" t="s">
        <v>585</v>
      </c>
      <c r="B29" s="47" t="s">
        <v>586</v>
      </c>
      <c r="C29" s="47" t="s">
        <v>285</v>
      </c>
      <c r="D29" s="48"/>
    </row>
    <row r="30">
      <c r="A30" s="47" t="s">
        <v>587</v>
      </c>
      <c r="B30" s="47" t="s">
        <v>588</v>
      </c>
      <c r="C30" s="47" t="s">
        <v>288</v>
      </c>
      <c r="D30" s="48"/>
    </row>
    <row r="31">
      <c r="A31" s="47" t="s">
        <v>589</v>
      </c>
      <c r="B31" s="47" t="s">
        <v>590</v>
      </c>
      <c r="C31" s="47" t="s">
        <v>291</v>
      </c>
      <c r="D31" s="48"/>
    </row>
    <row r="32">
      <c r="A32" s="47" t="s">
        <v>591</v>
      </c>
      <c r="B32" s="47" t="s">
        <v>592</v>
      </c>
      <c r="C32" s="47" t="s">
        <v>295</v>
      </c>
      <c r="D32" s="48"/>
    </row>
    <row r="33">
      <c r="A33" s="47" t="s">
        <v>593</v>
      </c>
      <c r="B33" s="47" t="s">
        <v>594</v>
      </c>
      <c r="C33" s="47" t="s">
        <v>495</v>
      </c>
      <c r="D33" s="48"/>
    </row>
    <row r="34">
      <c r="A34" s="47" t="s">
        <v>595</v>
      </c>
      <c r="B34" s="47" t="s">
        <v>596</v>
      </c>
      <c r="C34" s="47" t="s">
        <v>498</v>
      </c>
      <c r="D34" s="48"/>
    </row>
    <row r="35">
      <c r="A35" s="47" t="s">
        <v>597</v>
      </c>
      <c r="B35" s="47" t="s">
        <v>598</v>
      </c>
      <c r="C35" s="47" t="s">
        <v>308</v>
      </c>
      <c r="D35" s="48"/>
    </row>
    <row r="36">
      <c r="A36" s="47" t="s">
        <v>599</v>
      </c>
      <c r="B36" s="47" t="s">
        <v>600</v>
      </c>
      <c r="C36" s="47" t="s">
        <v>311</v>
      </c>
      <c r="D36" s="48"/>
    </row>
    <row r="37">
      <c r="A37" s="47" t="s">
        <v>601</v>
      </c>
      <c r="B37" s="47" t="s">
        <v>602</v>
      </c>
      <c r="C37" s="47" t="s">
        <v>19</v>
      </c>
      <c r="D37" s="48"/>
    </row>
    <row r="38">
      <c r="A38" s="47" t="s">
        <v>603</v>
      </c>
      <c r="B38" s="47" t="s">
        <v>604</v>
      </c>
      <c r="C38" s="47" t="s">
        <v>24</v>
      </c>
      <c r="D38" s="48"/>
    </row>
    <row r="39">
      <c r="A39" s="47" t="s">
        <v>605</v>
      </c>
      <c r="B39" s="47" t="s">
        <v>606</v>
      </c>
      <c r="C39" s="47" t="s">
        <v>30</v>
      </c>
      <c r="D39" s="48"/>
    </row>
    <row r="40">
      <c r="A40" s="47" t="s">
        <v>607</v>
      </c>
      <c r="B40" s="47" t="s">
        <v>608</v>
      </c>
      <c r="C40" s="47" t="s">
        <v>33</v>
      </c>
      <c r="D40" s="48"/>
    </row>
    <row r="41">
      <c r="A41" s="47" t="s">
        <v>609</v>
      </c>
      <c r="B41" s="47" t="s">
        <v>610</v>
      </c>
      <c r="C41" s="47" t="s">
        <v>37</v>
      </c>
      <c r="D41" s="48"/>
    </row>
    <row r="42">
      <c r="A42" s="47" t="s">
        <v>611</v>
      </c>
      <c r="B42" s="47" t="s">
        <v>612</v>
      </c>
      <c r="C42" s="47" t="s">
        <v>40</v>
      </c>
      <c r="D42" s="48"/>
    </row>
    <row r="43">
      <c r="A43" s="47" t="s">
        <v>613</v>
      </c>
      <c r="B43" s="47" t="s">
        <v>614</v>
      </c>
      <c r="C43" s="47" t="s">
        <v>46</v>
      </c>
      <c r="D43" s="48"/>
    </row>
    <row r="44">
      <c r="A44" s="47" t="s">
        <v>615</v>
      </c>
      <c r="B44" s="47" t="s">
        <v>616</v>
      </c>
      <c r="C44" s="47" t="s">
        <v>52</v>
      </c>
      <c r="D44" s="48"/>
    </row>
    <row r="45">
      <c r="A45" s="47" t="s">
        <v>617</v>
      </c>
      <c r="B45" s="47" t="s">
        <v>618</v>
      </c>
      <c r="C45" s="47" t="s">
        <v>55</v>
      </c>
      <c r="D45" s="48"/>
    </row>
    <row r="46">
      <c r="A46" s="47" t="s">
        <v>619</v>
      </c>
      <c r="B46" s="47" t="s">
        <v>620</v>
      </c>
      <c r="C46" s="47" t="s">
        <v>61</v>
      </c>
      <c r="D46" s="48"/>
    </row>
    <row r="47">
      <c r="A47" s="47" t="s">
        <v>621</v>
      </c>
      <c r="B47" s="47" t="s">
        <v>622</v>
      </c>
      <c r="C47" s="47" t="s">
        <v>65</v>
      </c>
      <c r="D47" s="48"/>
    </row>
    <row r="48">
      <c r="A48" s="47" t="s">
        <v>623</v>
      </c>
      <c r="B48" s="47" t="s">
        <v>624</v>
      </c>
      <c r="C48" s="47" t="s">
        <v>68</v>
      </c>
      <c r="D48" s="48"/>
    </row>
    <row r="49">
      <c r="A49" s="47" t="s">
        <v>625</v>
      </c>
      <c r="B49" s="47" t="s">
        <v>626</v>
      </c>
      <c r="C49" s="47" t="s">
        <v>73</v>
      </c>
      <c r="D49" s="48"/>
    </row>
    <row r="50">
      <c r="A50" s="47" t="s">
        <v>627</v>
      </c>
      <c r="B50" s="47" t="s">
        <v>628</v>
      </c>
      <c r="C50" s="47" t="s">
        <v>79</v>
      </c>
      <c r="D50" s="48"/>
    </row>
    <row r="51">
      <c r="A51" s="47" t="s">
        <v>629</v>
      </c>
      <c r="B51" s="47" t="s">
        <v>630</v>
      </c>
      <c r="C51" s="47" t="s">
        <v>83</v>
      </c>
      <c r="D51" s="48"/>
    </row>
    <row r="52">
      <c r="A52" s="47" t="s">
        <v>631</v>
      </c>
      <c r="B52" s="47" t="s">
        <v>632</v>
      </c>
      <c r="C52" s="47" t="s">
        <v>88</v>
      </c>
      <c r="D52" s="48"/>
    </row>
    <row r="53">
      <c r="A53" s="47" t="s">
        <v>633</v>
      </c>
      <c r="B53" s="47" t="s">
        <v>634</v>
      </c>
      <c r="C53" s="47" t="s">
        <v>91</v>
      </c>
      <c r="D53" s="48"/>
    </row>
    <row r="54">
      <c r="A54" s="47" t="s">
        <v>635</v>
      </c>
      <c r="B54" s="47" t="s">
        <v>636</v>
      </c>
      <c r="C54" s="47" t="s">
        <v>96</v>
      </c>
      <c r="D54" s="48"/>
    </row>
    <row r="55">
      <c r="A55" s="47" t="s">
        <v>637</v>
      </c>
      <c r="B55" s="47" t="s">
        <v>638</v>
      </c>
      <c r="C55" s="47" t="s">
        <v>102</v>
      </c>
      <c r="D55" s="48"/>
    </row>
    <row r="56">
      <c r="A56" s="47" t="s">
        <v>639</v>
      </c>
      <c r="B56" s="47" t="s">
        <v>640</v>
      </c>
      <c r="C56" s="47" t="s">
        <v>106</v>
      </c>
      <c r="D56" s="48"/>
    </row>
    <row r="57">
      <c r="A57" s="47" t="s">
        <v>641</v>
      </c>
      <c r="B57" s="47" t="s">
        <v>642</v>
      </c>
      <c r="C57" s="47" t="s">
        <v>420</v>
      </c>
      <c r="D57" s="48"/>
    </row>
  </sheetData>
  <drawing r:id="rId1"/>
</worksheet>
</file>