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I2G1-WEB" sheetId="1" r:id="rId5"/>
    <sheet state="visible" name="2025-I2G2-Tracks" sheetId="2" r:id="rId6"/>
  </sheets>
  <definedNames/>
  <calcPr/>
</workbook>
</file>

<file path=xl/sharedStrings.xml><?xml version="1.0" encoding="utf-8"?>
<sst xmlns="http://schemas.openxmlformats.org/spreadsheetml/2006/main" count="258" uniqueCount="154">
  <si>
    <t>#</t>
  </si>
  <si>
    <t>Order</t>
  </si>
  <si>
    <t>Year-Semester</t>
  </si>
  <si>
    <t>Class</t>
  </si>
  <si>
    <t>Team #</t>
  </si>
  <si>
    <t>Team Name</t>
  </si>
  <si>
    <t>Project Title</t>
  </si>
  <si>
    <t>Organization</t>
  </si>
  <si>
    <t>Industry</t>
  </si>
  <si>
    <t>Abstract</t>
  </si>
  <si>
    <t>Student Names</t>
  </si>
  <si>
    <t xml:space="preserve">Name: - Title: </t>
  </si>
  <si>
    <t>(spring)</t>
  </si>
  <si>
    <t>2026-1 Spring</t>
  </si>
  <si>
    <t>CAP</t>
  </si>
  <si>
    <t>CAP-101</t>
  </si>
  <si>
    <t>ASHRAE HVAC Design Calculations</t>
  </si>
  <si>
    <t>ASHRAE - Sierra Delta</t>
  </si>
  <si>
    <t>Energy</t>
  </si>
  <si>
    <t>Abstract-101</t>
  </si>
  <si>
    <t>Students-101</t>
  </si>
  <si>
    <t>CAP-102</t>
  </si>
  <si>
    <t>Blanched Almond Optimization Project</t>
  </si>
  <si>
    <t>Blue Diamond Growers</t>
  </si>
  <si>
    <t>Food Processing</t>
  </si>
  <si>
    <t>Abstract-102</t>
  </si>
  <si>
    <t>Students-102</t>
  </si>
  <si>
    <t>CAP-103</t>
  </si>
  <si>
    <t>Bagging Bags</t>
  </si>
  <si>
    <t>Bolthouse Fresh Foods</t>
  </si>
  <si>
    <t>Abstract-103</t>
  </si>
  <si>
    <t>Students-103</t>
  </si>
  <si>
    <t>CAP-104</t>
  </si>
  <si>
    <t>Wheat Milling Smart Sensor System for Moisture and Foreign Material Detection</t>
  </si>
  <si>
    <t>Bowles Farming Company</t>
  </si>
  <si>
    <t>Agriculture</t>
  </si>
  <si>
    <t>Abstract-104</t>
  </si>
  <si>
    <t>Students-104</t>
  </si>
  <si>
    <t>CAP-105</t>
  </si>
  <si>
    <t>Mandarin Long Stem Solution</t>
  </si>
  <si>
    <t>Fowler Packing</t>
  </si>
  <si>
    <t>Abstract-105</t>
  </si>
  <si>
    <t>Students-105</t>
  </si>
  <si>
    <t>CAP-106</t>
  </si>
  <si>
    <t>Capping Smart Bottle</t>
  </si>
  <si>
    <t>Gallo</t>
  </si>
  <si>
    <t>Abstract-106</t>
  </si>
  <si>
    <t>Students-106</t>
  </si>
  <si>
    <t>CAP-107</t>
  </si>
  <si>
    <t>Rotary Joint Testing System</t>
  </si>
  <si>
    <t>Abstract-107</t>
  </si>
  <si>
    <t>Students-107</t>
  </si>
  <si>
    <t>CAP-108</t>
  </si>
  <si>
    <t>Propane-Powered See-and-Flame Weed Control System for Organic Agave Using the Farm‑NG Amiga Platform</t>
  </si>
  <si>
    <t>Hunt Farms</t>
  </si>
  <si>
    <t>Abstract-108</t>
  </si>
  <si>
    <t>Students-108</t>
  </si>
  <si>
    <t>CAP-109</t>
  </si>
  <si>
    <t>The Lift</t>
  </si>
  <si>
    <t>Intelligence DX</t>
  </si>
  <si>
    <t>Health Care</t>
  </si>
  <si>
    <t>Abstract-109</t>
  </si>
  <si>
    <t>Students-109</t>
  </si>
  <si>
    <t>CAP-110</t>
  </si>
  <si>
    <t>Robotic Leaf Clip Sensor</t>
  </si>
  <si>
    <t>IoT4Ag</t>
  </si>
  <si>
    <t>Abstract-110</t>
  </si>
  <si>
    <t>Students-110</t>
  </si>
  <si>
    <t>CAP-111</t>
  </si>
  <si>
    <t>In-Air Drop Encapsulation Apparatus - "Shower-Head" Development</t>
  </si>
  <si>
    <t>Lawrence Livermore National Laboratory</t>
  </si>
  <si>
    <t>Government</t>
  </si>
  <si>
    <t>Abstract-111</t>
  </si>
  <si>
    <t>Students-111</t>
  </si>
  <si>
    <t>CAP-112</t>
  </si>
  <si>
    <t>Abstract-112</t>
  </si>
  <si>
    <t>Students-112</t>
  </si>
  <si>
    <t>CAP-113</t>
  </si>
  <si>
    <t>Full Bottle Orientation</t>
  </si>
  <si>
    <t>Lyons Magnus</t>
  </si>
  <si>
    <t>Abstract-113</t>
  </si>
  <si>
    <t>Students-113</t>
  </si>
  <si>
    <t>CAP-114</t>
  </si>
  <si>
    <t>Spinal Mapping Diagnosis</t>
  </si>
  <si>
    <t>OrthoSpine Advance Health, Inc.</t>
  </si>
  <si>
    <t>Abstract-114</t>
  </si>
  <si>
    <t>Students-114</t>
  </si>
  <si>
    <t>CAP-115</t>
  </si>
  <si>
    <t>AutoSpinal Insertor</t>
  </si>
  <si>
    <t>Abstract-115</t>
  </si>
  <si>
    <t>Students-115</t>
  </si>
  <si>
    <t>CAP-116</t>
  </si>
  <si>
    <t>Transplanter Simulator  to coach New Operators</t>
  </si>
  <si>
    <t>The Morning Star Company</t>
  </si>
  <si>
    <t>Abstract-116</t>
  </si>
  <si>
    <t>Students-116</t>
  </si>
  <si>
    <t>CAP-117</t>
  </si>
  <si>
    <t>Battery Workforce Challenge - Phase 3</t>
  </si>
  <si>
    <t>UC Merced Battery Workforce Challenge</t>
  </si>
  <si>
    <t>Education</t>
  </si>
  <si>
    <t>Abstract-117</t>
  </si>
  <si>
    <t>Students-117</t>
  </si>
  <si>
    <t>CAP-118</t>
  </si>
  <si>
    <t>High-Resolution Sensing Platform Using the Farm‑NG Amiga Robot</t>
  </si>
  <si>
    <t>UC Merced Experimental Farm</t>
  </si>
  <si>
    <t>Abstract-118</t>
  </si>
  <si>
    <t>Students-118</t>
  </si>
  <si>
    <t>CAP-119</t>
  </si>
  <si>
    <t>On Farm Crop Cooling Solution for Small Farmers</t>
  </si>
  <si>
    <t>University of California Agriculture and Natural Resources (UC ANR) Small Farms Network</t>
  </si>
  <si>
    <t>Abstract-119</t>
  </si>
  <si>
    <t>Students-119</t>
  </si>
  <si>
    <t>CAP-120</t>
  </si>
  <si>
    <t>Low-cost groundwater level/quality monitoring system</t>
  </si>
  <si>
    <t>Woodpecker Microsystems and MIUGSA</t>
  </si>
  <si>
    <t>Water</t>
  </si>
  <si>
    <t>Abstract-120</t>
  </si>
  <si>
    <t>Students-120</t>
  </si>
  <si>
    <t>CAP-121</t>
  </si>
  <si>
    <t>Distributed-Flapping Wing with Glide-Lock Mechanism</t>
  </si>
  <si>
    <t>UC Merced Aerospace</t>
  </si>
  <si>
    <t>AeroSpace</t>
  </si>
  <si>
    <t>Abstract-121</t>
  </si>
  <si>
    <t>Students-121</t>
  </si>
  <si>
    <t>CAP-122</t>
  </si>
  <si>
    <t>Smart Oxygen Delivery System: A Closed-Loop Oxygen Concentrator Controlled by Pulse Oximeter Feedback</t>
  </si>
  <si>
    <t>UC Merced BioE</t>
  </si>
  <si>
    <t>BioTech</t>
  </si>
  <si>
    <t>Abstract-122</t>
  </si>
  <si>
    <t>Students-122</t>
  </si>
  <si>
    <t>CAP-123</t>
  </si>
  <si>
    <t>Aortic Simulator for Hemodynamic Studies</t>
  </si>
  <si>
    <t>Abstract-123</t>
  </si>
  <si>
    <t>Students-123</t>
  </si>
  <si>
    <t>CAP-124</t>
  </si>
  <si>
    <t>Abstract-124</t>
  </si>
  <si>
    <t>Students-124</t>
  </si>
  <si>
    <t>CAP-125</t>
  </si>
  <si>
    <t>Quality control and quantitative characterization of drug delivery vesicles and synthetic cells</t>
  </si>
  <si>
    <t>Abstract-125</t>
  </si>
  <si>
    <t>Students-125</t>
  </si>
  <si>
    <t>Track</t>
  </si>
  <si>
    <t>Room</t>
  </si>
  <si>
    <t>Zoom live</t>
  </si>
  <si>
    <t>Name</t>
  </si>
  <si>
    <t>Winner</t>
  </si>
  <si>
    <t>GLCR 160</t>
  </si>
  <si>
    <t>GLCR 155</t>
  </si>
  <si>
    <t>GLCR 150</t>
  </si>
  <si>
    <t>CEE</t>
  </si>
  <si>
    <t>GLCR 145</t>
  </si>
  <si>
    <t>CSE</t>
  </si>
  <si>
    <t>GLCR 140</t>
  </si>
  <si>
    <t>Award: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</si>
</sst>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9.0"/>
      <color rgb="FF000000"/>
      <name val="Arial"/>
    </font>
    <font>
      <sz val="9.0"/>
      <color rgb="FF000000"/>
      <name val="Arial"/>
    </font>
    <font>
      <sz val="9.0"/>
      <color theme="1"/>
      <name val="Arial"/>
    </font>
    <font>
      <color theme="1"/>
      <name val="Arial"/>
    </font>
    <font>
      <sz val="9.0"/>
      <color rgb="FFDAA9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DAA900"/>
        <bgColor rgb="FFDAA900"/>
      </patternFill>
    </fill>
    <fill>
      <patternFill patternType="solid">
        <fgColor rgb="FFF1C232"/>
        <bgColor rgb="FFF1C232"/>
      </patternFill>
    </fill>
    <fill>
      <patternFill patternType="solid">
        <fgColor rgb="FFFFE599"/>
        <bgColor rgb="FFFFE599"/>
      </patternFill>
    </fill>
    <fill>
      <patternFill patternType="solid">
        <fgColor rgb="FF0091B3"/>
        <bgColor rgb="FF0091B3"/>
      </patternFill>
    </fill>
    <fill>
      <patternFill patternType="solid">
        <fgColor rgb="FF002856"/>
        <bgColor rgb="FF002856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2" fontId="2" numFmtId="0" xfId="0" applyAlignment="1" applyFont="1">
      <alignment horizontal="left" readingOrder="0" shrinkToFit="0" vertical="center" wrapText="0"/>
    </xf>
    <xf borderId="0" fillId="3" fontId="1" numFmtId="0" xfId="0" applyAlignment="1" applyFill="1" applyFont="1">
      <alignment horizontal="left" shrinkToFit="0" vertical="center" wrapText="0"/>
    </xf>
    <xf borderId="0" fillId="3" fontId="1" numFmtId="0" xfId="0" applyAlignment="1" applyFont="1">
      <alignment horizontal="left" readingOrder="0" shrinkToFit="0" vertical="center" wrapText="0"/>
    </xf>
    <xf borderId="0" fillId="2" fontId="3" numFmtId="0" xfId="0" applyAlignment="1" applyFont="1">
      <alignment horizontal="left" shrinkToFit="0" vertical="center" wrapText="0"/>
    </xf>
    <xf borderId="0" fillId="2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4" fontId="3" numFmtId="0" xfId="0" applyAlignment="1" applyFill="1" applyFont="1">
      <alignment horizontal="left" shrinkToFit="0" vertical="center" wrapText="0"/>
    </xf>
    <xf borderId="0" fillId="5" fontId="3" numFmtId="0" xfId="0" applyAlignment="1" applyFill="1" applyFont="1">
      <alignment horizontal="left" readingOrder="0" shrinkToFit="0" vertical="center" wrapText="0"/>
    </xf>
    <xf borderId="0" fillId="5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6" fontId="3" numFmtId="0" xfId="0" applyAlignment="1" applyFill="1" applyFont="1">
      <alignment horizontal="left" shrinkToFit="0" vertical="center" wrapText="0"/>
    </xf>
    <xf borderId="0" fillId="7" fontId="3" numFmtId="0" xfId="0" applyAlignment="1" applyFill="1" applyFont="1">
      <alignment horizontal="left" shrinkToFit="0" vertical="center" wrapText="0"/>
    </xf>
    <xf borderId="0" fillId="7" fontId="3" numFmtId="0" xfId="0" applyAlignment="1" applyFont="1">
      <alignment horizontal="left" shrinkToFit="0" vertical="center" wrapText="0"/>
    </xf>
    <xf borderId="0" fillId="8" fontId="5" numFmtId="0" xfId="0" applyAlignment="1" applyFill="1" applyFont="1">
      <alignment horizontal="left" shrinkToFit="0" vertical="center" wrapText="0"/>
    </xf>
    <xf borderId="0" fillId="9" fontId="5" numFmtId="0" xfId="0" applyAlignment="1" applyFill="1" applyFont="1">
      <alignment horizontal="left" shrinkToFit="0" vertical="center" wrapText="0"/>
    </xf>
    <xf borderId="0" fillId="10" fontId="5" numFmtId="0" xfId="0" applyAlignment="1" applyFill="1" applyFont="1">
      <alignment horizontal="left" shrinkToFit="0" vertical="center" wrapText="0"/>
    </xf>
    <xf borderId="0" fillId="3" fontId="3" numFmtId="0" xfId="0" applyAlignment="1" applyFont="1">
      <alignment horizontal="left" shrinkToFit="0" vertical="center" wrapText="0"/>
    </xf>
    <xf borderId="0" fillId="0" fontId="4" numFmtId="0" xfId="0" applyAlignment="1" applyFont="1">
      <alignment horizontal="left" shrinkToFit="0" vertical="center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2" pivot="0" name="2026-I2G1-WEB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13:J26" displayName="Table_1" name="Table_1" id="1">
  <tableColumns count="1">
    <tableColumn name="Column1" id="1"/>
  </tableColumns>
  <tableStyleInfo name="2026-I2G1-WEB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6.75"/>
    <col customWidth="1" min="3" max="3" width="15.38"/>
    <col customWidth="1" min="4" max="4" width="5.75"/>
    <col customWidth="1" min="5" max="5" width="10.25"/>
    <col customWidth="1" min="6" max="6" width="14.25"/>
    <col customWidth="1" min="7" max="7" width="23.13"/>
    <col customWidth="1" min="8" max="8" width="16.5"/>
    <col customWidth="1" min="9" max="9" width="11.5"/>
    <col customWidth="1" min="10" max="10" width="22.88"/>
    <col customWidth="1" min="11" max="11" width="37.25"/>
    <col customWidth="1" min="12" max="12" width="92.75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8.75" customHeight="1">
      <c r="A2" s="2" t="s">
        <v>12</v>
      </c>
      <c r="B2" s="2"/>
      <c r="C2" s="2" t="s">
        <v>13</v>
      </c>
      <c r="D2" s="2" t="s">
        <v>14</v>
      </c>
      <c r="E2" s="2">
        <v>101.0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tr">
        <f t="shared" ref="L2:L26" si="1">"Team: " &amp; F2 &amp; "  -  Project: " &amp; G2</f>
        <v>Team: CAP-101  -  Project: ASHRAE HVAC Design Calculations</v>
      </c>
    </row>
    <row r="3" ht="18.75" customHeight="1">
      <c r="A3" s="2" t="s">
        <v>12</v>
      </c>
      <c r="B3" s="2"/>
      <c r="C3" s="2" t="s">
        <v>13</v>
      </c>
      <c r="D3" s="2" t="s">
        <v>14</v>
      </c>
      <c r="E3" s="2">
        <v>102.0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 t="str">
        <f t="shared" si="1"/>
        <v>Team: CAP-102  -  Project: Blanched Almond Optimization Project</v>
      </c>
    </row>
    <row r="4" ht="18.75" customHeight="1">
      <c r="A4" s="2" t="s">
        <v>12</v>
      </c>
      <c r="B4" s="2"/>
      <c r="C4" s="2" t="s">
        <v>13</v>
      </c>
      <c r="D4" s="2" t="s">
        <v>14</v>
      </c>
      <c r="E4" s="2">
        <v>103.0</v>
      </c>
      <c r="F4" s="2" t="s">
        <v>27</v>
      </c>
      <c r="G4" s="2" t="s">
        <v>28</v>
      </c>
      <c r="H4" s="2" t="s">
        <v>29</v>
      </c>
      <c r="I4" s="2" t="s">
        <v>24</v>
      </c>
      <c r="J4" s="2" t="s">
        <v>30</v>
      </c>
      <c r="K4" s="2" t="s">
        <v>31</v>
      </c>
      <c r="L4" s="2" t="str">
        <f t="shared" si="1"/>
        <v>Team: CAP-103  -  Project: Bagging Bags</v>
      </c>
    </row>
    <row r="5" ht="18.75" customHeight="1">
      <c r="A5" s="2" t="s">
        <v>12</v>
      </c>
      <c r="B5" s="2"/>
      <c r="C5" s="2" t="s">
        <v>13</v>
      </c>
      <c r="D5" s="2" t="s">
        <v>14</v>
      </c>
      <c r="E5" s="2">
        <v>104.0</v>
      </c>
      <c r="F5" s="2" t="s">
        <v>32</v>
      </c>
      <c r="G5" s="2" t="s">
        <v>33</v>
      </c>
      <c r="H5" s="2" t="s">
        <v>34</v>
      </c>
      <c r="I5" s="2" t="s">
        <v>35</v>
      </c>
      <c r="J5" s="2" t="s">
        <v>36</v>
      </c>
      <c r="K5" s="2" t="s">
        <v>37</v>
      </c>
      <c r="L5" s="2" t="str">
        <f t="shared" si="1"/>
        <v>Team: CAP-104  -  Project: Wheat Milling Smart Sensor System for Moisture and Foreign Material Detection</v>
      </c>
    </row>
    <row r="6" ht="18.75" customHeight="1">
      <c r="A6" s="2" t="s">
        <v>12</v>
      </c>
      <c r="B6" s="2"/>
      <c r="C6" s="2" t="s">
        <v>13</v>
      </c>
      <c r="D6" s="2" t="s">
        <v>14</v>
      </c>
      <c r="E6" s="2">
        <v>105.0</v>
      </c>
      <c r="F6" s="2" t="s">
        <v>38</v>
      </c>
      <c r="G6" s="2" t="s">
        <v>39</v>
      </c>
      <c r="H6" s="2" t="s">
        <v>40</v>
      </c>
      <c r="I6" s="2" t="s">
        <v>24</v>
      </c>
      <c r="J6" s="2" t="s">
        <v>41</v>
      </c>
      <c r="K6" s="2" t="s">
        <v>42</v>
      </c>
      <c r="L6" s="2" t="str">
        <f t="shared" si="1"/>
        <v>Team: CAP-105  -  Project: Mandarin Long Stem Solution</v>
      </c>
    </row>
    <row r="7" ht="18.75" customHeight="1">
      <c r="A7" s="2" t="s">
        <v>12</v>
      </c>
      <c r="B7" s="2"/>
      <c r="C7" s="2" t="s">
        <v>13</v>
      </c>
      <c r="D7" s="2" t="s">
        <v>14</v>
      </c>
      <c r="E7" s="2">
        <v>106.0</v>
      </c>
      <c r="F7" s="2" t="s">
        <v>43</v>
      </c>
      <c r="G7" s="2" t="s">
        <v>44</v>
      </c>
      <c r="H7" s="2" t="s">
        <v>45</v>
      </c>
      <c r="I7" s="2" t="s">
        <v>24</v>
      </c>
      <c r="J7" s="2" t="s">
        <v>46</v>
      </c>
      <c r="K7" s="2" t="s">
        <v>47</v>
      </c>
      <c r="L7" s="2" t="str">
        <f t="shared" si="1"/>
        <v>Team: CAP-106  -  Project: Capping Smart Bottle</v>
      </c>
    </row>
    <row r="8" ht="18.75" customHeight="1">
      <c r="A8" s="2" t="s">
        <v>12</v>
      </c>
      <c r="B8" s="2"/>
      <c r="C8" s="2" t="s">
        <v>13</v>
      </c>
      <c r="D8" s="2" t="s">
        <v>14</v>
      </c>
      <c r="E8" s="2">
        <v>107.0</v>
      </c>
      <c r="F8" s="2" t="s">
        <v>48</v>
      </c>
      <c r="G8" s="2" t="s">
        <v>49</v>
      </c>
      <c r="H8" s="2" t="s">
        <v>45</v>
      </c>
      <c r="I8" s="2" t="s">
        <v>24</v>
      </c>
      <c r="J8" s="2" t="s">
        <v>50</v>
      </c>
      <c r="K8" s="2" t="s">
        <v>51</v>
      </c>
      <c r="L8" s="2" t="str">
        <f t="shared" si="1"/>
        <v>Team: CAP-107  -  Project: Rotary Joint Testing System</v>
      </c>
    </row>
    <row r="9" ht="18.75" customHeight="1">
      <c r="A9" s="2" t="s">
        <v>12</v>
      </c>
      <c r="B9" s="2"/>
      <c r="C9" s="2" t="s">
        <v>13</v>
      </c>
      <c r="D9" s="2" t="s">
        <v>14</v>
      </c>
      <c r="E9" s="2">
        <v>108.0</v>
      </c>
      <c r="F9" s="2" t="s">
        <v>52</v>
      </c>
      <c r="G9" s="2" t="s">
        <v>53</v>
      </c>
      <c r="H9" s="2" t="s">
        <v>54</v>
      </c>
      <c r="I9" s="2" t="s">
        <v>35</v>
      </c>
      <c r="J9" s="2" t="s">
        <v>55</v>
      </c>
      <c r="K9" s="2" t="s">
        <v>56</v>
      </c>
      <c r="L9" s="2" t="str">
        <f t="shared" si="1"/>
        <v>Team: CAP-108  -  Project: Propane-Powered See-and-Flame Weed Control System for Organic Agave Using the Farm‑NG Amiga Platform</v>
      </c>
    </row>
    <row r="10" ht="18.75" customHeight="1">
      <c r="A10" s="2" t="s">
        <v>12</v>
      </c>
      <c r="B10" s="2"/>
      <c r="C10" s="2" t="s">
        <v>13</v>
      </c>
      <c r="D10" s="2" t="s">
        <v>14</v>
      </c>
      <c r="E10" s="2">
        <v>109.0</v>
      </c>
      <c r="F10" s="2" t="s">
        <v>57</v>
      </c>
      <c r="G10" s="2" t="s">
        <v>58</v>
      </c>
      <c r="H10" s="2" t="s">
        <v>59</v>
      </c>
      <c r="I10" s="2" t="s">
        <v>60</v>
      </c>
      <c r="J10" s="2" t="s">
        <v>61</v>
      </c>
      <c r="K10" s="2" t="s">
        <v>62</v>
      </c>
      <c r="L10" s="2" t="str">
        <f t="shared" si="1"/>
        <v>Team: CAP-109  -  Project: The Lift</v>
      </c>
    </row>
    <row r="11" ht="18.75" customHeight="1">
      <c r="A11" s="2" t="s">
        <v>12</v>
      </c>
      <c r="B11" s="2"/>
      <c r="C11" s="2" t="s">
        <v>13</v>
      </c>
      <c r="D11" s="2" t="s">
        <v>14</v>
      </c>
      <c r="E11" s="2">
        <v>110.0</v>
      </c>
      <c r="F11" s="2" t="s">
        <v>63</v>
      </c>
      <c r="G11" s="2" t="s">
        <v>64</v>
      </c>
      <c r="H11" s="2" t="s">
        <v>65</v>
      </c>
      <c r="I11" s="2" t="s">
        <v>35</v>
      </c>
      <c r="J11" s="2" t="s">
        <v>66</v>
      </c>
      <c r="K11" s="2" t="s">
        <v>67</v>
      </c>
      <c r="L11" s="2" t="str">
        <f t="shared" si="1"/>
        <v>Team: CAP-110  -  Project: Robotic Leaf Clip Sensor</v>
      </c>
    </row>
    <row r="12" ht="18.75" customHeight="1">
      <c r="A12" s="2" t="s">
        <v>12</v>
      </c>
      <c r="B12" s="2"/>
      <c r="C12" s="2" t="s">
        <v>13</v>
      </c>
      <c r="D12" s="2" t="s">
        <v>14</v>
      </c>
      <c r="E12" s="2">
        <v>111.0</v>
      </c>
      <c r="F12" s="2" t="s">
        <v>68</v>
      </c>
      <c r="G12" s="2" t="s">
        <v>69</v>
      </c>
      <c r="H12" s="2" t="s">
        <v>70</v>
      </c>
      <c r="I12" s="2" t="s">
        <v>71</v>
      </c>
      <c r="J12" s="2" t="s">
        <v>72</v>
      </c>
      <c r="K12" s="2" t="s">
        <v>73</v>
      </c>
      <c r="L12" s="2" t="str">
        <f t="shared" si="1"/>
        <v>Team: CAP-111  -  Project: In-Air Drop Encapsulation Apparatus - "Shower-Head" Development</v>
      </c>
    </row>
    <row r="13" ht="18.75" customHeight="1">
      <c r="A13" s="2" t="s">
        <v>12</v>
      </c>
      <c r="B13" s="2"/>
      <c r="C13" s="2" t="s">
        <v>13</v>
      </c>
      <c r="D13" s="2" t="s">
        <v>14</v>
      </c>
      <c r="E13" s="2">
        <v>112.0</v>
      </c>
      <c r="F13" s="2" t="s">
        <v>74</v>
      </c>
      <c r="G13" s="2" t="s">
        <v>69</v>
      </c>
      <c r="H13" s="2" t="s">
        <v>70</v>
      </c>
      <c r="I13" s="2" t="s">
        <v>71</v>
      </c>
      <c r="J13" s="2" t="s">
        <v>75</v>
      </c>
      <c r="K13" s="2" t="s">
        <v>76</v>
      </c>
      <c r="L13" s="2" t="str">
        <f t="shared" si="1"/>
        <v>Team: CAP-112  -  Project: In-Air Drop Encapsulation Apparatus - "Shower-Head" Development</v>
      </c>
    </row>
    <row r="14" ht="18.75" customHeight="1">
      <c r="A14" s="2" t="s">
        <v>12</v>
      </c>
      <c r="B14" s="2"/>
      <c r="C14" s="2" t="s">
        <v>13</v>
      </c>
      <c r="D14" s="2" t="s">
        <v>14</v>
      </c>
      <c r="E14" s="2">
        <v>113.0</v>
      </c>
      <c r="F14" s="2" t="s">
        <v>77</v>
      </c>
      <c r="G14" s="2" t="s">
        <v>78</v>
      </c>
      <c r="H14" s="2" t="s">
        <v>79</v>
      </c>
      <c r="I14" s="2" t="s">
        <v>24</v>
      </c>
      <c r="J14" s="2" t="s">
        <v>80</v>
      </c>
      <c r="K14" s="2" t="s">
        <v>81</v>
      </c>
      <c r="L14" s="2" t="str">
        <f t="shared" si="1"/>
        <v>Team: CAP-113  -  Project: Full Bottle Orientation</v>
      </c>
    </row>
    <row r="15" ht="18.75" customHeight="1">
      <c r="A15" s="2" t="s">
        <v>12</v>
      </c>
      <c r="B15" s="2"/>
      <c r="C15" s="2" t="s">
        <v>13</v>
      </c>
      <c r="D15" s="2" t="s">
        <v>14</v>
      </c>
      <c r="E15" s="2">
        <v>114.0</v>
      </c>
      <c r="F15" s="2" t="s">
        <v>82</v>
      </c>
      <c r="G15" s="2" t="s">
        <v>83</v>
      </c>
      <c r="H15" s="2" t="s">
        <v>84</v>
      </c>
      <c r="I15" s="2" t="s">
        <v>60</v>
      </c>
      <c r="J15" s="2" t="s">
        <v>85</v>
      </c>
      <c r="K15" s="2" t="s">
        <v>86</v>
      </c>
      <c r="L15" s="2" t="str">
        <f t="shared" si="1"/>
        <v>Team: CAP-114  -  Project: Spinal Mapping Diagnosis</v>
      </c>
    </row>
    <row r="16" ht="18.75" customHeight="1">
      <c r="A16" s="2" t="s">
        <v>12</v>
      </c>
      <c r="B16" s="2"/>
      <c r="C16" s="2" t="s">
        <v>13</v>
      </c>
      <c r="D16" s="2" t="s">
        <v>14</v>
      </c>
      <c r="E16" s="2">
        <v>115.0</v>
      </c>
      <c r="F16" s="2" t="s">
        <v>87</v>
      </c>
      <c r="G16" s="2" t="s">
        <v>88</v>
      </c>
      <c r="H16" s="2" t="s">
        <v>84</v>
      </c>
      <c r="I16" s="2" t="s">
        <v>60</v>
      </c>
      <c r="J16" s="2" t="s">
        <v>89</v>
      </c>
      <c r="K16" s="2" t="s">
        <v>90</v>
      </c>
      <c r="L16" s="2" t="str">
        <f t="shared" si="1"/>
        <v>Team: CAP-115  -  Project: AutoSpinal Insertor</v>
      </c>
    </row>
    <row r="17" ht="18.75" customHeight="1">
      <c r="A17" s="2" t="s">
        <v>12</v>
      </c>
      <c r="B17" s="2"/>
      <c r="C17" s="2" t="s">
        <v>13</v>
      </c>
      <c r="D17" s="2" t="s">
        <v>14</v>
      </c>
      <c r="E17" s="2">
        <v>116.0</v>
      </c>
      <c r="F17" s="2" t="s">
        <v>91</v>
      </c>
      <c r="G17" s="2" t="s">
        <v>92</v>
      </c>
      <c r="H17" s="2" t="s">
        <v>93</v>
      </c>
      <c r="I17" s="2" t="s">
        <v>24</v>
      </c>
      <c r="J17" s="2" t="s">
        <v>94</v>
      </c>
      <c r="K17" s="2" t="s">
        <v>95</v>
      </c>
      <c r="L17" s="2" t="str">
        <f t="shared" si="1"/>
        <v>Team: CAP-116  -  Project: Transplanter Simulator  to coach New Operators</v>
      </c>
    </row>
    <row r="18" ht="18.75" customHeight="1">
      <c r="A18" s="2" t="s">
        <v>12</v>
      </c>
      <c r="B18" s="2"/>
      <c r="C18" s="2" t="s">
        <v>13</v>
      </c>
      <c r="D18" s="2" t="s">
        <v>14</v>
      </c>
      <c r="E18" s="2">
        <v>117.0</v>
      </c>
      <c r="F18" s="2" t="s">
        <v>96</v>
      </c>
      <c r="G18" s="2" t="s">
        <v>97</v>
      </c>
      <c r="H18" s="2" t="s">
        <v>98</v>
      </c>
      <c r="I18" s="2" t="s">
        <v>99</v>
      </c>
      <c r="J18" s="2" t="s">
        <v>100</v>
      </c>
      <c r="K18" s="2" t="s">
        <v>101</v>
      </c>
      <c r="L18" s="2" t="str">
        <f t="shared" si="1"/>
        <v>Team: CAP-117  -  Project: Battery Workforce Challenge - Phase 3</v>
      </c>
    </row>
    <row r="19" ht="18.75" customHeight="1">
      <c r="A19" s="2" t="s">
        <v>12</v>
      </c>
      <c r="B19" s="2"/>
      <c r="C19" s="2" t="s">
        <v>13</v>
      </c>
      <c r="D19" s="2" t="s">
        <v>14</v>
      </c>
      <c r="E19" s="2">
        <v>118.0</v>
      </c>
      <c r="F19" s="2" t="s">
        <v>102</v>
      </c>
      <c r="G19" s="2" t="s">
        <v>103</v>
      </c>
      <c r="H19" s="2" t="s">
        <v>104</v>
      </c>
      <c r="I19" s="2" t="s">
        <v>35</v>
      </c>
      <c r="J19" s="2" t="s">
        <v>105</v>
      </c>
      <c r="K19" s="2" t="s">
        <v>106</v>
      </c>
      <c r="L19" s="2" t="str">
        <f t="shared" si="1"/>
        <v>Team: CAP-118  -  Project: High-Resolution Sensing Platform Using the Farm‑NG Amiga Robot</v>
      </c>
    </row>
    <row r="20" ht="18.75" customHeight="1">
      <c r="A20" s="2" t="s">
        <v>12</v>
      </c>
      <c r="B20" s="2"/>
      <c r="C20" s="2" t="s">
        <v>13</v>
      </c>
      <c r="D20" s="2" t="s">
        <v>14</v>
      </c>
      <c r="E20" s="2">
        <v>119.0</v>
      </c>
      <c r="F20" s="2" t="s">
        <v>107</v>
      </c>
      <c r="G20" s="2" t="s">
        <v>108</v>
      </c>
      <c r="H20" s="2" t="s">
        <v>109</v>
      </c>
      <c r="I20" s="2" t="s">
        <v>35</v>
      </c>
      <c r="J20" s="2" t="s">
        <v>110</v>
      </c>
      <c r="K20" s="2" t="s">
        <v>111</v>
      </c>
      <c r="L20" s="2" t="str">
        <f t="shared" si="1"/>
        <v>Team: CAP-119  -  Project: On Farm Crop Cooling Solution for Small Farmers</v>
      </c>
    </row>
    <row r="21" ht="18.75" customHeight="1">
      <c r="A21" s="2" t="s">
        <v>12</v>
      </c>
      <c r="B21" s="2"/>
      <c r="C21" s="2" t="s">
        <v>13</v>
      </c>
      <c r="D21" s="2" t="s">
        <v>14</v>
      </c>
      <c r="E21" s="2">
        <v>120.0</v>
      </c>
      <c r="F21" s="2" t="s">
        <v>112</v>
      </c>
      <c r="G21" s="2" t="s">
        <v>113</v>
      </c>
      <c r="H21" s="2" t="s">
        <v>114</v>
      </c>
      <c r="I21" s="2" t="s">
        <v>115</v>
      </c>
      <c r="J21" s="2" t="s">
        <v>116</v>
      </c>
      <c r="K21" s="2" t="s">
        <v>117</v>
      </c>
      <c r="L21" s="2" t="str">
        <f t="shared" si="1"/>
        <v>Team: CAP-120  -  Project: Low-cost groundwater level/quality monitoring system</v>
      </c>
    </row>
    <row r="22" ht="18.75" customHeight="1">
      <c r="A22" s="2" t="s">
        <v>12</v>
      </c>
      <c r="B22" s="2"/>
      <c r="C22" s="2" t="s">
        <v>13</v>
      </c>
      <c r="D22" s="2" t="s">
        <v>14</v>
      </c>
      <c r="E22" s="2">
        <v>121.0</v>
      </c>
      <c r="F22" s="2" t="s">
        <v>118</v>
      </c>
      <c r="G22" s="2" t="s">
        <v>119</v>
      </c>
      <c r="H22" s="2" t="s">
        <v>120</v>
      </c>
      <c r="I22" s="2" t="s">
        <v>121</v>
      </c>
      <c r="J22" s="2" t="s">
        <v>122</v>
      </c>
      <c r="K22" s="2" t="s">
        <v>123</v>
      </c>
      <c r="L22" s="2" t="str">
        <f t="shared" si="1"/>
        <v>Team: CAP-121  -  Project: Distributed-Flapping Wing with Glide-Lock Mechanism</v>
      </c>
    </row>
    <row r="23" ht="18.75" customHeight="1">
      <c r="A23" s="2" t="s">
        <v>12</v>
      </c>
      <c r="B23" s="2"/>
      <c r="C23" s="2" t="s">
        <v>13</v>
      </c>
      <c r="D23" s="2" t="s">
        <v>14</v>
      </c>
      <c r="E23" s="2">
        <v>122.0</v>
      </c>
      <c r="F23" s="2" t="s">
        <v>124</v>
      </c>
      <c r="G23" s="2" t="s">
        <v>125</v>
      </c>
      <c r="H23" s="2" t="s">
        <v>126</v>
      </c>
      <c r="I23" s="2" t="s">
        <v>127</v>
      </c>
      <c r="J23" s="2" t="s">
        <v>128</v>
      </c>
      <c r="K23" s="2" t="s">
        <v>129</v>
      </c>
      <c r="L23" s="2" t="str">
        <f t="shared" si="1"/>
        <v>Team: CAP-122  -  Project: Smart Oxygen Delivery System: A Closed-Loop Oxygen Concentrator Controlled by Pulse Oximeter Feedback</v>
      </c>
    </row>
    <row r="24" ht="18.75" customHeight="1">
      <c r="A24" s="2" t="s">
        <v>12</v>
      </c>
      <c r="B24" s="2"/>
      <c r="C24" s="2" t="s">
        <v>13</v>
      </c>
      <c r="D24" s="2" t="s">
        <v>14</v>
      </c>
      <c r="E24" s="2">
        <v>123.0</v>
      </c>
      <c r="F24" s="2" t="s">
        <v>130</v>
      </c>
      <c r="G24" s="2" t="s">
        <v>131</v>
      </c>
      <c r="H24" s="2" t="s">
        <v>126</v>
      </c>
      <c r="I24" s="2" t="s">
        <v>127</v>
      </c>
      <c r="J24" s="2" t="s">
        <v>132</v>
      </c>
      <c r="K24" s="2" t="s">
        <v>133</v>
      </c>
      <c r="L24" s="2" t="str">
        <f t="shared" si="1"/>
        <v>Team: CAP-123  -  Project: Aortic Simulator for Hemodynamic Studies</v>
      </c>
    </row>
    <row r="25" ht="18.75" customHeight="1">
      <c r="A25" s="2" t="s">
        <v>12</v>
      </c>
      <c r="B25" s="2"/>
      <c r="C25" s="2" t="s">
        <v>13</v>
      </c>
      <c r="D25" s="2" t="s">
        <v>14</v>
      </c>
      <c r="E25" s="2">
        <v>124.0</v>
      </c>
      <c r="F25" s="2" t="s">
        <v>134</v>
      </c>
      <c r="G25" s="2" t="s">
        <v>131</v>
      </c>
      <c r="H25" s="2" t="s">
        <v>126</v>
      </c>
      <c r="I25" s="2" t="s">
        <v>127</v>
      </c>
      <c r="J25" s="2" t="s">
        <v>135</v>
      </c>
      <c r="K25" s="2" t="s">
        <v>136</v>
      </c>
      <c r="L25" s="2" t="str">
        <f t="shared" si="1"/>
        <v>Team: CAP-124  -  Project: Aortic Simulator for Hemodynamic Studies</v>
      </c>
    </row>
    <row r="26" ht="18.75" customHeight="1">
      <c r="A26" s="2" t="s">
        <v>12</v>
      </c>
      <c r="B26" s="2"/>
      <c r="C26" s="2" t="s">
        <v>13</v>
      </c>
      <c r="D26" s="2" t="s">
        <v>14</v>
      </c>
      <c r="E26" s="2">
        <v>125.0</v>
      </c>
      <c r="F26" s="2" t="s">
        <v>137</v>
      </c>
      <c r="G26" s="2" t="s">
        <v>138</v>
      </c>
      <c r="H26" s="2" t="s">
        <v>126</v>
      </c>
      <c r="I26" s="2" t="s">
        <v>127</v>
      </c>
      <c r="J26" s="2" t="s">
        <v>139</v>
      </c>
      <c r="K26" s="2" t="s">
        <v>140</v>
      </c>
      <c r="L26" s="2" t="str">
        <f t="shared" si="1"/>
        <v>Team: CAP-125  -  Project: Quality control and quantitative characterization of drug delivery vesicles and synthetic cells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0"/>
    <col customWidth="1" min="3" max="3" width="3.5"/>
    <col customWidth="1" min="4" max="4" width="6.88"/>
    <col customWidth="1" min="5" max="5" width="25.75"/>
    <col customWidth="1" min="7" max="7" width="23.63"/>
  </cols>
  <sheetData>
    <row r="1" ht="22.5" customHeight="1">
      <c r="A1" s="3" t="s">
        <v>141</v>
      </c>
      <c r="B1" s="3" t="s">
        <v>142</v>
      </c>
      <c r="C1" s="3" t="s">
        <v>143</v>
      </c>
      <c r="D1" s="3" t="s">
        <v>3</v>
      </c>
      <c r="E1" s="4" t="s">
        <v>144</v>
      </c>
      <c r="F1" s="3" t="s">
        <v>0</v>
      </c>
      <c r="G1" s="3" t="s">
        <v>145</v>
      </c>
    </row>
    <row r="2" ht="22.5" customHeight="1">
      <c r="A2" s="5">
        <v>1.0</v>
      </c>
      <c r="B2" s="6" t="s">
        <v>146</v>
      </c>
      <c r="C2" s="7"/>
      <c r="D2" s="8" t="s">
        <v>14</v>
      </c>
      <c r="E2" s="9"/>
      <c r="F2" s="10"/>
      <c r="G2" s="11"/>
    </row>
    <row r="3" ht="22.5" customHeight="1">
      <c r="A3" s="5">
        <v>2.0</v>
      </c>
      <c r="B3" s="6" t="s">
        <v>147</v>
      </c>
      <c r="C3" s="7"/>
      <c r="D3" s="8" t="s">
        <v>14</v>
      </c>
      <c r="E3" s="12"/>
      <c r="F3" s="12"/>
      <c r="G3" s="11"/>
    </row>
    <row r="4" ht="22.5" customHeight="1">
      <c r="A4" s="5">
        <v>3.0</v>
      </c>
      <c r="B4" s="6" t="s">
        <v>148</v>
      </c>
      <c r="C4" s="7"/>
      <c r="D4" s="13" t="s">
        <v>149</v>
      </c>
      <c r="E4" s="14"/>
      <c r="F4" s="14"/>
      <c r="G4" s="11"/>
    </row>
    <row r="5" ht="22.5" customHeight="1">
      <c r="A5" s="5">
        <v>4.0</v>
      </c>
      <c r="B5" s="6" t="s">
        <v>150</v>
      </c>
      <c r="C5" s="7"/>
      <c r="D5" s="15" t="s">
        <v>151</v>
      </c>
      <c r="E5" s="16"/>
      <c r="F5" s="16"/>
      <c r="G5" s="11"/>
    </row>
    <row r="6" ht="22.5" customHeight="1">
      <c r="A6" s="5">
        <v>5.0</v>
      </c>
      <c r="B6" s="6" t="s">
        <v>152</v>
      </c>
      <c r="C6" s="7"/>
      <c r="D6" s="15" t="s">
        <v>151</v>
      </c>
      <c r="E6" s="17"/>
      <c r="F6" s="17"/>
      <c r="G6" s="11"/>
    </row>
    <row r="7" ht="22.5" customHeight="1">
      <c r="A7" s="18"/>
      <c r="B7" s="18"/>
      <c r="C7" s="18"/>
      <c r="D7" s="18"/>
      <c r="E7" s="18"/>
      <c r="F7" s="18"/>
      <c r="G7" s="18"/>
    </row>
    <row r="8" ht="22.5" customHeight="1">
      <c r="A8" s="11" t="s">
        <v>153</v>
      </c>
      <c r="B8" s="19"/>
      <c r="C8" s="19"/>
      <c r="D8" s="8" t="s">
        <v>14</v>
      </c>
      <c r="E8" s="11"/>
      <c r="F8" s="19"/>
      <c r="G8" s="11"/>
    </row>
    <row r="9" ht="22.5" customHeight="1">
      <c r="A9" s="11" t="s">
        <v>153</v>
      </c>
      <c r="B9" s="19"/>
      <c r="C9" s="19"/>
      <c r="D9" s="15" t="s">
        <v>151</v>
      </c>
      <c r="E9" s="11"/>
      <c r="F9" s="19"/>
      <c r="G9" s="11"/>
    </row>
    <row r="10" ht="22.5" customHeight="1">
      <c r="A10" s="18"/>
      <c r="B10" s="18"/>
      <c r="C10" s="18"/>
      <c r="D10" s="18"/>
      <c r="E10" s="18"/>
      <c r="F10" s="18"/>
      <c r="G10" s="18"/>
    </row>
  </sheetData>
  <drawing r:id="rId1"/>
</worksheet>
</file>