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4-01-Spring-I2G-WEB" sheetId="1" r:id="rId5"/>
    <sheet state="visible" name="2024-01-Spring-I2G-STUDENTS" sheetId="2" r:id="rId6"/>
    <sheet state="visible" name="PARTNERS + SPONSORS" sheetId="3" r:id="rId7"/>
  </sheets>
  <definedNames/>
  <calcPr/>
</workbook>
</file>

<file path=xl/sharedStrings.xml><?xml version="1.0" encoding="utf-8"?>
<sst xmlns="http://schemas.openxmlformats.org/spreadsheetml/2006/main" count="853" uniqueCount="475">
  <si>
    <t>Track</t>
  </si>
  <si>
    <t>Order</t>
  </si>
  <si>
    <t>Year-Semester</t>
  </si>
  <si>
    <t>Class</t>
  </si>
  <si>
    <t>Team#</t>
  </si>
  <si>
    <t>Team Name</t>
  </si>
  <si>
    <t>Project Title</t>
  </si>
  <si>
    <t>Organization</t>
  </si>
  <si>
    <t>Industry</t>
  </si>
  <si>
    <t>Abstract</t>
  </si>
  <si>
    <t>Student Names</t>
  </si>
  <si>
    <t xml:space="preserve">Name: - Title: </t>
  </si>
  <si>
    <t>2024-01-Spring-CAP</t>
  </si>
  <si>
    <t>CAP</t>
  </si>
  <si>
    <t>ESG (ElectroSpinning Group)</t>
  </si>
  <si>
    <t>Electrospinning</t>
  </si>
  <si>
    <t>UC Merced</t>
  </si>
  <si>
    <t>Materials</t>
  </si>
  <si>
    <t xml:space="preserve">UC Merced will open a Chemical Engineering Department in the near future with Dr. Kara McCloskey in charge of CHemE department. She has tasked our group with making an electrospinner that contains a flat plate and a mandrel to use in future CHemE labs. Electrospinning is an essential process for lab experiments since it creates fibers that are less than one micrometer in diameter. The spun fibers can be bound with cells or any other elements in the development of medical technologies. Before creating a design from scratch, our team conducted extensive research on the different design approaches followed by manufacturers of electrospinners. Our design incorporates all the required components requested by the client and consists of a base collector that supports both the flat and mandrel collection plate. We also have acquired a syringe pump and a high voltage power supply (kV) which connects the entire system together and makes it operational. Our design is capable of spinning the required fibers under prescribed rotational speed, polymer and solvent mixture, distance between syringe and base collector, and applied voltage. </t>
  </si>
  <si>
    <t>Allen Nicasio, Joshua Ancheta, Juan Hernandez, Viridiana Moreno</t>
  </si>
  <si>
    <t>SolarSizzle</t>
  </si>
  <si>
    <t>3D Printing Funnel CPC Blocks 2-Set for Thru-Reflector-Wall (TRW) Solar Cooker-Kitchens</t>
  </si>
  <si>
    <t>Joel H. Goodman</t>
  </si>
  <si>
    <t>Other</t>
  </si>
  <si>
    <t>Joel H. Goodman is a retired professor of architecture who noted inefficient and unsustainable cooking methods in rural communities. Motivated by bridging the gap between sustainable living and underdeveloped communities, Joel began developing the idea of a reflective solar cooker. To bring forth Joel’s vision, we were tasked with designing a solar cooker to be  permanently integrated into a building and able to direct variable sun rays towards the cooking surface with its funnel-like shape. Through the use of both a fixed mirror reflector attached above the funnel structure and an adjustable East-West portable reflector, the cooker can be adjusted to the Sun. Focusing on tropical and subtropical communities, our design is innovative as it can accommodate cooking through multiple times of day while being durable enough to withstand the region's various seasons. This solar cooker design gives rural communities a reliable method of cooking while decreasing the carbon footprint of traditional methods.</t>
  </si>
  <si>
    <t>Daniel Christian Abrenica, Ruth Agorrilla, Santiago Garcia, Ukamaka Ezimora</t>
  </si>
  <si>
    <t>The Morning Stars</t>
  </si>
  <si>
    <t>Drum Pallet Sorting and Dispensing</t>
  </si>
  <si>
    <t>The Morning Star Company</t>
  </si>
  <si>
    <t>Food Processing</t>
  </si>
  <si>
    <t>In collaboration with Morning Star, California's largest tomato product processor, our team aimed to boost warehouse efficiency and safety. The existing system's frequent path collisions and the manual labor needed to move drums to pallets compromised both safety and throughput. We designed a system featuring pallet dispensers, a conveyor, and a camera system that allows operators to sort pallets and streamline barrel placement. Enhanced by real-time visual feedback and a programmable logic controller (PLC), this robust design is expected to significantly enhance productivity and workflow efficiency, aligning with Morning Star’s commitment to safety. Once implemented, it will help manage 10% of the world’s processed tomato products.</t>
  </si>
  <si>
    <t>David Millet, Maximo Zendejas, Ragav Mohan, Rafael Valencia</t>
  </si>
  <si>
    <t>Team HVAC</t>
  </si>
  <si>
    <t>HVAC Design</t>
  </si>
  <si>
    <t>UC Merced Facilities Management - ASHRAE</t>
  </si>
  <si>
    <t>Energy</t>
  </si>
  <si>
    <t>Our project task was to perform heating and cooling load calculations and select an HVAC system for a four story library in São Paulo, Brazil, for the ASHRAE student design competition. To accomplish our task, we examined the building's envelope and construction, created thermal zone plans, used energy modeling software to produce heating and cooling load calculations, and designed the HVAC and ductwork systems.</t>
  </si>
  <si>
    <t>Carlo Camello, Edwards Castro, Nahun Hernandez, Nicholas Nunez</t>
  </si>
  <si>
    <t>Fantastic Plastic</t>
  </si>
  <si>
    <t>3D Printed swag used to give out on Bobcat Day for outreaching and engagement purposes</t>
  </si>
  <si>
    <t>The Materials Science and Engineering (MSE) major is a very small but distinguished part of the School of Engineering at the University of California, Merced. UC Merced wants to increase enrollment for the Materials Science department as well as bring about awareness for how MSE impacts the engineering world. Christopher Viney, a professor and former chair of the MSE department, proposed to fabricate physical incentives to encourage incoming UC Merced students to enroll into the MSE major. This idea led to the creation of credit-card sized tripods to be passed out as department merch to the students during Bobcat Day, a day dedicated to showcasing what UC Merced has to offer to incoming students. The credit-card sized tripod was designed for photo taking on-the-go and is meant to be carried around in your wallet. Our team is made up of students in different engineering disciplines, with various engineering skills, where our different strengths were used to design and create a unique and creative prototype. These skills included, but were not limited to, designing specific components using computer-aided design programs and performing materials selection processes. The final design was chosen under the constraints of withstanding extreme heat, bending, and load bearing. Streamline 3D, a local additive manufacturing company in Fresno, printed the various prototypes which completed the last step in our design process. One hundred units were handed out and surveyed by incoming students. Feedback was collected to further improve the credit-card sized tripod in its functionality and usability. The data collected will be utilized by following capstone teams to create the best design possible for future Bobcat Days.</t>
  </si>
  <si>
    <t>Gen Duenas, Jaeden Pulanco, Michael Millan Amaro, Simon Shinozaki</t>
  </si>
  <si>
    <t>CNC (Carbon Negative Cotton)</t>
  </si>
  <si>
    <t>Carbon Negative Cotton Planter</t>
  </si>
  <si>
    <t>UmidaAg</t>
  </si>
  <si>
    <t>Agriculture</t>
  </si>
  <si>
    <t>Umida Ag is an agricultural/irrigation company whose focus is to reduce the amount of water used in transpiration in modern agricultural practices. This project's main focus is to reduce the amount of carbon emissions and water used in planting. The goal is to supply cotton that has released fewer carbon emissions, thus leading to carbon-negative garments. In an effort to decarbonize the world, we created an auger that specifically penetrates the soil compaction layer, as opposed to a traditional till penetrating the entire field. The device is used in conjunction with the virtual water table irrigation system to reduce water and energy consumption in cotton production by 80%. After the soil is penetrated, a hopper refills the hole with soil while dispensing seeds to keep carbon inside the soil, therefore rebuilding healthy soil ideal for farming. This innovative prototype is a significant step into achieving carbon-negative cotton production.</t>
  </si>
  <si>
    <t>Alejandro Hernandez-Ramirez, Lina B-Hernandez, Ricardo Victorio Felix, Steven Silva</t>
  </si>
  <si>
    <t>Urine Harvesters Collective</t>
  </si>
  <si>
    <t>Urine Collection for Agricultural Fertilizer Use</t>
  </si>
  <si>
    <t>UmidaAg based in Fresno, California is an irrigation company, striving for zero carbon production crops. Their objectives include manufacturing, selling, and installing virtual water table irrigation systems for crops. The goals are to reduce carbon inputs on cotton production and decrease limited resource usage. The problem is that synthetic fertilizer emits vast amounts of carbon. The solution is to find a source of natural fertilizer, and the idea is to use human urine as fertilizer for cotton plants. Due to urine’s nutritional properties, it’s a good synthetic fertilizer substitute. Our team designed a collection system that can transport urine from portable and custom-made urinals into a storage system for accessibility. The system has a notification system to notify the user when it is time for the collection to avoid spillage, and it is intended for plumbing/waste disposal companies in outdoor events while reducing disposal cost and human waste pollution. Carbon Negative T-shirts are the end goal for the design, and the urine collection design is important in fighting climate change to offset carbon which secures a better future for generations.</t>
  </si>
  <si>
    <t>Karson Chu, Mark Kim, Nicholas Anggriani, Serjio Orozco-Rivera</t>
  </si>
  <si>
    <t>Acousticops</t>
  </si>
  <si>
    <t>Vent Structure Sound Attenuation</t>
  </si>
  <si>
    <t>BART</t>
  </si>
  <si>
    <t>Transportation</t>
  </si>
  <si>
    <t>The Bay Area Rapid Transit (BART) system serves as a crucial heavy rail public transit network connecting California's Bay Area. Vent structures situated on the surface are imperative for expelling air and controlling the tunnel environment of underground rail alignments through fan operation to supply or exhaust air. However, the noise generated by the expulsion of air poses a notable disturbance to nearby residential areas. To mitigate this issue while preserving optimal airflow, our proposal entailed a practical construction solution atop the existing structure, incorporating sound-absorbing concrete engineered to diminish noise levels in alignment with predominant frequencies emitted at the site. Furthermore, we advocated for the deployment of acoustic louvers to supplement noise mitigation efforts without compromising airflow rates. This integrated approach aimed to enhance the environmental sustainability and community livability surrounding BART infrastructure. Additionally, the project enabled BART to develop a straightforward capital construction contract for pilot testing and future installation.</t>
  </si>
  <si>
    <t>Brinda Pandi, Elijah Lopez, Omar Estrada Marquez, Samuel Simoes</t>
  </si>
  <si>
    <t>Hushrail Technologies</t>
  </si>
  <si>
    <t>Tunnel Sound Attenuation</t>
  </si>
  <si>
    <t>Bay Area Rapid Transit (BART) is a public transportation system that connects the San Francisco Peninsula to the East Bay and South Bay through 50 stations across six routes. During revenue operating hours, there are a few sections of the circuit where an audible screech can be heard. Our group was tasked with finding a solution to reduce the noise and make the commuting experience more pleasant. Our team of engineers developed a solution consisting of a combined train skirt and ring damper. With this design our team focused on modeling the skirt for the train, using Matlab to simulate the sound attenuated by our design; proving the skirt was viable as a means of reducing the noise passengers experienced.</t>
  </si>
  <si>
    <t>Daniel Suriano Quiroa, Esai Lucatero, Erick Torres, Leonardo Lujan</t>
  </si>
  <si>
    <t>H2O Efficiency Team</t>
  </si>
  <si>
    <t>BART Train Washer Efficiency</t>
  </si>
  <si>
    <t>This project addresses an issue with the water efficiency of the Bay Area Rapid Transit (BART) train washing system. BART aims to decrease water loss in the system by at least 10%. Currently, although 90% of the water used is recollected, approximately 10.4 gallons are still lost per train car washed. The main source of water loss occurs when the wet trains exit the area with recollection reservoirs, leading to water remaining on the trains being lost. As a result, BART tasked us with developing a solution to enhance water recollection or reduce water usage in the system. Our team devised a design to tackle this challenge: a frame equipped with squeegees intended to push water off the train cars while they are still within the area containing water recollection reservoirs. This design incorporates a torsional spring mechanism to apply suitable pressure, ensuring efficient water removal from the tops of the trains where water tends to accumulate. Importantly, this mechanism was designed not to damage the trains or disrupt the cleaning rate of the system. Through small-scale testing, we confirmed the effectiveness of this solution in addressing the water loss issue.</t>
  </si>
  <si>
    <t>Andres Aguilar, Jason Baltazar, Jeremy Dominguez, Ronaldo Maldonado</t>
  </si>
  <si>
    <t>Fiber Force</t>
  </si>
  <si>
    <t>Warped Fiber Straightening Tool</t>
  </si>
  <si>
    <t>E&amp;J Gallo Winery</t>
  </si>
  <si>
    <t>E. &amp; J. Gallo Winery, a global leader in the wine industry, has taken charge of much of its production, from wine cultivation to shipping to the nearest supermarket. However, due to some outsourcing, problems have arisen, particularly regarding the deformation of cardboard from various structural and thermal standpoints. In response, our team was tasked with designing and creating a machine capable of fixing both types of deformations. The machine we developed is a combination of a heat press and an industrial roller, designed to be durable, transportable, efficient, safe, and ergonomic. With this innovative piece of machinery, our company will be able to reduce waste of unusable fiber (cardboard) and reallocate those savings to other departments.</t>
  </si>
  <si>
    <t>Angelica Uvalle, Jose Saenz-Dominguez, Katherine Ng, Ryan Atapattu</t>
  </si>
  <si>
    <t>Valve Precision Team</t>
  </si>
  <si>
    <t>Test Stand for Filler Valves</t>
  </si>
  <si>
    <t>E&amp;J Gallo Winery is a winery and distributor headquartered in Modesto, California. Mechanics internally rebuild filler valve assemblies which are installed on line 2/93, a machine that fills wine bottles. For most of the filler valve assemblies, the mechanics do not know if the component was rebuilt successfully until it is installed on the line, which could be several months after the mechanics engage with it. Our team was tasked with creating a test stand that could determine if the filler valves assembly were rebuilt correctly offline. Our team designed a test stand that can support the weight of the filler valve assembly, and is ready to be utilized with the manufacturer's programming when received. Using this design, the mechanics will be able to test the operation of the filler valve assembly without installing it on line 2/93.</t>
  </si>
  <si>
    <t>Alan Ramirez, Jayesh Prakash, Josue Rivas, Ramon Vargas</t>
  </si>
  <si>
    <t>CAP 113</t>
  </si>
  <si>
    <t>Pkg 4 - Spillage</t>
  </si>
  <si>
    <t>OFI</t>
  </si>
  <si>
    <t>OFI, an almond company based in Hughson, CA, specializes in the production and distribution of almonds to various retail outlets. The company has encountered an issue during the packaging process where there is a spillage occurring between the funnel and claw machinery. To address this challenge, we developed a prototype 3D printed funnel designed to mitigate almond spillage. Upon successful testing and validation of the 3D printed model, OFI plans to manufacture a permanent stainless steel funnel based on the design we had done. This stainless steel funnel will be positioned between the claw and funnel, effectively preventing future spillage incidents during the packaging process.</t>
  </si>
  <si>
    <t>Bryan Brito, Phong Le, Viviana Dazo, Zeth Carmona</t>
  </si>
  <si>
    <t>PK3 Spillage Prevention</t>
  </si>
  <si>
    <t>Boxing Efficiency</t>
  </si>
  <si>
    <t>OFI is an almond company located in Hughson, CA. OFI produces roasted almonds, salted almonds, macadamias, and flour. OFI is currently encountering product loss in their PK3 belt line. The main cause for this loss is due to product residue built up in the top corners of the container where the product is being weighed at a 25-pound limit. The main goal of this project was to reduce the amount of product loss by removing the residue left behind in the container. Our solution to this problem was to extend the length of the centron and the length of the top conveyor. The reason for these modifications is to prevent the product from building up near the corners. The design was tested by OFI, and the product was dropped further into the container avoiding the back wall and it would overall improve the system.</t>
  </si>
  <si>
    <t>Alan Armenta Vazquez, Madelyn De Leon, Omar Martinez, Victor Haro</t>
  </si>
  <si>
    <t>AM Diagnostics</t>
  </si>
  <si>
    <t>Metal Additive Manufacturing Build Diagnostic</t>
  </si>
  <si>
    <t>Lawrence Livermore National Laboratory</t>
  </si>
  <si>
    <t>Lawrence Livermore National Laboratory (LLNL) is an organization that focuses on the U.S global stability and national security by supporting multidisciplinary teams to develop new technology. LLNL has an advanced manufacturing program where metal additive manufacturing (AM) plays a central role. Their current machines do not have any form of monitoring or diagnosis for the ongoing manufacturing, making it difficult to troubleshoot issues. Our team developed a mechanical system that is able to record a video and audio live feed of the AM process. We designed a fixed mounting system to be installed on the build volume of the AM machine that includes a metallic plate where the camera is mounted and a metallic cylindrical-cup that holds the microphone. Another part of our system was a slip window with a welding glass shade which covers the porthole of the build volume and protects the camera from any bright flares produced from the AM process.</t>
  </si>
  <si>
    <t>Bill Pham, Cameron Bullock, Jayro Ortiz-Ayala, Viridiana Barreto Bermudez</t>
  </si>
  <si>
    <t>E.N.R.G. - Explosive Nozzle Removal Group</t>
  </si>
  <si>
    <t>Powder Explosibility Nozzle Removal</t>
  </si>
  <si>
    <t>This Capstone project, in collaboration with Lawrence Livermore National Lab, addresses the need for enhanced safety when removing components for cleaning and sanitation after metal powder reactivity testing. We have designed and constructed specialized tools capable of safely and efficiently removing each component of the explosive power nozzle used in testing procedures.  The tools we developed ensure a safe and repeatable method for removing the powder dispersion nozzle, grate, nipple, and sleeve without necessitating modifications to the manufacturer-supplied components. Through meticulous design and testing, we have created a set of unique tools that significantly improve the safety and cleanliness of the cleaning operation. These tools are poised to enhance the efficiency of metal powder reactivity testing, leading to increased turnover rates between experiments. By streamlining the removal process and maintaining the integrity of the testing equipment.</t>
  </si>
  <si>
    <t>Christopher Navarro, Emmanuel Maldonado, Jason Estevez, Nicolas Nicosia</t>
  </si>
  <si>
    <t>AutoNuts</t>
  </si>
  <si>
    <t>Automatic Almond Sampling Device</t>
  </si>
  <si>
    <t>Blue Diamond Growers</t>
  </si>
  <si>
    <t>Blue Diamond Growers’ Salida facility located in Modesto, receives a substantial number of Almonds between August to December. The almonds received go through a sampling process that determines their variety, moisture content, and quality. Current sampling methods involve using a probe and a scoop that are inadequate in collecting a representative sample of an entire almond bin and lack some ergonomic usability. For this reason, our team was tasked to create a handheld sampling tool that is ergonomic, efficient, and effective in obtaining a representative sample of almonds. Our team designed a motorized hollow auger with one-way entrance hole slots for the almonds. The auger also includes a push lock cone insert for the almonds to be released. From this design, our team created a prototype that underwent substantial testing exploring almond breakage, quantity of almonds collected, and speed of collection. This tool provides a new solution for a sampling method that is currently inadequate.</t>
  </si>
  <si>
    <t>Breanna Canfield, Isela Pina, Juan Estrada, Kevin Arrieta</t>
  </si>
  <si>
    <t>Team Lays</t>
  </si>
  <si>
    <t>PSL Conveyor Fault Analysis &amp; Optimization</t>
  </si>
  <si>
    <t>Frito Lay</t>
  </si>
  <si>
    <t>The client, Frito Lay, is a large manufacturer of snack foods located in Modesto, California. This facility is responsible for preparing, packaging, and shipping multiple products to customers throughout the state. Their Geographic Enterprise Systems (GES) department has been experiencing issues with boxes turning improperly on the conveyors, which results in them being sent to the Perfect Labeling Line (PSL) for a new label. This delay has caused a decrease in efficiency and has impacted the conveyor system's ability to ship out boxes to customers. Our team looked at various areas in the conveyor system where the boxes appeared to be turning and decided to focus on one area. We implemented the addition of speed rollers to the side railing to increase efficiency and prevent boxes from turning when hitting a corner or curve of the conveyor system.</t>
  </si>
  <si>
    <t>Gustavo Hernandez, Jack De Jesus, Renato Santana</t>
  </si>
  <si>
    <t>AgriTech Innovation</t>
  </si>
  <si>
    <t>Waterless High Throughput Pistachio Huller</t>
  </si>
  <si>
    <t>USA Produce</t>
  </si>
  <si>
    <t>USA Produce is a family-owned business located in Los Banos focused on producing flavored nuts, dehydrated fruits, teas, olives, honey, royal honey, and garlic. As a producer of pistachios, they have been confronted with the challenge of reducing water usage for removing the skins off pistachios shells. AgriTech Innovation engineers innovated a new design to remove the skin off a pistachio nut without using water. This design involves using a drum with an extruded metal surface and a metal wall with edges to shear the skin of the pistachio off into a collection bin. The proposed method of removal allows for a sustainable design compromised of off-the-shelf components and food-grade stainless steel. This innovative design will reduce the processing cost of skin removal for pistachios and maintain the pistachio nuts’ structural integrity.</t>
  </si>
  <si>
    <t>Colby Priest, Isaias Teran, Justin Arroyo, Todd Miller</t>
  </si>
  <si>
    <t>Tomato Star</t>
  </si>
  <si>
    <t>Screen Damage Prevention Detection Tracking</t>
  </si>
  <si>
    <t>CFT</t>
  </si>
  <si>
    <t>CFT Group, based in Parma, Italy, specializes in designing and manufacturing machinery for various industries, including food and beverage. The Morningstar Company in California, a key client, relies heavily on  cylindrical screens for processing tomato paste and fruit purees. However, challenges such as frequent replacements, long-distance shipping, and potential damage during transit pose operational risks. Our objective was to create an environmentally friendly, ergonomic, and affordable packaging solution that will not only prevent damage to the screen but also track its location, acceleration, and velocity. To achieve this, we created two sets of corrugated cardboard inserts that surround and protect the filter. Two polygonal cone inserts go in the top and bottom of the screen, preventing damage to the rims. Four corner inserts reinforce the structural integrity of the box and support the screen. All the empty spaces are full of craft paper that cushions the screen. A tracking chip located on the door of the shipping container tracks location, acceleration and velocity which allows for the client to deduce when, where and how a screen could receive damage.</t>
  </si>
  <si>
    <t>Alexander Serrano, Myca Erica Icban, Yajaira Elizondo, Yessica Mares Barriga</t>
  </si>
  <si>
    <t>**BLANK**</t>
  </si>
  <si>
    <t>Computer controlled motion control of a cell stretcher</t>
  </si>
  <si>
    <t>BioTech</t>
  </si>
  <si>
    <t>Our client is the MECHANO3B[i]OLOGY Laboratory at the Department of Materials Science and Engineering from the University of California, Merced. The overall research efforts are geared towards understanding how mechanical forces at the molecular scale affect function in articulated joints and epithelial tissues. The Cell Stretcher is an apparatus designed to produce an equibiaxial strain on elastic substrates for dynamic imaging of cells on physiologically relevant substrates. Through this device, the client will be able to mechanically stimulate epithelial cells. The challenges we faced were: i) a non-operational apparatus, resulting from the overcharge of the device’s stepper motor circuit, and ii) the device’s leveling stage having a furrowed glide when in operation, causing unequal biaxial strain on the substrate. These challenges were addressed by replacing the original motor with an equal replacement and including a machined brass collar to the leveling stage’s unmotorized stabilization beam, to increase the surface contact area, allowing a smoother glide when the apparatus is in operation. The team also worked to test the device for step loss and program compatibility.</t>
  </si>
  <si>
    <t>David Amezcua, Dominique Gabri Inocencio, Iyari Romo, Moises Amezcua</t>
  </si>
  <si>
    <t>RadiantGuide Innovation</t>
  </si>
  <si>
    <t>Precise Measurement Analysis for Interventional pain procedures to under fluoroscopic guidance</t>
  </si>
  <si>
    <t>Pain Away Solutions, LLC</t>
  </si>
  <si>
    <t>Our client, Dr.Gabriel Garcia-Diaz, is a spine orthopedic surgeon and the founder of OrthoSpine Advance Health, Inc. OrthoSpine is a medical clinic specializing in neck and back pain management. The pain management injections are performed under fluoroscopic guidance. The current technique requires individual placement and checking of needles, which can be time-consuming and may lead to radiation overexposure in healthcare providers and patients. Our project involved collecting the measurements/distances from the spinal needles after insertion under fluoroscopic guidance for different pain procedures such as transforaminal epidural blocks, medial branch blocks, and radiofrequency ablations (thoracic/lumbar). These measurements were obtained during a clinical study determining if there is a statistical difference between the current technique and the PAS technique.  Utilizing this data, our team created a radiolucent guide for precise needle placement to mediate exposure during these procedures.</t>
  </si>
  <si>
    <t>Aaliyah Ruiz-Corral, Brian Lu, Jenifer Hernandez Garcia, Jarmaine Roxas</t>
  </si>
  <si>
    <t>Precise Pressure Analysis</t>
  </si>
  <si>
    <t>Precise Syringe Pressure Analysis for spinal pain management injections and joints</t>
  </si>
  <si>
    <t>Dr. Gabriel Garcia-Diaz is an orthopedic spine surgeon and co-founder of Pain Away Solutions, here in Merced. Currently and historically, drug delivery via syringe is done manually and requires great pressure to deliver the medication to the patients especially when performing anesthetic nerve blocks. The major problem observed after a high repetition of these procedures is the increased rate of overuse injuries such as carpal tunnel syndrome. Our Capstone engineering team assembled a research project prototype that measures the real-time force applied on a syringe when injecting medication into the spine of a patient. The measurements obtained provided the amount of force required to deliver medication into the spine using different needles and syringe sizes performed at different anatomical spine locations for a safe outcome.</t>
  </si>
  <si>
    <t>Edward Franco, Joseph Robles, Sherwin Serrano, Yumie Lee</t>
  </si>
  <si>
    <t>Leaf Inspectors</t>
  </si>
  <si>
    <t>Design and implementation of a robotic actuation mechanism for collecting leaf spectral data.</t>
  </si>
  <si>
    <t>IoT4Ag</t>
  </si>
  <si>
    <t>The Internet of Things for Precision Agriculture (IoT4Ag) is an engineering research organization whose mission is to transform and revolutionize agricultural technologies. IoT4Ag proposed to develop an autonomous robotic activation mechanism that supports a spectrometer to determine and limit water stress and disease in crops and notify growers to protect crop health and prevent loss in produce. Since manual data collection is time-consuming, labor-intensive, and ineffective, CAP-124 has designed key components and assembled the low-cost and robust robotic arm. The telescoping arm extends using a pulley system and autonomously collects leaf spectral data. The arm can be mounted onto various mobile robots, which will operate to help reduce water stress and ultimately reduce crop loss.</t>
  </si>
  <si>
    <t>Brock Fusi, Cameron Mercer, Juan Vigil, Valerie Larios</t>
  </si>
  <si>
    <t>Effect of Climate Change  on Cardiovascular Diseases and Vascular Age using smart-sensors technology</t>
  </si>
  <si>
    <t>X10e</t>
  </si>
  <si>
    <t>X10e Inc is a biotech company that aims to reduce vascular age and minimize the risk of cardiovascular diseases. Due to climate change, temperatures have been surpassing the global average, which increases the risk to cardiovascular health, among individuals with pre-existing health conditions. In response, X10e requested a methodology to obtain hemodynamic parameters using optical bio-sensing technology (PPG) and its associated mobile application under varying heat stress conditions. Our team conducted a scientific clinical study involving an expected 50 participants of diverse demographics, including age, gender, BMI, occupation, sleep pattern, ethnicity, and physical ability. Participants were asked to perform physical exercises under different heat stress conditions. Key parameters such as blood pressure and cardiac output were analyzed to identify heat vulnerability factors and assess short and long-term effects. Recommendations for data analysis pre and post-experiments were provided to enhance understanding of heat stress impacts and recovery mechanisms. Ultimately, this product can contribute in detecting and managing early onset cardiovascular disease if used regularly.</t>
  </si>
  <si>
    <t>Jose Avila-Garcia, Julian Pena Verduzco, Laura Gonzalez Rodriguez, Leonela Gutierrez, Orlando Hernandez</t>
  </si>
  <si>
    <t>Team Del Monte</t>
  </si>
  <si>
    <t>Line Balancing Sleevers</t>
  </si>
  <si>
    <t>Del Monte</t>
  </si>
  <si>
    <t>Del Monte Foods, Inc., a leading producer and distributor of premium branded food products in the U.S. retail market, has identified a few bottlenecks in the production line of fruit cups for bulk orders. The bottleneck we observed was at a 90-degree turn from production to packaging, where fruit cups frequently become congested, leading to downtime and reduced output potential. To address this issue, our team collaborated with Del Monte to develop a targeted solution that modifies the existing diverter arms used to direct the product through the turn. By integrating bearings into the design of the diverter arms, our innovation facilitates a smoother transition of fruit cups at the turn, effectively reducing jam frequencies and enhancing overall production efficiency. Additionally, we conducted a site analysis to identify other potential areas for implementing this solution, ensuring broad-scale improvements in operational performance at Del Monte Foods.</t>
  </si>
  <si>
    <t>Erick Rosiles, Isaiah Johnson, Juliana Leal, Christian-Alexa Jimenez</t>
  </si>
  <si>
    <t>2024-08-Fall-CAP</t>
  </si>
  <si>
    <t>CAP-201</t>
  </si>
  <si>
    <t>Hopper Trailer Modification to Dry and Discharge Wet Almonds</t>
  </si>
  <si>
    <t>UC Merced I2G - Almondry</t>
  </si>
  <si>
    <t>Abstract-201</t>
  </si>
  <si>
    <t>Students-201</t>
  </si>
  <si>
    <t>CAP-202</t>
  </si>
  <si>
    <t>Scaled Removable and Reusable Stockpile Aeration System for Almond Drying</t>
  </si>
  <si>
    <t>Abstract-202</t>
  </si>
  <si>
    <t>Students-202</t>
  </si>
  <si>
    <t>CAP-203</t>
  </si>
  <si>
    <t>Shuttle Truck Connection Automation with Robotic Arm</t>
  </si>
  <si>
    <t>Abstract-203</t>
  </si>
  <si>
    <t>Students-203</t>
  </si>
  <si>
    <t>CAP-204</t>
  </si>
  <si>
    <t>Sweet Potato Planter Robotic End Effector - Phase 2</t>
  </si>
  <si>
    <t>Arnold Farms</t>
  </si>
  <si>
    <t>Abstract-204</t>
  </si>
  <si>
    <t>Students-204</t>
  </si>
  <si>
    <t>CAP-205</t>
  </si>
  <si>
    <t>Product Conveyance and Quality Selection</t>
  </si>
  <si>
    <t>Sun-Maid Growers</t>
  </si>
  <si>
    <t>Abstract-205</t>
  </si>
  <si>
    <t>Students-205</t>
  </si>
  <si>
    <t>CAP-206</t>
  </si>
  <si>
    <t>Evaluating the radiolucent guide  prototypes in a cadaver model and analysis for different spine injections</t>
  </si>
  <si>
    <t>Pain Away Solutions</t>
  </si>
  <si>
    <t>Health Care</t>
  </si>
  <si>
    <t>Abstract-206</t>
  </si>
  <si>
    <t>Students-206</t>
  </si>
  <si>
    <t>CAP-207</t>
  </si>
  <si>
    <t>Salt distribution</t>
  </si>
  <si>
    <t>Hilmar Cheese</t>
  </si>
  <si>
    <t>Abstract-207</t>
  </si>
  <si>
    <t>Students-207</t>
  </si>
  <si>
    <t>CAP-208</t>
  </si>
  <si>
    <t>Thermal Energy Storage Demonstrator</t>
  </si>
  <si>
    <t>UC Merced Facilities Management</t>
  </si>
  <si>
    <t>Abstract-208</t>
  </si>
  <si>
    <t>Students-208</t>
  </si>
  <si>
    <t>CAP-209</t>
  </si>
  <si>
    <t>Screw Conveyance Alignment &amp; Timing</t>
  </si>
  <si>
    <t>Abstract-209</t>
  </si>
  <si>
    <t>Students-209</t>
  </si>
  <si>
    <t>CAP-210</t>
  </si>
  <si>
    <t>Bin Washer</t>
  </si>
  <si>
    <t>Sensient Natural Ingredients</t>
  </si>
  <si>
    <t>Abstract-210</t>
  </si>
  <si>
    <t>Students-210</t>
  </si>
  <si>
    <t>CAP-211</t>
  </si>
  <si>
    <t>Tractor Cab Collision Detection</t>
  </si>
  <si>
    <t>Abstract-211</t>
  </si>
  <si>
    <t>Students-211</t>
  </si>
  <si>
    <t>CAP-212</t>
  </si>
  <si>
    <t>Flipper - Flip Re-Design</t>
  </si>
  <si>
    <t>UC Merced Experimental Farm</t>
  </si>
  <si>
    <t>Abstract-212</t>
  </si>
  <si>
    <t>Students-212</t>
  </si>
  <si>
    <t>CAP-213</t>
  </si>
  <si>
    <t>Battery Workforce Challenge</t>
  </si>
  <si>
    <t>UC Merced - Battery Workforce Challenge</t>
  </si>
  <si>
    <t>Education</t>
  </si>
  <si>
    <t>Abstract-213</t>
  </si>
  <si>
    <t>Students-213</t>
  </si>
  <si>
    <t>2024-01-Spring-CSE</t>
  </si>
  <si>
    <t>CSE</t>
  </si>
  <si>
    <t>Clean Up Crew</t>
  </si>
  <si>
    <t>Biosecurity Scheduling Algorithm Enhancement</t>
  </si>
  <si>
    <t>Agrecom</t>
  </si>
  <si>
    <t>Agrecom Inc. is a leader in biosecurity solutions, servicing clients in many sectors. Agrecom faced challenges in scheduling jobs due to strict quarantine restrictions that limit technician mobility across sites. The process was manual and time consuming, commercial solutions were unable to correctly handle the necessary constraints. The team developed a CP-SAT (Constraint Programing - Satisfiability) Solving Algorithm to automate schedule creation within a web application. This system efficiently generates optimized schedules by incorporating customer, job, and employee data, while prioritizing important jobs, and managing recurring jobs. Completed schedules are automatically integrated with Microsoft Calendars, streamlining operations and enhancing efficiency.</t>
  </si>
  <si>
    <t>Ariana Curtis, Jaime Gomez, Lauren Lane, Simone Romero</t>
  </si>
  <si>
    <t>Team Sync</t>
  </si>
  <si>
    <t>Relevance Weighted Multiple Meeting Scheduler - Phase 2</t>
  </si>
  <si>
    <t>UC Merced I2G</t>
  </si>
  <si>
    <t>Software</t>
  </si>
  <si>
    <t>Innovate to Grow (I2G) is a unique “experiential learning” program that connects external partner organizations with teams of students to solve real-world problems. One of these problems is the limited capabilities of services or applications that allow attendees and organizers to determine optimal meeting times. Team Sync addressed this problem by creating a visual analysis tool that gives more power to event organizers when creating schedules and displays real-time variations of different attendee schedules for physical and virtual availability. The team put together a web application that allows attendees to create a schedule with an availability range for each block and allows the organizer to view an aggregate schedule based on the adjustable relevance of each attendee.</t>
  </si>
  <si>
    <t>Gabriel Lee, Ikenna Onuorah, Paul Stratton, Richard Edwards, Raul Viray Jr</t>
  </si>
  <si>
    <t>R&amp;B</t>
  </si>
  <si>
    <t>Digital AI Backpack Mobile Application</t>
  </si>
  <si>
    <t>Conectado</t>
  </si>
  <si>
    <t>Non-Profit</t>
  </si>
  <si>
    <t>Conectado is a company dedicated to providing access to numerous opportunities, targeting those underrepresented in the STEM workforce. Conectado is looking to accelerate this initiative by reaching a broader audience. The team has created a mobile application that gives users ready access to a centralized database of opportunities while also providing a platform to network with others on the app. It offers a dynamic experience for users to find and save opportunities matching their needs, and a robust and scalable chat solution utilizing the ChatKitty API. With this app, Conectado will be one step closer to bridging the gap between underrepresented individuals and opportunities in the STEM workforce, fostering greater diversity and inclusivity across various industries.</t>
  </si>
  <si>
    <t>Christian Gallien, Ernesto Reyes, John Lor, Kristopher Tern</t>
  </si>
  <si>
    <t>Firebase Solved Our Case</t>
  </si>
  <si>
    <t>Digital AI Backpack - Opportunity Matcher and Recommender</t>
  </si>
  <si>
    <t>Conectado, a Bay Area-based EdTech company, is dedicated to uplifting the next generation of Latino and underrepresented groups in STEM. The company’s mission is to empower students and working professionals through educational bootcamps, positioning them as leading candidates for academic and career pursuits. Although traditional recommendation algorithms are reliable, Conectado is seeking a more adaptive and sophisticated solution to better meet user needs. In response, our team has developed an AI chatbot integrated into their web platform. This chatbot employs Flowise AI and LangChain to deliver personalized job recommendations, thereby enhancing user satisfaction and fostering career advancement. Our team’s initiative underscores our dedication to innovation and the seamless integration of advanced AI technologies within educational and career development frameworks.</t>
  </si>
  <si>
    <t>Ben Dong, Haolin Li, Justin Chang, Simran Jhinger</t>
  </si>
  <si>
    <t>Taxiline Task Force</t>
  </si>
  <si>
    <t>Deadlock Prevention/Recovery for Mobile Robot Fleets</t>
  </si>
  <si>
    <t>Omron</t>
  </si>
  <si>
    <t>Omron Robotics and Safety Technologies, Inc. (ORT) is an automation technology development company focused on robotics and design manufacturing. Omron’s autonomous mobile robots (AMRs) have had issues regarding deadlocks, where two or more robots are unable to move due to mutual blocking. Correcting this requires manual intervention, which slows production time. Our team employed a machine learning approach for preventing a specific type of deadlock that frequently occurs, by detecting if a robot is “Taxilining” or not with surrounding robots. The models explored include Random Forest, Long Short-Term Memory (LSTM), Support Vector Machine (SVM), and XGBoost, with different models achieving varying accuracies in the 90% ranges.</t>
  </si>
  <si>
    <t>Carolyn Cui, Damian Gabriel, Zakaria Fares</t>
  </si>
  <si>
    <t>Rush Hour</t>
  </si>
  <si>
    <t>Electronic Water Scheduling Program</t>
  </si>
  <si>
    <t>Turlock Irrigation District (TID)</t>
  </si>
  <si>
    <t>Turlock Irrigation District has been providing water to Central California farmers since 1882.  Using water from Turlock Lake and a series of canals, their water distribution officers work in the field as well as in the office to organize and schedule water orders.  Since they updated their workflow to use Microsoft Excel as one of their primary tools, water distribution officers have struggled to mold the software to meet their needs, specifically with regards to ease of use, data security and synchronicity.  To fix this, the team has developed a cloud based organizational tool designed to mimic excel while providing functionality tailored to TID’s unique work environment.</t>
  </si>
  <si>
    <t>An Nguyen, Clayton Cygnet, Christian Duan, Henry Wang, Noorulain Irshad</t>
  </si>
  <si>
    <t>Hydrolock</t>
  </si>
  <si>
    <t>Turlock Irrigation District (TID) has provided reliable irrigation water and electric service since 1887. TID relied on a spreadsheet application for scheduling orders, but the process was slow and lacked flexibility. The team streamlined the process by developing a new application with drag-and-drop features, significantly enhancing the speed and efficiency of order processing. The application also includes a dynamic user interface that allows users to collapse and expand spreadsheets, optimizing visual space management. This innovative approach boosts productivity and simplifies order scheduling tasks.</t>
  </si>
  <si>
    <t>Christopher Tapia, Esteban Orihuela, Michael Moua, Steven Plascencia Galvan, Virginia Manandeg</t>
  </si>
  <si>
    <t>five merry men and also one merry woman</t>
  </si>
  <si>
    <t>Remote Herd Management Enabled by Technology</t>
  </si>
  <si>
    <t>Virtual Cowboy</t>
  </si>
  <si>
    <t>California Ag Solutions, based in Madera CA, is an agritech consulting company that sends specialist experts to farms to help clients grow premium crops efficiently and sustainably. Overgrazing has been a consistent problem for a lot of their clients, and they want to address this with their newest project. As of recently, Ag Solutions are looking into how to remotely move livestock around a grazing area using various technologies to prevent overgrazing. In accordance with this goal our team was tasked with simulating the desired experience for a herd manager using an application. Our team designed a project where a user would log in to an app where they can interact with a map by editing zone areas and cattle, and moving said cattle between zones over a period of time.</t>
  </si>
  <si>
    <t>Aditya Lakkoju, Allyson Saelee, Brandon Jia, Carlos Trimbell, Ritesh Patro</t>
  </si>
  <si>
    <t>The Cattle Moo-vers</t>
  </si>
  <si>
    <t>The client, California Ag Solutions, is an agronomy consulting company servicing agricultural operations throughout central California. The client has devised an innovative solution aiming to revolutionize livestock management through the use of real-time location data and geofencing. The team was tasked with creating an application to illustrate the system’s functionalities, and developed a user-friendly web application that allows for defining grazing zones, setting boundaries, and initiating herd movement seamlessly. The live map provides real time tracking of animal locations, which allows herd managers to optimize grazing strategies. The team’s application will be used by the client as the basis for implementing the full solution, which will boost overall efficiency and sustainability when keeping livestock.</t>
  </si>
  <si>
    <t>Angel Gurrola, Ethan Chen, Erick Hieng, Francisco Arias, Ryan Zhou</t>
  </si>
  <si>
    <t>Binary Bandits</t>
  </si>
  <si>
    <t>Knowledge Organization and Learning Framework</t>
  </si>
  <si>
    <t>Olixus</t>
  </si>
  <si>
    <t>Computers</t>
  </si>
  <si>
    <t>Olixus Inc., renowned for its Silicon Valley-based enterprise strategy SaaS innovations, is currently working to provide a knowledge learning framework that will assist the transition from the 10th revision of International Classifications of Diseases (ICD-10) to the 11th, ICD-11. The previous transition from ICD-9 to ICD-10 took 10 years when there were around 15000 codes. Now with ICD-11 having over 55,000 codes, this is a monumental task to achieve. The primary objective was to empower medical coders while potentially extending support to diverse knowledge domains. To address this, the team designed a comprehensive learning system that integrated knowledge organization principles and neuroscience-based learning methodologies such as W-O-P-R (Write, Organize, Practice, Rehearse). Notably, the team incorporated features like matching descriptions, code inputting, and note-saving functionalities to facilitate a seamless learning experience</t>
  </si>
  <si>
    <t>Draven Medina, Daniel Xing, Eric Rydberg, Harold Aranda Salas, Kiera Pfann</t>
  </si>
  <si>
    <t>Bolo Soft</t>
  </si>
  <si>
    <t>VoiceAdvance</t>
  </si>
  <si>
    <t>Western Digital</t>
  </si>
  <si>
    <t>VoiceAdvance is a transformative platform developed by our team for Western Digital Corporation, empowering employees to anonymously voice their opinions and provide constructive feedback. This fosters transparency and engagement within the enterprise, creating a safe space for communication where every member can contribute to the organization's growth and success without fear of scrutiny. Our aim in developing VoiceAdvance for Western Digital is to increase employee engagement, improve response efficiency and decision-making, and foster a transparent and proactive workplace culture. The user interface was designed for a fast and responsive user experience using React, complemented by a backend powered by Python for efficiency and served with SQLite3 for a lightweight yet robust database.</t>
  </si>
  <si>
    <t>Austin Brown, Andre Limos, Luis Ornelas-Montes, Seth O'masters</t>
  </si>
  <si>
    <t>WIP's</t>
  </si>
  <si>
    <t>Western Digital is looking for an efficient and effective way to gather feedback from its employees. Currently, there is no effective software for the client to gather employee feedback that supports nonstop service, anonymity, and privatized data. Our team has developed a solution to fill this void in the form of the VoiceAdvance project. VoiceAdvance is a new and efficient web application that supports these features while providing an enjoyable user experience. VoiceAdvance will allow Western Digital to harness the power of employee feedback by having the ability to view and respond to their employees comments, suggestions, and concerns and provide their employees with a solution which will drive positive change and enhance engagement within the organization. Our team focused extensively on developing efficient and accessible web pages using REACT that both employees and resolvers will interact with when submitting and resolving comments. The backend integrates Node.js and the team used PostgreSQL as the secure database.</t>
  </si>
  <si>
    <t>Haris Khan, Julien Crespo, James Phillips, Lucero Ascencio, Simon Liu</t>
  </si>
  <si>
    <t>Solanum</t>
  </si>
  <si>
    <t>Parts Trailer Inventory Management App</t>
  </si>
  <si>
    <t>The Morning Star Company is a tomato harvesting and processing company that uses pen and paper to log field repairs. Our team was tasked with creating an app that would allow mechanics to scan parts in and out of supply trailers to improve speed and accuracy. Mechanics are able to specify what machine a part is for, the trailer the part is from, and update a remote database with their activity. An admin page allows for designating which trailers and machines a given mechanic has access to. The app sends admins an email report twice a week on repair activity.</t>
  </si>
  <si>
    <t>Artur Musayelyan, Briam Martinez, Heath Bacon, Isaac Sousa, Steven Spangler</t>
  </si>
  <si>
    <t>𝝅-Hard</t>
  </si>
  <si>
    <t>Document Index Service</t>
  </si>
  <si>
    <t>Sweep</t>
  </si>
  <si>
    <t>Sweep designs big data workflow software for processing various data types. Using their API, they create custom workflow solutions for their customers. Large Language Models (LLMs) require extensive data for effective training, but information can become lost due to the sheer volume of documents created by the company on a regular basis. Our project was to leverage Apache Solr to index and extract machine-readable text while allowing users to categorize documents into "buckets" based on their directories. We designed an API and a user-friendly interface to go with it, streamlining document retrieval and organization, and enabling efficient categorization and indexing for enhanced workflow management.</t>
  </si>
  <si>
    <t>Aaron Nam, CJ Cox, Cameron Wat, Jose Cano Gallardo, Wendy Haw</t>
  </si>
  <si>
    <t>AI Artisans</t>
  </si>
  <si>
    <t>Private LLM Node – API</t>
  </si>
  <si>
    <t>Sweep, a data-driven solutions company in Merced, CA, aims to enhance workflow efficiency. Artificial Intelligence (AI) assistants hold promise but pose security risks with sensitive data. To address security risk concerns, we developed a Flask-based Application Program Interface (API) integrating a locally deployed Large Language Model (LLM). This API manages conversations, generates responses, and handles user authentication securely using Microsoft Single Sign-On (SSO) with OAuth 2.0. It employs PostgreSQL for data storage.The API allows clients to have conversations with the LLM safely within their local network, ensuring privacy and fostering user trust. Subsequent to May 2024, forthcoming efforts may emphasize integrating a web browser extension user interface (UI), and compartmentalization of the application using docker.</t>
  </si>
  <si>
    <t>Arav Gupta, Jason Holmes, Lester Kendrick, Nikita Yadav, Stephen Schertz</t>
  </si>
  <si>
    <t>Chat Cats</t>
  </si>
  <si>
    <t>Private LLM Node – Train</t>
  </si>
  <si>
    <t>Sweep is a Merced-based company that creates workflow optimization tools.  One of its objectives is to provide clients with the ability to privately train an LLM on a custom dataset, in order to protect customer data and tailor a selected Large Language Model, or LLM, to a specific task. Our team, ChatCats, has developed a solution for this challenge, creating a database manager and model trainer that work in tandem to allow users to securely select and train their own LLMs.</t>
  </si>
  <si>
    <t>Ashley Gonzalez Perez, AJ Grant, Rodolfo Galvan Nunez, Rohit Rao, Thomas Kellogg</t>
  </si>
  <si>
    <t>WD ETRA</t>
  </si>
  <si>
    <t>Engineering Talent Review App</t>
  </si>
  <si>
    <t>The client, Western Digital Corporation, headquartered in San Jose, CA, is a global leader in designing, manufacturing, and marketing data technology solutions worldwide. As a multinational corporation, Western Digital Corporation faces the challenge of effectively recognizing and rewarding outstanding employee performance across its global operations. To address this challenge, the team embarked on creating a robust web application aimed at establishing a cohesive system for tracking and acknowledging achievements within Western Digital. This initiative resulted in the development of a user-friendly web application, serving as a centralized platform to efficiently record and celebrate employee accomplishments utilizing adaptable industry-standard software.</t>
  </si>
  <si>
    <t>Bodrul Babul, Daniel Ramirez, Michael Vangsycha</t>
  </si>
  <si>
    <t>Talent Review Team</t>
  </si>
  <si>
    <t>Western Digital Corporation (WDC) is an American computer hard disk drive (HDD) and solid-state drive (SSD) manufacturer and data storage company. Western Digital oversees many employees and needs a streamlined process of promoting their employees. That’s why the Talent Review Team created the Engineering Talent Review Application to assist with the internal promotion process of WDC. The application will allow for employees to be nominated for a promotion, be recommended by their peers, and finally sent to the review committee for final approval.</t>
  </si>
  <si>
    <t>Braydon Hart, Crystal Rajan, Elvis Bui, Eric Casillas, Raphael Cruanes</t>
  </si>
  <si>
    <t>Trinity</t>
  </si>
  <si>
    <t>Customer Process Improvement: IoT Evaluation Made Simple</t>
  </si>
  <si>
    <t>Telit Cinterion</t>
  </si>
  <si>
    <t>Networking</t>
  </si>
  <si>
    <t>Telit Cinterion is a leading global technology firm specializing in Internet of Things (IoT) products and services. Among these services is the provision of small-scale innovation kits, enabling customers to explore IoT innovations before committing to larger enterprise solutions. The problem is that each piece of the bundled solution has its own manual acquisition process, making the ordering experience for customers tedious. Our team was tasked with creating a Proof-of-Concept web application to solve this problem by simplifying the process for customers while providing data traceability for Telit Cinterion. This application shall be tested by Telit and shall produce a simplified ordering process for customers and clear data analytics for Telit.</t>
  </si>
  <si>
    <t>Bailey Davis, Corbin Ward, Eric Contreras, Kyle Awayan, Rafiul Islam</t>
  </si>
  <si>
    <t>Innovision</t>
  </si>
  <si>
    <t>Building LLM-powered Tools to Improve INNOVIT’s Internal and External Operations</t>
  </si>
  <si>
    <t>Innovit</t>
  </si>
  <si>
    <t>INNOVIT is an Italian Innovation and Culture Hub, supported by the Italian Ministry of Foreign Affairs and managed by the Italian Consulate General in San Francisco and the Italian Embassy in Washington DC. They assist Italian startups and Small Medium Enterprises (SMEs) in entering the US market and connecting with US investors through workshops and events. INNOVIT sought the development of a customized AI Chatbot to aid in event planning and organization. To implement this, the team developed an AI chatbot within Slack that has access to various data such as mentors, workshop ideas, and workshop schedules. Additionally, the team was requested to create a public-facing chatbot that would be incorporated into INNOVIT’s website, that could answer frequently asked questions to visitors. Both applications strive to fulfill the task of providing information efficiently and innovatively with a user-friendly interface.</t>
  </si>
  <si>
    <t>Ariana Quiroz-Alvarez, Claire Hallock, Jose Ruiz, Kianna Ng</t>
  </si>
  <si>
    <t>Paste Prophets</t>
  </si>
  <si>
    <t>Automated Identification of Paste Visual Finish</t>
  </si>
  <si>
    <t>Morning Star, based in California’s Central Valley, operates three tomato processing factories with the largest production scale in the world, supplying over 40% of domestic markets with diced tomatoes and tomato paste. They process their tomato paste in a range of finishes using various screens and filters, with a paste technician inspecting a sample from the batch to determine its final finish. However, even with standardized processing and equipment, finishes can vary, and human error can lead to different finishes being labeled the same. Through a machine learning model, the team automated the analysis of the tomato paste with a high level of accuracy and consistency while enabling detection of anomalies and data compilation. Packaged into a full stack web app, the design significantly streamlines the analysis of tomato paste and is a powerful tool for analyzing various metrics of the company’s paste processing.</t>
  </si>
  <si>
    <t>Eric Ferguson, Jack McGuinness, Kevin Ramirez Guzman, Liam Morgan, Lorenzo Stewart</t>
  </si>
  <si>
    <t>#Include</t>
  </si>
  <si>
    <t>Capstone Purchasing App - Phase 2</t>
  </si>
  <si>
    <t>UC Merced SoE</t>
  </si>
  <si>
    <t>The School of Engineering (SoE) Instructional Lab Services currently supports Capstone students with purchasing items and equipment through a time-consuming, manual process. To address the issue, the Capstone Purchasing App was introduced to automate the purchasing process. For Phase 2, the team built on the foundation of the existing web app implementing core features that enhance the efficiency and user experience for both students and faculty. These features and changes include automatic saving of requests, updated data storage and documentation, an email notification system, dynamic account creation, and improved administrative control in team, roster, and budget management. As a result, the web app will effectively improve and cut current and future time expenses for students and faculty during the purchasing process.</t>
  </si>
  <si>
    <t>Adam Bowen, Madeline Reiterman, Swapnil Kumar, Said Olguin</t>
  </si>
  <si>
    <t>The Bit Barons</t>
  </si>
  <si>
    <t>CSE Course Recommendation</t>
  </si>
  <si>
    <t>UC Merced CSE</t>
  </si>
  <si>
    <t>The Computer Science and Engineering Department at UC Merced has been committed to optimizing educational pathways for its students, specifically in aligning course selections with their academic prerequisites and career ambitions. The existing tool, My Degree Path, although effective for general academic planning, has limitations in accommodating the specialized needs of Computer Science and Engineering students, particularly in selecting CSE electives that match their career trajectories. The team has leveraged the OpenAI API to develop a system that utilizes ChatGPT to interact directly with students. This system understands students' career interests and integrates this data with their academic prerequisites and UC Merced’s available courses. By providing personalized educational guidance tailored to individual career goals, this approach ensures a more aligned and effective educational journey for each student.</t>
  </si>
  <si>
    <t>Calvin Bayaua, Gaige Bonderer, Jennifer Rosen, Sofia Nicole Cando</t>
  </si>
  <si>
    <t>Anomaleaf</t>
  </si>
  <si>
    <t>Leaf Classification with AI</t>
  </si>
  <si>
    <t>Omron Robotics and Safety Technologies, Inc., a leader in robotics, is transitioning from utilizing basic computer vision to advanced AI tools to enhance operational efficiency and quality control. In collaboration with Omron, our team developed Anomaleaf, a React Native mobile application aimed at identifying anomalies in submitted images based on a leaf dataset. Utilizing an 8-layer convolutional neural network (CNN), the CNN was trained on a dataset of 10,000 images to detect irregular patterns (Bacterial infections, mold, etc.) resulting in high precision when classifying/predicting. The application enables users to upload single or batch images for real-time anomaly detection. This proof of concept not only demonstrated the potential of machine learning in automating quality control processes but also may reduce time and costs associated with manual inspection.</t>
  </si>
  <si>
    <t>Andrew Garza, Alexander Hitt, Angel Ibarra, Cristian Espinosa, Javier Miranda</t>
  </si>
  <si>
    <t>DAZ.LV</t>
  </si>
  <si>
    <t>I2G Mobile App and Event Registration</t>
  </si>
  <si>
    <t>UC Merced’s Innovate to Grow (I2G) is a program that brings together students and external partners to solve complex, real-world problems. Currently, the program faces challenges with its time-intensive manual check-in process. To address the issue, our team devised a QR scanning system for effortless use by both staff and attendees, while concurrently enhancing the mobile view of the website. This addition significantly reduces wait times and provides a modern, streamlined way to engage with the event, demonstrating a substantial improvement over the previous system.</t>
  </si>
  <si>
    <t>Aakash Koirala, Donte' Williams, Luis Zaragoza, Valerie Zaira Pulido, Zhijian Wang</t>
  </si>
  <si>
    <t>PathFinder</t>
  </si>
  <si>
    <t>Goal Reach Time Estimation and Update Based on Previously Cached Results</t>
  </si>
  <si>
    <t>Omron Robotics and Safety Technologies tasked Team PathFinder with developing algorithms and writing code in C++ to enhance the previous time estimation design for robots navigating to jobs. The team's methodology involved extracting data from map files to establish goals and obstacles in the workspace. By employing graph theory and A* algorithms, optimal routes and time estimations were determined. These predictions optimized job assignments, and upon task deployment, initial positions and traversal times were stored to refine future estimations. The team implemented efficient data structures to facilitate robot assignment and accurate time estimation updates, ensuring seamless fleet management.</t>
  </si>
  <si>
    <t>Raivat Alwar, Tyler Truong, Vansh Venugopal</t>
  </si>
  <si>
    <t>FrostByte</t>
  </si>
  <si>
    <t>Refrigerated Truck Compliance App</t>
  </si>
  <si>
    <t>United States Cold Storage</t>
  </si>
  <si>
    <t>United States Cold Storage (USCS) operates 42 refrigeration and distribution facilities in 13 states across the US. The facility in Turlock wants us to create app that streamlines the data collection and California Air Resource Board (CARB) regulation compliance for the refrigerated trucks and allow for drivers to enter pertinent information before they arrive to check into the facility. Our team has developed an app that collects this information from the driver, verifies the CARB Identification Number drivers provided by using the CARB Transport Refrigeration Unit Compliance Website, and aggregates the information into a QR code that is scannable by the guard shack when drivers check into the facility. This QR code leads back to the form with all the information and allows it to be checked by the guard and extracted into the USCS Yard Management System by the clerks inside the offices.</t>
  </si>
  <si>
    <t>Alex Wan, Dovran Rejepov, Kameron Tankhamvang, Ramiro Cuevas, Rohan Makkar</t>
  </si>
  <si>
    <t>Students-101</t>
  </si>
  <si>
    <t>Allen Nicasio    Joshua Ancheta    Juan Hernandez    Viridiana Moreno</t>
  </si>
  <si>
    <t>Students-102</t>
  </si>
  <si>
    <t>Daniel Christian Abrenica    Ruth Agorrilla    Santiago Garcia    Ukamaka Ezimora</t>
  </si>
  <si>
    <t>Students-103</t>
  </si>
  <si>
    <t>David Millet    Maximo Zendejas    Ragav Mohan    Rafael Valencia</t>
  </si>
  <si>
    <t>Students-104</t>
  </si>
  <si>
    <t>Carlo Camello    Edwards Castro    Nahun Hernandez    Nicholas Nunez</t>
  </si>
  <si>
    <t>Students-105</t>
  </si>
  <si>
    <t>Gen Duenas    Jaeden Pulanco    Michael Millan Amaro    Simon Shinozaki</t>
  </si>
  <si>
    <t>Students-106</t>
  </si>
  <si>
    <t>Alejandro Hernandez-Ramirez    Lina B-Hernandez    Ricardo Victorio Felix    Steven Silva</t>
  </si>
  <si>
    <t>Students-107</t>
  </si>
  <si>
    <t>Karson Chu    Mark Kim    Nicholas Anggriani    Serjio Orozco-Rivera</t>
  </si>
  <si>
    <t>Students-108</t>
  </si>
  <si>
    <t>Brinda Pandi    Elijah Lopez    Omar Estrada Marquez    Samuel Simoes</t>
  </si>
  <si>
    <t>Students-109</t>
  </si>
  <si>
    <t>Daniel Suriano Quiroa    Esai Lucatero    Erick Torres    Leonardo Lujan</t>
  </si>
  <si>
    <t>Students-110</t>
  </si>
  <si>
    <t>Andres Aguilar    Jason Baltazar    Jeremy Dominguez    Ronaldo Maldonado</t>
  </si>
  <si>
    <t>Students-111</t>
  </si>
  <si>
    <t>Angelica Uvalle    Jose Saenz-Dominguez    Katherine Ng    Ryan Atapattu</t>
  </si>
  <si>
    <t>Students-112</t>
  </si>
  <si>
    <t>Alan Ramirez    Jayesh Prakash    Josue Rivas    Ramon Vargas</t>
  </si>
  <si>
    <t>Students-113</t>
  </si>
  <si>
    <t>Bryan Brito    Phong Le    Viviana Dazo    Zeth Carmona</t>
  </si>
  <si>
    <t>Students-114</t>
  </si>
  <si>
    <t>Alan Armenta Vazquez    Madelyn De Leon    Omar Martinez    Victor Haro</t>
  </si>
  <si>
    <t>Students-115</t>
  </si>
  <si>
    <t>Bill Pham    Cameron Bullock    Jayro Ortiz-Ayala    Viridiana Barreto Bermudez</t>
  </si>
  <si>
    <t>Students-116</t>
  </si>
  <si>
    <t>Christopher Navarro    Emmanuel Maldonado    Jason Estevez    Nicolas Nicosia</t>
  </si>
  <si>
    <t>Students-117</t>
  </si>
  <si>
    <t>Breanna Canfield    Isela Pina    Juan Estrada    Kevin Arrieta</t>
  </si>
  <si>
    <t>Students-118</t>
  </si>
  <si>
    <t>Gustavo Hernandez    Jack De Jesus    Renato Santana</t>
  </si>
  <si>
    <t>Students-119</t>
  </si>
  <si>
    <t>Colby Priest    Isaias Teran    Justin Arroyo    Todd Miller</t>
  </si>
  <si>
    <t>Students-120</t>
  </si>
  <si>
    <t>Alexander Serrano    Myca Erica Icban    Yajaira Elizondo    Yessica Mares Barriga</t>
  </si>
  <si>
    <t>Students-121</t>
  </si>
  <si>
    <t>David Amezcua    Dominique Gabri Inocencio    Iyari Romo    Moises Amezcua</t>
  </si>
  <si>
    <t>Students-122</t>
  </si>
  <si>
    <t>Aaliyah Ruiz-Corral    Brian Lu    Jenifer Hernandez Garcia    Jarmaine Roxas</t>
  </si>
  <si>
    <t>Students-123</t>
  </si>
  <si>
    <t>Edward Franco    Joseph Robles    Sherwin Serrano    Yumie Lee</t>
  </si>
  <si>
    <t>Students-124</t>
  </si>
  <si>
    <t>Brock Fusi    Cameron Mercer    Juan Vigil    Valerie Larios</t>
  </si>
  <si>
    <t>Students-125</t>
  </si>
  <si>
    <t>Jose Avila-Garcia    Julian Pena Verduzco    Laura Gonzalez Rodriguez    Leonela Gutierrez    Orlando Hernandez</t>
  </si>
  <si>
    <t>Students-126</t>
  </si>
  <si>
    <t>Erick Rosiles    Isaiah Johnson    Juliana Leal    Christian-Alexa Jimenez</t>
  </si>
  <si>
    <t>Students-301</t>
  </si>
  <si>
    <t>Ariana Curtis    Jaime Gomez    Lauren Lane    Simone Romero</t>
  </si>
  <si>
    <t>Students-302</t>
  </si>
  <si>
    <t>Gabriel Lee    Ikenna Onuorah    Paul Stratton    Richard Edwards    Raul Viray Jr</t>
  </si>
  <si>
    <t>Students-303</t>
  </si>
  <si>
    <t>Christian Gallien    Ernesto Reyes    John Lor    Kristopher Tern</t>
  </si>
  <si>
    <t>Students-304</t>
  </si>
  <si>
    <t>Ben Dong    Haolin Li    Justin Chang    Simran Jhinger</t>
  </si>
  <si>
    <t>Students-305</t>
  </si>
  <si>
    <t>Carolyn Cui    Damian Gabriel    Zakaria Fares</t>
  </si>
  <si>
    <t>Students-306</t>
  </si>
  <si>
    <t>An Nguyen    Clayton Cygnet    Christian Duan    Henry Wang    Noorulain Irshad</t>
  </si>
  <si>
    <t>Students-307</t>
  </si>
  <si>
    <t>Christopher Tapia    Esteban Orihuela    Michael Moua    Steven Plascencia Galvan    Virginia Manandeg</t>
  </si>
  <si>
    <t>Students-308</t>
  </si>
  <si>
    <t>Aditya Lakkoju    Allyson Saelee    Brandon Jia    Carlos Trimbell    Ritesh Patro</t>
  </si>
  <si>
    <t>Students-309</t>
  </si>
  <si>
    <t>Angel Gurrola    Ethan Chen    Erick Hieng    Francisco Arias    Ryan Zhou</t>
  </si>
  <si>
    <t>Students-310</t>
  </si>
  <si>
    <t>Draven Medina    Daniel Xing    Eric Rydberg    Harold Aranda Salas    Kieran Pfann</t>
  </si>
  <si>
    <t>Draven Medina, Daniel Xing, Eric Rydberg, Harold Aranda Salas, Kieran Pfann</t>
  </si>
  <si>
    <t>Students-311</t>
  </si>
  <si>
    <t>Austin Brown    Andre Limos    Luis Ornelas-Montes    Seth O'masters    Haris Khan</t>
  </si>
  <si>
    <t>Austin Brown, Andre Limos, Luis Ornelas-Montes, Seth O'masters, Haris Khan</t>
  </si>
  <si>
    <t>Students-312</t>
  </si>
  <si>
    <t>Haris Khan    Julien Crespo    James Phillips    Lucero Ascencio    Simon Liu</t>
  </si>
  <si>
    <t>Students-313</t>
  </si>
  <si>
    <t>Artur Musayelyan    Briam Martinez    Heath Bacon    Isaac Sousa    Steven Spangler</t>
  </si>
  <si>
    <t>Students-314</t>
  </si>
  <si>
    <t>Aaron Nam    CJ Cox    Cameron Wat    Jose Cano Gallardo    Wendy Haw</t>
  </si>
  <si>
    <t>Students-315</t>
  </si>
  <si>
    <t>Arav Gupta    Jason Holmes    Lester Kendrick    Nikita Yadav    stephen schertz</t>
  </si>
  <si>
    <t>Arav Gupta, Jason Holmes, Lester Kendrick, Nikita Yadav, stephen schertz</t>
  </si>
  <si>
    <t>Students-316</t>
  </si>
  <si>
    <t>Ashley Gonzalez Perez    AJ Grant    Rodolfo Galvan Nunez    Rohit Rao    Thomas Kellogg</t>
  </si>
  <si>
    <t>Students-317</t>
  </si>
  <si>
    <t>Bodrul Babul    Daniel Ramirez    Michael Vangsycha</t>
  </si>
  <si>
    <t>Students-318</t>
  </si>
  <si>
    <t>Braydon Hart    Crystal Rajan    Elvis Bui    Eric Casillas    Raphael Cruanes</t>
  </si>
  <si>
    <t>Students-319</t>
  </si>
  <si>
    <t>Bailey Davis    Corbin Ward    Eric Contreras    Kyle Awayan    Rafiul Islam</t>
  </si>
  <si>
    <t>Students-320</t>
  </si>
  <si>
    <t>Ariana Quiroz-Alvarez    Claire Hallock    Jose Ruiz    Kianna Ng    Rufael Zeleke</t>
  </si>
  <si>
    <t>Ariana Quiroz-Alvarez, Claire Hallock, Jose Ruiz, Kianna Ng, Rufael Zeleke</t>
  </si>
  <si>
    <t>Students-321</t>
  </si>
  <si>
    <t>Eric Ferguson    Jack McGuinness    Kevin Ramirez Guzman    Liam Morgan    Lorenzo Stewart</t>
  </si>
  <si>
    <t>Students-322</t>
  </si>
  <si>
    <t>adam bowen    Madeline Reiterman    Swapnil Kumar    Said Olguin</t>
  </si>
  <si>
    <t>adam bowen, Madeline Reiterman, Swapnil Kumar, Said Olguin</t>
  </si>
  <si>
    <t>Students-323</t>
  </si>
  <si>
    <t>Calvin Bayaua    Gaige Bonderer    Jennifer Rosen    Sofia Nicole Cando</t>
  </si>
  <si>
    <t>Students-324</t>
  </si>
  <si>
    <t>Andrew Garza    Alexander Hitt    Angel Ibarra    Cristian Espinosa    Javier Miranda</t>
  </si>
  <si>
    <t>Students-325</t>
  </si>
  <si>
    <t>AAKASH KOIRALA    Donte' Williams    Luis Zaragoza    Valerie Zaira Pulido    Zhijian Wang</t>
  </si>
  <si>
    <t>AAKASH KOIRALA, Donte' Williams, Luis Zaragoza, Valerie Zaira Pulido, Zhijian Wang</t>
  </si>
  <si>
    <t>Students-326</t>
  </si>
  <si>
    <t>Raivat Alwar    Tyler Truong    Vansh Venugopal</t>
  </si>
  <si>
    <t>Students-327</t>
  </si>
  <si>
    <t>Alex Wan    Dovran Rejepov    Kameron Tankhamvang    Ramiro Cuevas    Rohan Makkar</t>
  </si>
  <si>
    <t>2022-01-Spring-CAP1</t>
  </si>
  <si>
    <t>2022-01-Spring-CAP2</t>
  </si>
  <si>
    <t>Dave Wilson Nursery</t>
  </si>
  <si>
    <t>2022-01-Spring-CAP3</t>
  </si>
  <si>
    <t>2022-01-Spring-CAP4</t>
  </si>
  <si>
    <t>2022-01-Spring-CAP5</t>
  </si>
  <si>
    <t>2022-01-Spring-CAP6</t>
  </si>
  <si>
    <t>2022-01-Spring-CAP7</t>
  </si>
  <si>
    <t>2022-01-Spring-CAP8</t>
  </si>
  <si>
    <t>2022-01-Spring-CAP9</t>
  </si>
  <si>
    <t>Klingborg Enterprises</t>
  </si>
  <si>
    <t>Gemperle Orchards</t>
  </si>
  <si>
    <t>Land O' Lakes</t>
  </si>
  <si>
    <t>UC Merced - The Pi Shop</t>
  </si>
  <si>
    <t>California Transplants</t>
  </si>
  <si>
    <t>Laird Manufacturing</t>
  </si>
  <si>
    <t>Olam</t>
  </si>
  <si>
    <t>Duarte Nursery</t>
  </si>
  <si>
    <t>Neil Jones Foods (TomaTek)</t>
  </si>
  <si>
    <t>Neil Jones Foods (San Benito Foods)</t>
  </si>
  <si>
    <t>Corigin Solutions</t>
  </si>
  <si>
    <t>2022-01-Spring-CSE</t>
  </si>
  <si>
    <t>Winston Cone Optics</t>
  </si>
  <si>
    <t>Sweep Energy</t>
  </si>
  <si>
    <t>Gemperle Family Farms</t>
  </si>
  <si>
    <t>US Cold Storage</t>
  </si>
  <si>
    <t>Veracruz Ventures</t>
  </si>
  <si>
    <t>ISSNAF</t>
  </si>
  <si>
    <t>Betts Company</t>
  </si>
  <si>
    <t>SLAC National Accelerator Laboratory</t>
  </si>
  <si>
    <t>UCSF</t>
  </si>
  <si>
    <t>2022-01-Spring-CEE</t>
  </si>
  <si>
    <t>2022-01-Spring-EngSL</t>
  </si>
  <si>
    <t>Neil Jones Foods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</si>
</sst>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8">
    <font>
      <sz val="10.0"/>
      <color rgb="FF000000"/>
      <name val="Arial"/>
      <scheme val="minor"/>
    </font>
    <font>
      <b/>
      <sz val="9.0"/>
      <color theme="1"/>
      <name val="Arial"/>
    </font>
    <font>
      <sz val="9.0"/>
      <color theme="1"/>
      <name val="Arial"/>
    </font>
    <font>
      <sz val="9.0"/>
      <color theme="1"/>
      <name val="Arial"/>
      <scheme val="minor"/>
    </font>
    <font>
      <color theme="1"/>
      <name val="Arial"/>
      <scheme val="minor"/>
    </font>
    <font>
      <u/>
      <sz val="9.0"/>
      <color theme="1"/>
      <name val="Arial"/>
    </font>
    <font>
      <sz val="9.0"/>
      <color rgb="FF222222"/>
      <name val="Arial"/>
    </font>
    <font>
      <sz val="9.0"/>
      <color rgb="FF000000"/>
      <name val="Arial"/>
    </font>
  </fonts>
  <fills count="5">
    <fill>
      <patternFill patternType="none"/>
    </fill>
    <fill>
      <patternFill patternType="lightGray"/>
    </fill>
    <fill>
      <patternFill patternType="solid">
        <fgColor rgb="FFCCCCCC"/>
        <bgColor rgb="FFCCCCCC"/>
      </patternFill>
    </fill>
    <fill>
      <patternFill patternType="solid">
        <fgColor rgb="FF666666"/>
        <bgColor rgb="FF666666"/>
      </patternFill>
    </fill>
    <fill>
      <patternFill patternType="solid">
        <fgColor rgb="FFFFFFFF"/>
        <bgColor rgb="FFFFFFFF"/>
      </patternFill>
    </fill>
  </fills>
  <borders count="1">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0"/>
    </xf>
    <xf borderId="0" fillId="2" fontId="1" numFmtId="164" xfId="0" applyAlignment="1" applyFont="1" applyNumberFormat="1">
      <alignment horizontal="left" shrinkToFit="0" vertical="center" wrapText="0"/>
    </xf>
    <xf borderId="0" fillId="2" fontId="1" numFmtId="0" xfId="0" applyAlignment="1" applyFont="1">
      <alignment horizontal="left" shrinkToFit="0" vertical="center" wrapText="0"/>
    </xf>
    <xf borderId="0" fillId="3" fontId="1" numFmtId="0" xfId="0" applyAlignment="1" applyFill="1" applyFont="1">
      <alignment horizontal="left" readingOrder="0" shrinkToFit="0" vertical="center"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2" numFmtId="0" xfId="0" applyAlignment="1" applyFont="1">
      <alignment horizontal="left" shrinkToFit="0" vertical="center" wrapText="0"/>
    </xf>
    <xf borderId="0" fillId="4" fontId="2" numFmtId="0" xfId="0" applyAlignment="1" applyFill="1" applyFont="1">
      <alignment horizontal="left" readingOrder="0" shrinkToFit="0" vertical="center" wrapText="0"/>
    </xf>
    <xf borderId="0" fillId="0" fontId="3" numFmtId="0" xfId="0" applyAlignment="1" applyFont="1">
      <alignment horizontal="left" shrinkToFit="0" vertical="center" wrapText="0"/>
    </xf>
    <xf borderId="0" fillId="0" fontId="4" numFmtId="0" xfId="0" applyAlignment="1" applyFont="1">
      <alignment horizontal="left" vertical="center"/>
    </xf>
    <xf borderId="0" fillId="0" fontId="3" numFmtId="0" xfId="0" applyAlignment="1" applyFont="1">
      <alignment horizontal="left" readingOrder="0" shrinkToFit="0" vertical="center" wrapText="0"/>
    </xf>
    <xf borderId="0" fillId="0" fontId="2" numFmtId="0" xfId="0" applyAlignment="1" applyFont="1">
      <alignment horizontal="left" shrinkToFit="0" vertical="center" wrapText="0"/>
    </xf>
    <xf borderId="0" fillId="0" fontId="4" numFmtId="0" xfId="0" applyAlignment="1" applyFont="1">
      <alignment horizontal="left" readingOrder="0" vertical="center"/>
    </xf>
    <xf borderId="0" fillId="0" fontId="5" numFmtId="0" xfId="0" applyAlignment="1" applyFont="1">
      <alignment horizontal="left" readingOrder="0" shrinkToFit="0" vertical="center" wrapText="0"/>
    </xf>
    <xf borderId="0" fillId="4" fontId="6" numFmtId="0" xfId="0" applyAlignment="1" applyFont="1">
      <alignment readingOrder="0"/>
    </xf>
    <xf borderId="0" fillId="4" fontId="6" numFmtId="0" xfId="0" applyAlignment="1" applyFont="1">
      <alignment readingOrder="0" vertical="top"/>
    </xf>
    <xf borderId="0" fillId="0" fontId="2" numFmtId="0" xfId="0" applyAlignment="1" applyFont="1">
      <alignment horizontal="left" readingOrder="0" shrinkToFit="0" vertical="center" wrapText="0"/>
    </xf>
    <xf borderId="0" fillId="0" fontId="7" numFmtId="0" xfId="0" applyAlignment="1" applyFont="1">
      <alignment horizontal="left" readingOrder="0" shrinkToFit="0" vertical="center" wrapText="0"/>
    </xf>
    <xf borderId="0" fillId="0" fontId="4" numFmtId="0" xfId="0" applyAlignment="1" applyFont="1">
      <alignment horizontal="left" readingOrder="0" shrinkToFit="0" vertical="center" wrapText="0"/>
    </xf>
    <xf borderId="0" fillId="0" fontId="4" numFmtId="0" xfId="0" applyAlignment="1" applyFont="1">
      <alignment horizontal="left" shrinkToFit="0" vertical="center" wrapText="0"/>
    </xf>
    <xf borderId="0" fillId="0" fontId="4" numFmtId="0" xfId="0" applyAlignment="1" applyFont="1">
      <alignment horizontal="left" readingOrder="0"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daz.lv"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6.75"/>
    <col customWidth="1" min="3" max="3" width="15.38"/>
    <col customWidth="1" min="4" max="4" width="5.75"/>
    <col customWidth="1" min="5" max="5" width="6.38"/>
    <col customWidth="1" min="6" max="6" width="14.25"/>
    <col customWidth="1" min="7" max="7" width="16.0"/>
    <col customWidth="1" min="8" max="8" width="16.5"/>
    <col customWidth="1" min="9" max="9" width="11.5"/>
    <col customWidth="1" min="10" max="10" width="52.38"/>
    <col customWidth="1" min="11" max="11" width="65.75"/>
    <col customWidth="1" min="12" max="12" width="92.75"/>
  </cols>
  <sheetData>
    <row r="1" ht="18.75" customHeight="1">
      <c r="A1" s="1" t="s">
        <v>0</v>
      </c>
      <c r="B1" s="2" t="s">
        <v>1</v>
      </c>
      <c r="C1" s="1" t="s">
        <v>2</v>
      </c>
      <c r="D1" s="1" t="s">
        <v>3</v>
      </c>
      <c r="E1" s="3" t="s">
        <v>4</v>
      </c>
      <c r="F1" s="1" t="s">
        <v>5</v>
      </c>
      <c r="G1" s="1" t="s">
        <v>6</v>
      </c>
      <c r="H1" s="1" t="s">
        <v>7</v>
      </c>
      <c r="I1" s="1" t="s">
        <v>8</v>
      </c>
      <c r="J1" s="4" t="s">
        <v>9</v>
      </c>
      <c r="K1" s="4" t="s">
        <v>10</v>
      </c>
      <c r="L1" s="5" t="s">
        <v>11</v>
      </c>
      <c r="M1" s="6"/>
      <c r="N1" s="7"/>
      <c r="O1" s="7"/>
      <c r="P1" s="7"/>
      <c r="Q1" s="7"/>
      <c r="R1" s="7"/>
      <c r="S1" s="7"/>
      <c r="T1" s="7"/>
      <c r="U1" s="7"/>
      <c r="V1" s="7"/>
      <c r="W1" s="7"/>
      <c r="X1" s="7"/>
      <c r="Y1" s="7"/>
    </row>
    <row r="2" ht="18.75" customHeight="1">
      <c r="A2" s="6">
        <v>4.0</v>
      </c>
      <c r="B2" s="6">
        <v>1.0</v>
      </c>
      <c r="C2" s="8" t="s">
        <v>12</v>
      </c>
      <c r="D2" s="8" t="s">
        <v>13</v>
      </c>
      <c r="E2" s="6">
        <v>101.0</v>
      </c>
      <c r="F2" s="6" t="s">
        <v>14</v>
      </c>
      <c r="G2" s="8" t="s">
        <v>15</v>
      </c>
      <c r="H2" s="6" t="s">
        <v>16</v>
      </c>
      <c r="I2" s="6" t="s">
        <v>17</v>
      </c>
      <c r="J2" s="8" t="s">
        <v>18</v>
      </c>
      <c r="K2" s="6" t="s">
        <v>19</v>
      </c>
      <c r="L2" s="6" t="str">
        <f t="shared" ref="L2:L67" si="1">"Team: " &amp; F2 &amp; "  -  Project: " &amp; G2</f>
        <v>Team: ESG (ElectroSpinning Group)  -  Project: Electrospinning</v>
      </c>
      <c r="M2" s="7"/>
      <c r="N2" s="9"/>
      <c r="O2" s="7"/>
      <c r="P2" s="7"/>
      <c r="Q2" s="7"/>
      <c r="R2" s="7"/>
      <c r="S2" s="7"/>
      <c r="T2" s="7"/>
      <c r="U2" s="7"/>
      <c r="V2" s="7"/>
      <c r="W2" s="7"/>
      <c r="X2" s="7"/>
      <c r="Y2" s="7"/>
    </row>
    <row r="3" ht="18.75" customHeight="1">
      <c r="A3" s="6">
        <v>2.0</v>
      </c>
      <c r="B3" s="6">
        <v>2.0</v>
      </c>
      <c r="C3" s="8" t="s">
        <v>12</v>
      </c>
      <c r="D3" s="8" t="s">
        <v>13</v>
      </c>
      <c r="E3" s="6">
        <v>102.0</v>
      </c>
      <c r="F3" s="6" t="s">
        <v>20</v>
      </c>
      <c r="G3" s="8" t="s">
        <v>21</v>
      </c>
      <c r="H3" s="6" t="s">
        <v>22</v>
      </c>
      <c r="I3" s="6" t="s">
        <v>23</v>
      </c>
      <c r="J3" s="8" t="s">
        <v>24</v>
      </c>
      <c r="K3" s="6" t="s">
        <v>25</v>
      </c>
      <c r="L3" s="6" t="str">
        <f t="shared" si="1"/>
        <v>Team: SolarSizzle  -  Project: 3D Printing Funnel CPC Blocks 2-Set for Thru-Reflector-Wall (TRW) Solar Cooker-Kitchens</v>
      </c>
      <c r="M3" s="7"/>
      <c r="N3" s="9"/>
      <c r="O3" s="7"/>
      <c r="P3" s="7"/>
      <c r="Q3" s="7"/>
      <c r="R3" s="7"/>
      <c r="S3" s="7"/>
      <c r="T3" s="7"/>
      <c r="U3" s="7"/>
      <c r="V3" s="7"/>
      <c r="W3" s="7"/>
      <c r="X3" s="7"/>
      <c r="Y3" s="7"/>
    </row>
    <row r="4" ht="18.75" customHeight="1">
      <c r="A4" s="6">
        <v>1.0</v>
      </c>
      <c r="B4" s="6">
        <v>3.0</v>
      </c>
      <c r="C4" s="8" t="s">
        <v>12</v>
      </c>
      <c r="D4" s="8" t="s">
        <v>13</v>
      </c>
      <c r="E4" s="6">
        <v>103.0</v>
      </c>
      <c r="F4" s="6" t="s">
        <v>26</v>
      </c>
      <c r="G4" s="8" t="s">
        <v>27</v>
      </c>
      <c r="H4" s="6" t="s">
        <v>28</v>
      </c>
      <c r="I4" s="6" t="s">
        <v>29</v>
      </c>
      <c r="J4" s="8" t="s">
        <v>30</v>
      </c>
      <c r="K4" s="6" t="s">
        <v>31</v>
      </c>
      <c r="L4" s="6" t="str">
        <f t="shared" si="1"/>
        <v>Team: The Morning Stars  -  Project: Drum Pallet Sorting and Dispensing</v>
      </c>
      <c r="M4" s="7"/>
      <c r="N4" s="9"/>
      <c r="O4" s="7"/>
      <c r="P4" s="7"/>
      <c r="Q4" s="7"/>
      <c r="R4" s="7"/>
      <c r="S4" s="7"/>
      <c r="T4" s="7"/>
      <c r="U4" s="7"/>
      <c r="V4" s="7"/>
      <c r="W4" s="7"/>
      <c r="X4" s="7"/>
      <c r="Y4" s="7"/>
    </row>
    <row r="5" ht="18.75" customHeight="1">
      <c r="A5" s="6">
        <v>4.0</v>
      </c>
      <c r="B5" s="6">
        <v>3.0</v>
      </c>
      <c r="C5" s="8" t="s">
        <v>12</v>
      </c>
      <c r="D5" s="8" t="s">
        <v>13</v>
      </c>
      <c r="E5" s="6">
        <v>104.0</v>
      </c>
      <c r="F5" s="6" t="s">
        <v>32</v>
      </c>
      <c r="G5" s="8" t="s">
        <v>33</v>
      </c>
      <c r="H5" s="6" t="s">
        <v>34</v>
      </c>
      <c r="I5" s="6" t="s">
        <v>35</v>
      </c>
      <c r="J5" s="8" t="s">
        <v>36</v>
      </c>
      <c r="K5" s="6" t="s">
        <v>37</v>
      </c>
      <c r="L5" s="6" t="str">
        <f t="shared" si="1"/>
        <v>Team: Team HVAC  -  Project: HVAC Design</v>
      </c>
      <c r="M5" s="7"/>
      <c r="N5" s="9"/>
      <c r="O5" s="7"/>
      <c r="P5" s="7"/>
      <c r="Q5" s="7"/>
      <c r="R5" s="7"/>
      <c r="S5" s="7"/>
      <c r="T5" s="7"/>
      <c r="U5" s="7"/>
      <c r="V5" s="7"/>
      <c r="W5" s="7"/>
      <c r="X5" s="7"/>
      <c r="Y5" s="7"/>
    </row>
    <row r="6" ht="18.75" customHeight="1">
      <c r="A6" s="6">
        <v>4.0</v>
      </c>
      <c r="B6" s="6">
        <v>6.0</v>
      </c>
      <c r="C6" s="8" t="s">
        <v>12</v>
      </c>
      <c r="D6" s="8" t="s">
        <v>13</v>
      </c>
      <c r="E6" s="6">
        <v>105.0</v>
      </c>
      <c r="F6" s="6" t="s">
        <v>38</v>
      </c>
      <c r="G6" s="8" t="s">
        <v>39</v>
      </c>
      <c r="H6" s="6" t="s">
        <v>16</v>
      </c>
      <c r="I6" s="6" t="s">
        <v>17</v>
      </c>
      <c r="J6" s="8" t="s">
        <v>40</v>
      </c>
      <c r="K6" s="6" t="s">
        <v>41</v>
      </c>
      <c r="L6" s="6" t="str">
        <f t="shared" si="1"/>
        <v>Team: Fantastic Plastic  -  Project: 3D Printed swag used to give out on Bobcat Day for outreaching and engagement purposes</v>
      </c>
      <c r="M6" s="7"/>
      <c r="N6" s="9"/>
      <c r="O6" s="7"/>
      <c r="P6" s="7"/>
      <c r="Q6" s="7"/>
      <c r="R6" s="7"/>
      <c r="S6" s="7"/>
      <c r="T6" s="7"/>
      <c r="U6" s="7"/>
      <c r="V6" s="7"/>
      <c r="W6" s="7"/>
      <c r="X6" s="7"/>
      <c r="Y6" s="7"/>
    </row>
    <row r="7" ht="18.75" customHeight="1">
      <c r="A7" s="6">
        <v>3.0</v>
      </c>
      <c r="B7" s="6">
        <v>1.0</v>
      </c>
      <c r="C7" s="8" t="s">
        <v>12</v>
      </c>
      <c r="D7" s="8" t="s">
        <v>13</v>
      </c>
      <c r="E7" s="6">
        <v>106.0</v>
      </c>
      <c r="F7" s="6" t="s">
        <v>42</v>
      </c>
      <c r="G7" s="8" t="s">
        <v>43</v>
      </c>
      <c r="H7" s="6" t="s">
        <v>44</v>
      </c>
      <c r="I7" s="6" t="s">
        <v>45</v>
      </c>
      <c r="J7" s="8" t="s">
        <v>46</v>
      </c>
      <c r="K7" s="6" t="s">
        <v>47</v>
      </c>
      <c r="L7" s="6" t="str">
        <f t="shared" si="1"/>
        <v>Team: CNC (Carbon Negative Cotton)  -  Project: Carbon Negative Cotton Planter</v>
      </c>
      <c r="M7" s="7"/>
      <c r="N7" s="9"/>
      <c r="O7" s="7"/>
      <c r="P7" s="7"/>
      <c r="Q7" s="7"/>
      <c r="R7" s="7"/>
      <c r="S7" s="7"/>
      <c r="T7" s="7"/>
      <c r="U7" s="7"/>
      <c r="V7" s="7"/>
      <c r="W7" s="7"/>
      <c r="X7" s="7"/>
      <c r="Y7" s="7"/>
    </row>
    <row r="8" ht="18.75" customHeight="1">
      <c r="A8" s="6">
        <v>3.0</v>
      </c>
      <c r="B8" s="6">
        <v>2.0</v>
      </c>
      <c r="C8" s="8" t="s">
        <v>12</v>
      </c>
      <c r="D8" s="8" t="s">
        <v>13</v>
      </c>
      <c r="E8" s="6">
        <v>107.0</v>
      </c>
      <c r="F8" s="6" t="s">
        <v>48</v>
      </c>
      <c r="G8" s="8" t="s">
        <v>49</v>
      </c>
      <c r="H8" s="6" t="s">
        <v>44</v>
      </c>
      <c r="I8" s="6" t="s">
        <v>45</v>
      </c>
      <c r="J8" s="8" t="s">
        <v>50</v>
      </c>
      <c r="K8" s="6" t="s">
        <v>51</v>
      </c>
      <c r="L8" s="6" t="str">
        <f t="shared" si="1"/>
        <v>Team: Urine Harvesters Collective  -  Project: Urine Collection for Agricultural Fertilizer Use</v>
      </c>
      <c r="M8" s="7"/>
      <c r="N8" s="9"/>
      <c r="O8" s="7"/>
      <c r="P8" s="7"/>
      <c r="Q8" s="7"/>
      <c r="R8" s="7"/>
      <c r="S8" s="7"/>
      <c r="T8" s="7"/>
      <c r="U8" s="7"/>
      <c r="V8" s="7"/>
      <c r="W8" s="7"/>
      <c r="X8" s="7"/>
      <c r="Y8" s="7"/>
    </row>
    <row r="9" ht="18.75" customHeight="1">
      <c r="A9" s="6">
        <v>2.0</v>
      </c>
      <c r="B9" s="6">
        <v>3.0</v>
      </c>
      <c r="C9" s="8" t="s">
        <v>12</v>
      </c>
      <c r="D9" s="8" t="s">
        <v>13</v>
      </c>
      <c r="E9" s="6">
        <v>108.0</v>
      </c>
      <c r="F9" s="6" t="s">
        <v>52</v>
      </c>
      <c r="G9" s="8" t="s">
        <v>53</v>
      </c>
      <c r="H9" s="6" t="s">
        <v>54</v>
      </c>
      <c r="I9" s="6" t="s">
        <v>55</v>
      </c>
      <c r="J9" s="8" t="s">
        <v>56</v>
      </c>
      <c r="K9" s="6" t="s">
        <v>57</v>
      </c>
      <c r="L9" s="6" t="str">
        <f t="shared" si="1"/>
        <v>Team: Acousticops  -  Project: Vent Structure Sound Attenuation</v>
      </c>
      <c r="M9" s="7"/>
      <c r="N9" s="9"/>
      <c r="O9" s="7"/>
      <c r="P9" s="7"/>
      <c r="Q9" s="7"/>
      <c r="R9" s="7"/>
      <c r="S9" s="7"/>
      <c r="T9" s="7"/>
      <c r="U9" s="7"/>
      <c r="V9" s="7"/>
      <c r="W9" s="7"/>
      <c r="X9" s="7"/>
      <c r="Y9" s="7"/>
    </row>
    <row r="10" ht="18.75" customHeight="1">
      <c r="A10" s="6">
        <v>2.0</v>
      </c>
      <c r="B10" s="6">
        <v>4.0</v>
      </c>
      <c r="C10" s="8" t="s">
        <v>12</v>
      </c>
      <c r="D10" s="8" t="s">
        <v>13</v>
      </c>
      <c r="E10" s="6">
        <v>109.0</v>
      </c>
      <c r="F10" s="6" t="s">
        <v>58</v>
      </c>
      <c r="G10" s="8" t="s">
        <v>59</v>
      </c>
      <c r="H10" s="6" t="s">
        <v>54</v>
      </c>
      <c r="I10" s="6" t="s">
        <v>55</v>
      </c>
      <c r="J10" s="8" t="s">
        <v>60</v>
      </c>
      <c r="K10" s="6" t="s">
        <v>61</v>
      </c>
      <c r="L10" s="6" t="str">
        <f t="shared" si="1"/>
        <v>Team: Hushrail Technologies  -  Project: Tunnel Sound Attenuation</v>
      </c>
      <c r="M10" s="7"/>
      <c r="N10" s="9"/>
      <c r="O10" s="7"/>
      <c r="P10" s="7"/>
      <c r="Q10" s="7"/>
      <c r="R10" s="7"/>
      <c r="S10" s="7"/>
      <c r="T10" s="7"/>
      <c r="U10" s="7"/>
      <c r="V10" s="7"/>
      <c r="W10" s="7"/>
      <c r="X10" s="7"/>
      <c r="Y10" s="7"/>
    </row>
    <row r="11" ht="18.75" customHeight="1">
      <c r="A11" s="6">
        <v>2.0</v>
      </c>
      <c r="B11" s="6">
        <v>5.0</v>
      </c>
      <c r="C11" s="8" t="s">
        <v>12</v>
      </c>
      <c r="D11" s="8" t="s">
        <v>13</v>
      </c>
      <c r="E11" s="6">
        <v>110.0</v>
      </c>
      <c r="F11" s="6" t="s">
        <v>62</v>
      </c>
      <c r="G11" s="8" t="s">
        <v>63</v>
      </c>
      <c r="H11" s="6" t="s">
        <v>54</v>
      </c>
      <c r="I11" s="6" t="s">
        <v>55</v>
      </c>
      <c r="J11" s="8" t="s">
        <v>64</v>
      </c>
      <c r="K11" s="6" t="s">
        <v>65</v>
      </c>
      <c r="L11" s="6" t="str">
        <f t="shared" si="1"/>
        <v>Team: H2O Efficiency Team  -  Project: BART Train Washer Efficiency</v>
      </c>
      <c r="M11" s="7"/>
      <c r="N11" s="9"/>
      <c r="O11" s="7"/>
      <c r="P11" s="7"/>
      <c r="Q11" s="7"/>
      <c r="R11" s="7"/>
      <c r="S11" s="7"/>
      <c r="T11" s="7"/>
      <c r="U11" s="7"/>
      <c r="V11" s="7"/>
      <c r="W11" s="7"/>
      <c r="X11" s="7"/>
      <c r="Y11" s="7"/>
    </row>
    <row r="12" ht="18.75" customHeight="1">
      <c r="A12" s="6">
        <v>3.0</v>
      </c>
      <c r="B12" s="6">
        <v>4.0</v>
      </c>
      <c r="C12" s="8" t="s">
        <v>12</v>
      </c>
      <c r="D12" s="8" t="s">
        <v>13</v>
      </c>
      <c r="E12" s="6">
        <v>111.0</v>
      </c>
      <c r="F12" s="6" t="s">
        <v>66</v>
      </c>
      <c r="G12" s="8" t="s">
        <v>67</v>
      </c>
      <c r="H12" s="6" t="s">
        <v>68</v>
      </c>
      <c r="I12" s="6" t="s">
        <v>29</v>
      </c>
      <c r="J12" s="8" t="s">
        <v>69</v>
      </c>
      <c r="K12" s="6" t="s">
        <v>70</v>
      </c>
      <c r="L12" s="6" t="str">
        <f t="shared" si="1"/>
        <v>Team: Fiber Force  -  Project: Warped Fiber Straightening Tool</v>
      </c>
      <c r="M12" s="7"/>
      <c r="N12" s="9"/>
      <c r="O12" s="7"/>
      <c r="P12" s="7"/>
      <c r="Q12" s="7"/>
      <c r="R12" s="7"/>
      <c r="S12" s="7"/>
      <c r="T12" s="7"/>
      <c r="U12" s="7"/>
      <c r="V12" s="7"/>
      <c r="W12" s="7"/>
      <c r="X12" s="7"/>
      <c r="Y12" s="7"/>
    </row>
    <row r="13" ht="18.75" customHeight="1">
      <c r="A13" s="6">
        <v>3.0</v>
      </c>
      <c r="B13" s="6">
        <v>5.0</v>
      </c>
      <c r="C13" s="8" t="s">
        <v>12</v>
      </c>
      <c r="D13" s="8" t="s">
        <v>13</v>
      </c>
      <c r="E13" s="6">
        <v>112.0</v>
      </c>
      <c r="F13" s="6" t="s">
        <v>71</v>
      </c>
      <c r="G13" s="8" t="s">
        <v>72</v>
      </c>
      <c r="H13" s="6" t="s">
        <v>68</v>
      </c>
      <c r="I13" s="6" t="s">
        <v>29</v>
      </c>
      <c r="J13" s="8" t="s">
        <v>73</v>
      </c>
      <c r="K13" s="6" t="s">
        <v>74</v>
      </c>
      <c r="L13" s="6" t="str">
        <f t="shared" si="1"/>
        <v>Team: Valve Precision Team  -  Project: Test Stand for Filler Valves</v>
      </c>
      <c r="M13" s="7"/>
      <c r="N13" s="9"/>
      <c r="O13" s="7"/>
      <c r="P13" s="7"/>
      <c r="Q13" s="7"/>
      <c r="R13" s="7"/>
      <c r="S13" s="7"/>
      <c r="T13" s="7"/>
      <c r="U13" s="7"/>
      <c r="V13" s="7"/>
      <c r="W13" s="7"/>
      <c r="X13" s="7"/>
      <c r="Y13" s="7"/>
    </row>
    <row r="14" ht="18.75" customHeight="1">
      <c r="A14" s="6">
        <v>5.0</v>
      </c>
      <c r="B14" s="6">
        <v>2.0</v>
      </c>
      <c r="C14" s="8" t="s">
        <v>12</v>
      </c>
      <c r="D14" s="8" t="s">
        <v>13</v>
      </c>
      <c r="E14" s="6">
        <v>113.0</v>
      </c>
      <c r="F14" s="6" t="s">
        <v>75</v>
      </c>
      <c r="G14" s="8" t="s">
        <v>76</v>
      </c>
      <c r="H14" s="6" t="s">
        <v>77</v>
      </c>
      <c r="I14" s="6" t="s">
        <v>29</v>
      </c>
      <c r="J14" s="8" t="s">
        <v>78</v>
      </c>
      <c r="K14" s="6" t="s">
        <v>79</v>
      </c>
      <c r="L14" s="6" t="str">
        <f t="shared" si="1"/>
        <v>Team: CAP 113  -  Project: Pkg 4 - Spillage</v>
      </c>
      <c r="M14" s="7"/>
      <c r="N14" s="9"/>
      <c r="O14" s="7"/>
      <c r="P14" s="7"/>
      <c r="Q14" s="7"/>
      <c r="R14" s="7"/>
      <c r="S14" s="7"/>
      <c r="T14" s="7"/>
      <c r="U14" s="7"/>
      <c r="V14" s="7"/>
      <c r="W14" s="7"/>
      <c r="X14" s="7"/>
      <c r="Y14" s="7"/>
    </row>
    <row r="15" ht="18.75" customHeight="1">
      <c r="A15" s="6">
        <v>5.0</v>
      </c>
      <c r="B15" s="6">
        <v>3.0</v>
      </c>
      <c r="C15" s="8" t="s">
        <v>12</v>
      </c>
      <c r="D15" s="8" t="s">
        <v>13</v>
      </c>
      <c r="E15" s="6">
        <v>114.0</v>
      </c>
      <c r="F15" s="6" t="s">
        <v>80</v>
      </c>
      <c r="G15" s="8" t="s">
        <v>81</v>
      </c>
      <c r="H15" s="6" t="s">
        <v>77</v>
      </c>
      <c r="I15" s="6" t="s">
        <v>29</v>
      </c>
      <c r="J15" s="8" t="s">
        <v>82</v>
      </c>
      <c r="K15" s="6" t="s">
        <v>83</v>
      </c>
      <c r="L15" s="6" t="str">
        <f t="shared" si="1"/>
        <v>Team: PK3 Spillage Prevention  -  Project: Boxing Efficiency</v>
      </c>
      <c r="M15" s="7"/>
      <c r="N15" s="9"/>
      <c r="O15" s="7"/>
      <c r="P15" s="7"/>
      <c r="Q15" s="7"/>
      <c r="R15" s="7"/>
      <c r="S15" s="7"/>
      <c r="T15" s="7"/>
      <c r="U15" s="7"/>
      <c r="V15" s="7"/>
      <c r="W15" s="7"/>
      <c r="X15" s="7"/>
      <c r="Y15" s="7"/>
    </row>
    <row r="16" ht="18.75" customHeight="1">
      <c r="A16" s="6">
        <v>4.0</v>
      </c>
      <c r="B16" s="6">
        <v>4.0</v>
      </c>
      <c r="C16" s="8" t="s">
        <v>12</v>
      </c>
      <c r="D16" s="8" t="s">
        <v>13</v>
      </c>
      <c r="E16" s="6">
        <v>115.0</v>
      </c>
      <c r="F16" s="6" t="s">
        <v>84</v>
      </c>
      <c r="G16" s="8" t="s">
        <v>85</v>
      </c>
      <c r="H16" s="6" t="s">
        <v>86</v>
      </c>
      <c r="I16" s="6" t="s">
        <v>35</v>
      </c>
      <c r="J16" s="8" t="s">
        <v>87</v>
      </c>
      <c r="K16" s="6" t="s">
        <v>88</v>
      </c>
      <c r="L16" s="6" t="str">
        <f t="shared" si="1"/>
        <v>Team: AM Diagnostics  -  Project: Metal Additive Manufacturing Build Diagnostic</v>
      </c>
      <c r="M16" s="7"/>
      <c r="N16" s="9"/>
      <c r="O16" s="7"/>
      <c r="P16" s="7"/>
      <c r="Q16" s="7"/>
      <c r="R16" s="7"/>
      <c r="S16" s="7"/>
      <c r="T16" s="7"/>
      <c r="U16" s="7"/>
      <c r="V16" s="7"/>
      <c r="W16" s="7"/>
      <c r="X16" s="7"/>
      <c r="Y16" s="7"/>
    </row>
    <row r="17" ht="18.75" customHeight="1">
      <c r="A17" s="6">
        <v>4.0</v>
      </c>
      <c r="B17" s="6">
        <v>5.0</v>
      </c>
      <c r="C17" s="8" t="s">
        <v>12</v>
      </c>
      <c r="D17" s="8" t="s">
        <v>13</v>
      </c>
      <c r="E17" s="6">
        <v>116.0</v>
      </c>
      <c r="F17" s="6" t="s">
        <v>89</v>
      </c>
      <c r="G17" s="8" t="s">
        <v>90</v>
      </c>
      <c r="H17" s="6" t="s">
        <v>86</v>
      </c>
      <c r="I17" s="6" t="s">
        <v>35</v>
      </c>
      <c r="J17" s="8" t="s">
        <v>91</v>
      </c>
      <c r="K17" s="6" t="s">
        <v>92</v>
      </c>
      <c r="L17" s="6" t="str">
        <f t="shared" si="1"/>
        <v>Team: E.N.R.G. - Explosive Nozzle Removal Group  -  Project: Powder Explosibility Nozzle Removal</v>
      </c>
      <c r="M17" s="7"/>
      <c r="N17" s="9"/>
      <c r="O17" s="7"/>
      <c r="P17" s="7"/>
      <c r="Q17" s="7"/>
      <c r="R17" s="7"/>
      <c r="S17" s="7"/>
      <c r="T17" s="7"/>
      <c r="U17" s="7"/>
      <c r="V17" s="7"/>
      <c r="W17" s="7"/>
      <c r="X17" s="7"/>
      <c r="Y17" s="7"/>
    </row>
    <row r="18" ht="18.75" customHeight="1">
      <c r="A18" s="6">
        <v>5.0</v>
      </c>
      <c r="B18" s="6">
        <v>1.0</v>
      </c>
      <c r="C18" s="8" t="s">
        <v>12</v>
      </c>
      <c r="D18" s="8" t="s">
        <v>13</v>
      </c>
      <c r="E18" s="6">
        <v>117.0</v>
      </c>
      <c r="F18" s="6" t="s">
        <v>93</v>
      </c>
      <c r="G18" s="8" t="s">
        <v>94</v>
      </c>
      <c r="H18" s="6" t="s">
        <v>95</v>
      </c>
      <c r="I18" s="6" t="s">
        <v>29</v>
      </c>
      <c r="J18" s="8" t="s">
        <v>96</v>
      </c>
      <c r="K18" s="6" t="s">
        <v>97</v>
      </c>
      <c r="L18" s="6" t="str">
        <f t="shared" si="1"/>
        <v>Team: AutoNuts  -  Project: Automatic Almond Sampling Device</v>
      </c>
      <c r="M18" s="7"/>
      <c r="N18" s="9"/>
      <c r="O18" s="7"/>
      <c r="P18" s="7"/>
      <c r="Q18" s="7"/>
      <c r="R18" s="7"/>
      <c r="S18" s="7"/>
      <c r="T18" s="7"/>
      <c r="U18" s="7"/>
      <c r="V18" s="7"/>
      <c r="W18" s="7"/>
      <c r="X18" s="7"/>
      <c r="Y18" s="7"/>
    </row>
    <row r="19" ht="18.75" customHeight="1">
      <c r="A19" s="6">
        <v>1.0</v>
      </c>
      <c r="B19" s="6">
        <v>4.0</v>
      </c>
      <c r="C19" s="8" t="s">
        <v>12</v>
      </c>
      <c r="D19" s="8" t="s">
        <v>13</v>
      </c>
      <c r="E19" s="6">
        <v>118.0</v>
      </c>
      <c r="F19" s="6" t="s">
        <v>98</v>
      </c>
      <c r="G19" s="8" t="s">
        <v>99</v>
      </c>
      <c r="H19" s="6" t="s">
        <v>100</v>
      </c>
      <c r="I19" s="6" t="s">
        <v>29</v>
      </c>
      <c r="J19" s="8" t="s">
        <v>101</v>
      </c>
      <c r="K19" s="6" t="s">
        <v>102</v>
      </c>
      <c r="L19" s="6" t="str">
        <f t="shared" si="1"/>
        <v>Team: Team Lays  -  Project: PSL Conveyor Fault Analysis &amp; Optimization</v>
      </c>
      <c r="M19" s="7"/>
      <c r="N19" s="9"/>
      <c r="O19" s="7"/>
      <c r="P19" s="7"/>
      <c r="Q19" s="7"/>
      <c r="R19" s="7"/>
      <c r="S19" s="7"/>
      <c r="T19" s="7"/>
      <c r="U19" s="7"/>
      <c r="V19" s="7"/>
      <c r="W19" s="7"/>
      <c r="X19" s="7"/>
      <c r="Y19" s="7"/>
    </row>
    <row r="20" ht="18.75" customHeight="1">
      <c r="A20" s="6">
        <v>5.0</v>
      </c>
      <c r="B20" s="6">
        <v>4.0</v>
      </c>
      <c r="C20" s="8" t="s">
        <v>12</v>
      </c>
      <c r="D20" s="8" t="s">
        <v>13</v>
      </c>
      <c r="E20" s="6">
        <v>119.0</v>
      </c>
      <c r="F20" s="6" t="s">
        <v>103</v>
      </c>
      <c r="G20" s="8" t="s">
        <v>104</v>
      </c>
      <c r="H20" s="6" t="s">
        <v>105</v>
      </c>
      <c r="I20" s="6" t="s">
        <v>29</v>
      </c>
      <c r="J20" s="8" t="s">
        <v>106</v>
      </c>
      <c r="K20" s="6" t="s">
        <v>107</v>
      </c>
      <c r="L20" s="6" t="str">
        <f t="shared" si="1"/>
        <v>Team: AgriTech Innovation  -  Project: Waterless High Throughput Pistachio Huller</v>
      </c>
      <c r="M20" s="7"/>
      <c r="N20" s="9"/>
      <c r="O20" s="7"/>
      <c r="P20" s="7"/>
      <c r="Q20" s="7"/>
      <c r="R20" s="7"/>
      <c r="S20" s="7"/>
      <c r="T20" s="7"/>
      <c r="U20" s="7"/>
      <c r="V20" s="7"/>
      <c r="W20" s="7"/>
      <c r="X20" s="7"/>
      <c r="Y20" s="7"/>
    </row>
    <row r="21" ht="18.75" customHeight="1">
      <c r="A21" s="6">
        <v>1.0</v>
      </c>
      <c r="B21" s="6">
        <v>5.0</v>
      </c>
      <c r="C21" s="8" t="s">
        <v>12</v>
      </c>
      <c r="D21" s="8" t="s">
        <v>13</v>
      </c>
      <c r="E21" s="6">
        <v>120.0</v>
      </c>
      <c r="F21" s="6" t="s">
        <v>108</v>
      </c>
      <c r="G21" s="8" t="s">
        <v>109</v>
      </c>
      <c r="H21" s="6" t="s">
        <v>110</v>
      </c>
      <c r="I21" s="6" t="s">
        <v>29</v>
      </c>
      <c r="J21" s="8" t="s">
        <v>111</v>
      </c>
      <c r="K21" s="6" t="s">
        <v>112</v>
      </c>
      <c r="L21" s="6" t="str">
        <f t="shared" si="1"/>
        <v>Team: Tomato Star  -  Project: Screen Damage Prevention Detection Tracking</v>
      </c>
      <c r="M21" s="7"/>
      <c r="N21" s="9"/>
      <c r="O21" s="7"/>
      <c r="P21" s="7"/>
      <c r="Q21" s="7"/>
      <c r="R21" s="7"/>
      <c r="S21" s="7"/>
      <c r="T21" s="7"/>
      <c r="U21" s="7"/>
      <c r="V21" s="7"/>
      <c r="W21" s="7"/>
      <c r="X21" s="7"/>
      <c r="Y21" s="7"/>
    </row>
    <row r="22" ht="18.75" customHeight="1">
      <c r="A22" s="6">
        <v>4.0</v>
      </c>
      <c r="B22" s="6">
        <v>2.0</v>
      </c>
      <c r="C22" s="8" t="s">
        <v>12</v>
      </c>
      <c r="D22" s="8" t="s">
        <v>13</v>
      </c>
      <c r="E22" s="6">
        <v>121.0</v>
      </c>
      <c r="F22" s="6" t="s">
        <v>113</v>
      </c>
      <c r="G22" s="8" t="s">
        <v>114</v>
      </c>
      <c r="H22" s="6" t="s">
        <v>16</v>
      </c>
      <c r="I22" s="6" t="s">
        <v>115</v>
      </c>
      <c r="J22" s="8" t="s">
        <v>116</v>
      </c>
      <c r="K22" s="6" t="s">
        <v>117</v>
      </c>
      <c r="L22" s="6" t="str">
        <f t="shared" si="1"/>
        <v>Team: **BLANK**  -  Project: Computer controlled motion control of a cell stretcher</v>
      </c>
      <c r="M22" s="7"/>
      <c r="N22" s="9"/>
      <c r="O22" s="7"/>
      <c r="P22" s="7"/>
      <c r="Q22" s="7"/>
      <c r="R22" s="7"/>
      <c r="S22" s="7"/>
      <c r="T22" s="7"/>
      <c r="U22" s="7"/>
      <c r="V22" s="7"/>
      <c r="W22" s="7"/>
      <c r="X22" s="7"/>
      <c r="Y22" s="7"/>
    </row>
    <row r="23" ht="18.75" customHeight="1">
      <c r="A23" s="6">
        <v>1.0</v>
      </c>
      <c r="B23" s="6">
        <v>1.0</v>
      </c>
      <c r="C23" s="8" t="s">
        <v>12</v>
      </c>
      <c r="D23" s="8" t="s">
        <v>13</v>
      </c>
      <c r="E23" s="6">
        <v>122.0</v>
      </c>
      <c r="F23" s="6" t="s">
        <v>118</v>
      </c>
      <c r="G23" s="8" t="s">
        <v>119</v>
      </c>
      <c r="H23" s="6" t="s">
        <v>120</v>
      </c>
      <c r="I23" s="6" t="s">
        <v>115</v>
      </c>
      <c r="J23" s="8" t="s">
        <v>121</v>
      </c>
      <c r="K23" s="6" t="s">
        <v>122</v>
      </c>
      <c r="L23" s="6" t="str">
        <f t="shared" si="1"/>
        <v>Team: RadiantGuide Innovation  -  Project: Precise Measurement Analysis for Interventional pain procedures to under fluoroscopic guidance</v>
      </c>
      <c r="M23" s="7"/>
      <c r="N23" s="9"/>
      <c r="O23" s="7"/>
      <c r="P23" s="7"/>
      <c r="Q23" s="7"/>
      <c r="R23" s="7"/>
      <c r="S23" s="7"/>
      <c r="T23" s="7"/>
      <c r="U23" s="7"/>
      <c r="V23" s="7"/>
      <c r="W23" s="7"/>
      <c r="X23" s="7"/>
      <c r="Y23" s="7"/>
    </row>
    <row r="24" ht="18.75" customHeight="1">
      <c r="A24" s="6">
        <v>1.0</v>
      </c>
      <c r="B24" s="6">
        <v>2.0</v>
      </c>
      <c r="C24" s="8" t="s">
        <v>12</v>
      </c>
      <c r="D24" s="8" t="s">
        <v>13</v>
      </c>
      <c r="E24" s="6">
        <v>123.0</v>
      </c>
      <c r="F24" s="6" t="s">
        <v>123</v>
      </c>
      <c r="G24" s="8" t="s">
        <v>124</v>
      </c>
      <c r="H24" s="6" t="s">
        <v>120</v>
      </c>
      <c r="I24" s="6" t="s">
        <v>115</v>
      </c>
      <c r="J24" s="8" t="s">
        <v>125</v>
      </c>
      <c r="K24" s="6" t="s">
        <v>126</v>
      </c>
      <c r="L24" s="6" t="str">
        <f t="shared" si="1"/>
        <v>Team: Precise Pressure Analysis  -  Project: Precise Syringe Pressure Analysis for spinal pain management injections and joints</v>
      </c>
      <c r="M24" s="7"/>
      <c r="N24" s="9"/>
      <c r="O24" s="7"/>
      <c r="P24" s="7"/>
      <c r="Q24" s="7"/>
      <c r="R24" s="7"/>
      <c r="S24" s="7"/>
      <c r="T24" s="7"/>
      <c r="U24" s="7"/>
      <c r="V24" s="7"/>
      <c r="W24" s="7"/>
      <c r="X24" s="7"/>
      <c r="Y24" s="7"/>
    </row>
    <row r="25" ht="18.75" customHeight="1">
      <c r="A25" s="6">
        <v>3.0</v>
      </c>
      <c r="B25" s="6">
        <v>3.0</v>
      </c>
      <c r="C25" s="8" t="s">
        <v>12</v>
      </c>
      <c r="D25" s="8" t="s">
        <v>13</v>
      </c>
      <c r="E25" s="6">
        <v>124.0</v>
      </c>
      <c r="F25" s="6" t="s">
        <v>127</v>
      </c>
      <c r="G25" s="8" t="s">
        <v>128</v>
      </c>
      <c r="H25" s="6" t="s">
        <v>129</v>
      </c>
      <c r="I25" s="6" t="s">
        <v>45</v>
      </c>
      <c r="J25" s="8" t="s">
        <v>130</v>
      </c>
      <c r="K25" s="6" t="s">
        <v>131</v>
      </c>
      <c r="L25" s="6" t="str">
        <f t="shared" si="1"/>
        <v>Team: Leaf Inspectors  -  Project: Design and implementation of a robotic actuation mechanism for collecting leaf spectral data.</v>
      </c>
      <c r="M25" s="7"/>
      <c r="N25" s="9"/>
      <c r="O25" s="7"/>
      <c r="P25" s="7"/>
      <c r="Q25" s="7"/>
      <c r="R25" s="7"/>
      <c r="S25" s="7"/>
      <c r="T25" s="7"/>
      <c r="U25" s="7"/>
      <c r="V25" s="7"/>
      <c r="W25" s="7"/>
      <c r="X25" s="7"/>
      <c r="Y25" s="7"/>
    </row>
    <row r="26" ht="18.75" customHeight="1">
      <c r="A26" s="6">
        <v>2.0</v>
      </c>
      <c r="B26" s="6">
        <v>1.0</v>
      </c>
      <c r="C26" s="8" t="s">
        <v>12</v>
      </c>
      <c r="D26" s="8" t="s">
        <v>13</v>
      </c>
      <c r="E26" s="6">
        <v>125.0</v>
      </c>
      <c r="F26" s="6">
        <v>125.0</v>
      </c>
      <c r="G26" s="8" t="s">
        <v>132</v>
      </c>
      <c r="H26" s="6" t="s">
        <v>133</v>
      </c>
      <c r="I26" s="6" t="s">
        <v>115</v>
      </c>
      <c r="J26" s="8" t="s">
        <v>134</v>
      </c>
      <c r="K26" s="6" t="s">
        <v>135</v>
      </c>
      <c r="L26" s="6" t="str">
        <f t="shared" si="1"/>
        <v>Team: 125  -  Project: Effect of Climate Change  on Cardiovascular Diseases and Vascular Age using smart-sensors technology</v>
      </c>
      <c r="M26" s="7"/>
      <c r="N26" s="9"/>
      <c r="O26" s="7"/>
      <c r="P26" s="7"/>
      <c r="Q26" s="7"/>
      <c r="R26" s="7"/>
      <c r="S26" s="7"/>
      <c r="T26" s="7"/>
      <c r="U26" s="7"/>
      <c r="V26" s="7"/>
      <c r="W26" s="7"/>
      <c r="X26" s="7"/>
      <c r="Y26" s="7"/>
    </row>
    <row r="27" ht="18.75" customHeight="1">
      <c r="A27" s="6">
        <v>5.0</v>
      </c>
      <c r="B27" s="6">
        <v>5.0</v>
      </c>
      <c r="C27" s="8" t="s">
        <v>12</v>
      </c>
      <c r="D27" s="8" t="s">
        <v>13</v>
      </c>
      <c r="E27" s="6">
        <v>126.0</v>
      </c>
      <c r="F27" s="6" t="s">
        <v>136</v>
      </c>
      <c r="G27" s="8" t="s">
        <v>137</v>
      </c>
      <c r="H27" s="6" t="s">
        <v>138</v>
      </c>
      <c r="I27" s="6" t="s">
        <v>29</v>
      </c>
      <c r="J27" s="8" t="s">
        <v>139</v>
      </c>
      <c r="K27" s="6" t="s">
        <v>140</v>
      </c>
      <c r="L27" s="6" t="str">
        <f t="shared" si="1"/>
        <v>Team: Team Del Monte  -  Project: Line Balancing Sleevers</v>
      </c>
      <c r="M27" s="7"/>
      <c r="N27" s="9"/>
      <c r="O27" s="7"/>
      <c r="P27" s="7"/>
      <c r="Q27" s="7"/>
      <c r="R27" s="7"/>
      <c r="S27" s="7"/>
      <c r="T27" s="7"/>
      <c r="U27" s="7"/>
      <c r="V27" s="7"/>
      <c r="W27" s="7"/>
      <c r="X27" s="7"/>
      <c r="Y27" s="7"/>
    </row>
    <row r="28" ht="18.75" customHeight="1">
      <c r="A28" s="10"/>
      <c r="B28" s="6"/>
      <c r="C28" s="8" t="s">
        <v>141</v>
      </c>
      <c r="D28" s="8" t="s">
        <v>13</v>
      </c>
      <c r="E28" s="6">
        <v>201.0</v>
      </c>
      <c r="F28" s="6" t="s">
        <v>142</v>
      </c>
      <c r="G28" s="6" t="s">
        <v>143</v>
      </c>
      <c r="H28" s="6" t="s">
        <v>144</v>
      </c>
      <c r="I28" s="11" t="s">
        <v>45</v>
      </c>
      <c r="J28" s="8" t="s">
        <v>145</v>
      </c>
      <c r="K28" s="6" t="s">
        <v>146</v>
      </c>
      <c r="L28" s="6" t="str">
        <f t="shared" si="1"/>
        <v>Team: CAP-201  -  Project: Hopper Trailer Modification to Dry and Discharge Wet Almonds</v>
      </c>
      <c r="M28" s="7"/>
      <c r="N28" s="9"/>
      <c r="O28" s="7"/>
      <c r="P28" s="7"/>
      <c r="Q28" s="7"/>
      <c r="R28" s="7"/>
      <c r="S28" s="7"/>
      <c r="T28" s="7"/>
      <c r="U28" s="7"/>
      <c r="V28" s="7"/>
      <c r="W28" s="7"/>
      <c r="X28" s="7"/>
      <c r="Y28" s="7"/>
    </row>
    <row r="29" ht="18.75" customHeight="1">
      <c r="A29" s="10"/>
      <c r="B29" s="6"/>
      <c r="C29" s="8" t="s">
        <v>141</v>
      </c>
      <c r="D29" s="8" t="s">
        <v>13</v>
      </c>
      <c r="E29" s="6">
        <v>202.0</v>
      </c>
      <c r="F29" s="6" t="s">
        <v>147</v>
      </c>
      <c r="G29" s="6" t="s">
        <v>148</v>
      </c>
      <c r="H29" s="6" t="s">
        <v>144</v>
      </c>
      <c r="I29" s="11" t="s">
        <v>45</v>
      </c>
      <c r="J29" s="8" t="s">
        <v>149</v>
      </c>
      <c r="K29" s="6" t="s">
        <v>150</v>
      </c>
      <c r="L29" s="6" t="str">
        <f t="shared" si="1"/>
        <v>Team: CAP-202  -  Project: Scaled Removable and Reusable Stockpile Aeration System for Almond Drying</v>
      </c>
      <c r="M29" s="7"/>
      <c r="N29" s="9"/>
      <c r="O29" s="7"/>
      <c r="P29" s="7"/>
      <c r="Q29" s="7"/>
      <c r="R29" s="7"/>
      <c r="S29" s="7"/>
      <c r="T29" s="7"/>
      <c r="U29" s="7"/>
      <c r="V29" s="7"/>
      <c r="W29" s="7"/>
      <c r="X29" s="7"/>
      <c r="Y29" s="7"/>
    </row>
    <row r="30" ht="18.75" customHeight="1">
      <c r="A30" s="10"/>
      <c r="B30" s="6"/>
      <c r="C30" s="8" t="s">
        <v>141</v>
      </c>
      <c r="D30" s="8" t="s">
        <v>13</v>
      </c>
      <c r="E30" s="6">
        <v>203.0</v>
      </c>
      <c r="F30" s="6" t="s">
        <v>151</v>
      </c>
      <c r="G30" s="6" t="s">
        <v>152</v>
      </c>
      <c r="H30" s="6" t="s">
        <v>28</v>
      </c>
      <c r="I30" s="11" t="s">
        <v>29</v>
      </c>
      <c r="J30" s="8" t="s">
        <v>153</v>
      </c>
      <c r="K30" s="6" t="s">
        <v>154</v>
      </c>
      <c r="L30" s="6" t="str">
        <f t="shared" si="1"/>
        <v>Team: CAP-203  -  Project: Shuttle Truck Connection Automation with Robotic Arm</v>
      </c>
      <c r="M30" s="7"/>
      <c r="N30" s="9"/>
      <c r="O30" s="7"/>
      <c r="P30" s="7"/>
      <c r="Q30" s="7"/>
      <c r="R30" s="7"/>
      <c r="S30" s="7"/>
      <c r="T30" s="7"/>
      <c r="U30" s="7"/>
      <c r="V30" s="7"/>
      <c r="W30" s="7"/>
      <c r="X30" s="7"/>
      <c r="Y30" s="7"/>
    </row>
    <row r="31" ht="18.75" customHeight="1">
      <c r="A31" s="10"/>
      <c r="B31" s="6"/>
      <c r="C31" s="8" t="s">
        <v>141</v>
      </c>
      <c r="D31" s="8" t="s">
        <v>13</v>
      </c>
      <c r="E31" s="6">
        <v>204.0</v>
      </c>
      <c r="F31" s="6" t="s">
        <v>155</v>
      </c>
      <c r="G31" s="6" t="s">
        <v>156</v>
      </c>
      <c r="H31" s="6" t="s">
        <v>157</v>
      </c>
      <c r="I31" s="11" t="s">
        <v>45</v>
      </c>
      <c r="J31" s="8" t="s">
        <v>158</v>
      </c>
      <c r="K31" s="6" t="s">
        <v>159</v>
      </c>
      <c r="L31" s="6" t="str">
        <f t="shared" si="1"/>
        <v>Team: CAP-204  -  Project: Sweet Potato Planter Robotic End Effector - Phase 2</v>
      </c>
      <c r="M31" s="7"/>
      <c r="N31" s="9"/>
      <c r="O31" s="7"/>
      <c r="P31" s="7"/>
      <c r="Q31" s="7"/>
      <c r="R31" s="7"/>
      <c r="S31" s="7"/>
      <c r="T31" s="7"/>
      <c r="U31" s="7"/>
      <c r="V31" s="7"/>
      <c r="W31" s="7"/>
      <c r="X31" s="7"/>
      <c r="Y31" s="7"/>
    </row>
    <row r="32" ht="18.75" customHeight="1">
      <c r="A32" s="10"/>
      <c r="B32" s="6"/>
      <c r="C32" s="8" t="s">
        <v>141</v>
      </c>
      <c r="D32" s="8" t="s">
        <v>13</v>
      </c>
      <c r="E32" s="6">
        <v>205.0</v>
      </c>
      <c r="F32" s="6" t="s">
        <v>160</v>
      </c>
      <c r="G32" s="6" t="s">
        <v>161</v>
      </c>
      <c r="H32" s="6" t="s">
        <v>162</v>
      </c>
      <c r="I32" s="11" t="s">
        <v>29</v>
      </c>
      <c r="J32" s="8" t="s">
        <v>163</v>
      </c>
      <c r="K32" s="6" t="s">
        <v>164</v>
      </c>
      <c r="L32" s="6" t="str">
        <f t="shared" si="1"/>
        <v>Team: CAP-205  -  Project: Product Conveyance and Quality Selection</v>
      </c>
      <c r="M32" s="7"/>
      <c r="N32" s="9"/>
      <c r="O32" s="7"/>
      <c r="P32" s="7"/>
      <c r="Q32" s="7"/>
      <c r="R32" s="7"/>
      <c r="S32" s="7"/>
      <c r="T32" s="7"/>
      <c r="U32" s="7"/>
      <c r="V32" s="7"/>
      <c r="W32" s="7"/>
      <c r="X32" s="7"/>
      <c r="Y32" s="7"/>
    </row>
    <row r="33" ht="18.75" customHeight="1">
      <c r="A33" s="10"/>
      <c r="B33" s="6"/>
      <c r="C33" s="8" t="s">
        <v>141</v>
      </c>
      <c r="D33" s="8" t="s">
        <v>13</v>
      </c>
      <c r="E33" s="6">
        <v>206.0</v>
      </c>
      <c r="F33" s="6" t="s">
        <v>165</v>
      </c>
      <c r="G33" s="6" t="s">
        <v>166</v>
      </c>
      <c r="H33" s="6" t="s">
        <v>167</v>
      </c>
      <c r="I33" s="11" t="s">
        <v>168</v>
      </c>
      <c r="J33" s="8" t="s">
        <v>169</v>
      </c>
      <c r="K33" s="6" t="s">
        <v>170</v>
      </c>
      <c r="L33" s="6" t="str">
        <f t="shared" si="1"/>
        <v>Team: CAP-206  -  Project: Evaluating the radiolucent guide  prototypes in a cadaver model and analysis for different spine injections</v>
      </c>
      <c r="M33" s="7"/>
      <c r="N33" s="9"/>
      <c r="O33" s="7"/>
      <c r="P33" s="7"/>
      <c r="Q33" s="7"/>
      <c r="R33" s="7"/>
      <c r="S33" s="7"/>
      <c r="T33" s="7"/>
      <c r="U33" s="7"/>
      <c r="V33" s="7"/>
      <c r="W33" s="7"/>
      <c r="X33" s="7"/>
      <c r="Y33" s="7"/>
    </row>
    <row r="34" ht="18.75" customHeight="1">
      <c r="A34" s="10"/>
      <c r="B34" s="6"/>
      <c r="C34" s="8" t="s">
        <v>141</v>
      </c>
      <c r="D34" s="8" t="s">
        <v>13</v>
      </c>
      <c r="E34" s="6">
        <v>207.0</v>
      </c>
      <c r="F34" s="6" t="s">
        <v>171</v>
      </c>
      <c r="G34" s="6" t="s">
        <v>172</v>
      </c>
      <c r="H34" s="6" t="s">
        <v>173</v>
      </c>
      <c r="I34" s="11" t="s">
        <v>29</v>
      </c>
      <c r="J34" s="8" t="s">
        <v>174</v>
      </c>
      <c r="K34" s="6" t="s">
        <v>175</v>
      </c>
      <c r="L34" s="6" t="str">
        <f t="shared" si="1"/>
        <v>Team: CAP-207  -  Project: Salt distribution</v>
      </c>
      <c r="M34" s="7"/>
      <c r="N34" s="9"/>
      <c r="O34" s="7"/>
      <c r="P34" s="7"/>
      <c r="Q34" s="7"/>
      <c r="R34" s="7"/>
      <c r="S34" s="7"/>
      <c r="T34" s="7"/>
      <c r="U34" s="7"/>
      <c r="V34" s="7"/>
      <c r="W34" s="7"/>
      <c r="X34" s="7"/>
      <c r="Y34" s="7"/>
    </row>
    <row r="35" ht="18.75" customHeight="1">
      <c r="A35" s="10"/>
      <c r="B35" s="6"/>
      <c r="C35" s="8" t="s">
        <v>141</v>
      </c>
      <c r="D35" s="8" t="s">
        <v>13</v>
      </c>
      <c r="E35" s="6">
        <v>208.0</v>
      </c>
      <c r="F35" s="6" t="s">
        <v>176</v>
      </c>
      <c r="G35" s="6" t="s">
        <v>177</v>
      </c>
      <c r="H35" s="6" t="s">
        <v>178</v>
      </c>
      <c r="I35" s="11" t="s">
        <v>35</v>
      </c>
      <c r="J35" s="8" t="s">
        <v>179</v>
      </c>
      <c r="K35" s="6" t="s">
        <v>180</v>
      </c>
      <c r="L35" s="6" t="str">
        <f t="shared" si="1"/>
        <v>Team: CAP-208  -  Project: Thermal Energy Storage Demonstrator</v>
      </c>
      <c r="M35" s="7"/>
      <c r="N35" s="9"/>
      <c r="O35" s="7"/>
      <c r="P35" s="7"/>
      <c r="Q35" s="7"/>
      <c r="R35" s="7"/>
      <c r="S35" s="7"/>
      <c r="T35" s="7"/>
      <c r="U35" s="7"/>
      <c r="V35" s="7"/>
      <c r="W35" s="7"/>
      <c r="X35" s="7"/>
      <c r="Y35" s="7"/>
    </row>
    <row r="36" ht="18.75" customHeight="1">
      <c r="A36" s="10"/>
      <c r="B36" s="6"/>
      <c r="C36" s="8" t="s">
        <v>141</v>
      </c>
      <c r="D36" s="8" t="s">
        <v>13</v>
      </c>
      <c r="E36" s="6">
        <v>209.0</v>
      </c>
      <c r="F36" s="6" t="s">
        <v>181</v>
      </c>
      <c r="G36" s="6" t="s">
        <v>182</v>
      </c>
      <c r="H36" s="6" t="s">
        <v>68</v>
      </c>
      <c r="I36" s="11" t="s">
        <v>29</v>
      </c>
      <c r="J36" s="8" t="s">
        <v>183</v>
      </c>
      <c r="K36" s="6" t="s">
        <v>184</v>
      </c>
      <c r="L36" s="6" t="str">
        <f t="shared" si="1"/>
        <v>Team: CAP-209  -  Project: Screw Conveyance Alignment &amp; Timing</v>
      </c>
      <c r="M36" s="7"/>
      <c r="N36" s="9"/>
      <c r="O36" s="7"/>
      <c r="P36" s="7"/>
      <c r="Q36" s="7"/>
      <c r="R36" s="7"/>
      <c r="S36" s="7"/>
      <c r="T36" s="7"/>
      <c r="U36" s="7"/>
      <c r="V36" s="7"/>
      <c r="W36" s="7"/>
      <c r="X36" s="7"/>
      <c r="Y36" s="7"/>
    </row>
    <row r="37" ht="18.75" customHeight="1">
      <c r="A37" s="6"/>
      <c r="B37" s="6"/>
      <c r="C37" s="8" t="s">
        <v>141</v>
      </c>
      <c r="D37" s="8" t="s">
        <v>13</v>
      </c>
      <c r="E37" s="6">
        <v>210.0</v>
      </c>
      <c r="F37" s="6" t="s">
        <v>185</v>
      </c>
      <c r="G37" s="6" t="s">
        <v>186</v>
      </c>
      <c r="H37" s="6" t="s">
        <v>187</v>
      </c>
      <c r="I37" s="11" t="s">
        <v>29</v>
      </c>
      <c r="J37" s="8" t="s">
        <v>188</v>
      </c>
      <c r="K37" s="6" t="s">
        <v>189</v>
      </c>
      <c r="L37" s="6" t="str">
        <f t="shared" si="1"/>
        <v>Team: CAP-210  -  Project: Bin Washer</v>
      </c>
      <c r="M37" s="7"/>
      <c r="N37" s="9"/>
      <c r="O37" s="7"/>
      <c r="P37" s="7"/>
      <c r="Q37" s="7"/>
      <c r="R37" s="7"/>
      <c r="S37" s="7"/>
      <c r="T37" s="7"/>
      <c r="U37" s="7"/>
      <c r="V37" s="7"/>
      <c r="W37" s="7"/>
      <c r="X37" s="7"/>
      <c r="Y37" s="7"/>
    </row>
    <row r="38" ht="18.75" customHeight="1">
      <c r="A38" s="6"/>
      <c r="B38" s="6"/>
      <c r="C38" s="8" t="s">
        <v>141</v>
      </c>
      <c r="D38" s="8" t="s">
        <v>13</v>
      </c>
      <c r="E38" s="6">
        <v>211.0</v>
      </c>
      <c r="F38" s="6" t="s">
        <v>190</v>
      </c>
      <c r="G38" s="6" t="s">
        <v>191</v>
      </c>
      <c r="H38" s="6" t="s">
        <v>28</v>
      </c>
      <c r="I38" s="11" t="s">
        <v>29</v>
      </c>
      <c r="J38" s="8" t="s">
        <v>192</v>
      </c>
      <c r="K38" s="6" t="s">
        <v>193</v>
      </c>
      <c r="L38" s="6" t="str">
        <f t="shared" si="1"/>
        <v>Team: CAP-211  -  Project: Tractor Cab Collision Detection</v>
      </c>
      <c r="M38" s="7"/>
      <c r="N38" s="9"/>
      <c r="O38" s="7"/>
      <c r="P38" s="7"/>
      <c r="Q38" s="7"/>
      <c r="R38" s="7"/>
      <c r="S38" s="7"/>
      <c r="T38" s="7"/>
      <c r="U38" s="7"/>
      <c r="V38" s="7"/>
      <c r="W38" s="7"/>
      <c r="X38" s="7"/>
      <c r="Y38" s="7"/>
    </row>
    <row r="39" ht="18.75" customHeight="1">
      <c r="A39" s="6"/>
      <c r="B39" s="6"/>
      <c r="C39" s="8" t="s">
        <v>141</v>
      </c>
      <c r="D39" s="8" t="s">
        <v>13</v>
      </c>
      <c r="E39" s="6">
        <v>212.0</v>
      </c>
      <c r="F39" s="6" t="s">
        <v>194</v>
      </c>
      <c r="G39" s="6" t="s">
        <v>195</v>
      </c>
      <c r="H39" s="6" t="s">
        <v>196</v>
      </c>
      <c r="I39" s="11" t="s">
        <v>45</v>
      </c>
      <c r="J39" s="8" t="s">
        <v>197</v>
      </c>
      <c r="K39" s="6" t="s">
        <v>198</v>
      </c>
      <c r="L39" s="6" t="str">
        <f t="shared" si="1"/>
        <v>Team: CAP-212  -  Project: Flipper - Flip Re-Design</v>
      </c>
      <c r="M39" s="7"/>
      <c r="N39" s="9"/>
      <c r="O39" s="7"/>
      <c r="P39" s="7"/>
      <c r="Q39" s="7"/>
      <c r="R39" s="7"/>
      <c r="S39" s="7"/>
      <c r="T39" s="7"/>
      <c r="U39" s="7"/>
      <c r="V39" s="7"/>
      <c r="W39" s="7"/>
      <c r="X39" s="7"/>
      <c r="Y39" s="7"/>
    </row>
    <row r="40" ht="18.75" customHeight="1">
      <c r="A40" s="6"/>
      <c r="B40" s="6"/>
      <c r="C40" s="8" t="s">
        <v>141</v>
      </c>
      <c r="D40" s="8" t="s">
        <v>13</v>
      </c>
      <c r="E40" s="6">
        <v>213.0</v>
      </c>
      <c r="F40" s="6" t="s">
        <v>199</v>
      </c>
      <c r="G40" s="6" t="s">
        <v>200</v>
      </c>
      <c r="H40" s="6" t="s">
        <v>201</v>
      </c>
      <c r="I40" s="11" t="s">
        <v>202</v>
      </c>
      <c r="J40" s="8" t="s">
        <v>203</v>
      </c>
      <c r="K40" s="6" t="s">
        <v>204</v>
      </c>
      <c r="L40" s="6" t="str">
        <f t="shared" si="1"/>
        <v>Team: CAP-213  -  Project: Battery Workforce Challenge</v>
      </c>
      <c r="M40" s="7"/>
      <c r="N40" s="9"/>
      <c r="O40" s="7"/>
      <c r="P40" s="7"/>
      <c r="Q40" s="7"/>
      <c r="R40" s="7"/>
      <c r="S40" s="7"/>
      <c r="T40" s="7"/>
      <c r="U40" s="7"/>
      <c r="V40" s="7"/>
      <c r="W40" s="7"/>
      <c r="X40" s="7"/>
      <c r="Y40" s="7"/>
    </row>
    <row r="41" ht="18.75" customHeight="1">
      <c r="A41" s="6">
        <v>6.0</v>
      </c>
      <c r="B41" s="6">
        <v>9.0</v>
      </c>
      <c r="C41" s="8" t="s">
        <v>205</v>
      </c>
      <c r="D41" s="8" t="s">
        <v>206</v>
      </c>
      <c r="E41" s="6">
        <v>301.0</v>
      </c>
      <c r="F41" s="6" t="s">
        <v>207</v>
      </c>
      <c r="G41" s="6" t="s">
        <v>208</v>
      </c>
      <c r="H41" s="6" t="s">
        <v>209</v>
      </c>
      <c r="I41" s="6" t="s">
        <v>29</v>
      </c>
      <c r="J41" s="8" t="s">
        <v>210</v>
      </c>
      <c r="K41" s="6" t="s">
        <v>211</v>
      </c>
      <c r="L41" s="6" t="str">
        <f t="shared" si="1"/>
        <v>Team: Clean Up Crew  -  Project: Biosecurity Scheduling Algorithm Enhancement</v>
      </c>
      <c r="M41" s="7"/>
      <c r="N41" s="9"/>
      <c r="O41" s="7"/>
      <c r="P41" s="7"/>
      <c r="Q41" s="7"/>
      <c r="R41" s="7"/>
      <c r="S41" s="7"/>
      <c r="T41" s="7"/>
      <c r="U41" s="7"/>
      <c r="V41" s="7"/>
      <c r="W41" s="7"/>
      <c r="X41" s="7"/>
      <c r="Y41" s="7"/>
    </row>
    <row r="42" ht="18.75" customHeight="1">
      <c r="A42" s="12">
        <v>7.0</v>
      </c>
      <c r="B42" s="6">
        <v>8.0</v>
      </c>
      <c r="C42" s="8" t="s">
        <v>205</v>
      </c>
      <c r="D42" s="8" t="s">
        <v>206</v>
      </c>
      <c r="E42" s="6">
        <v>302.0</v>
      </c>
      <c r="F42" s="6" t="s">
        <v>212</v>
      </c>
      <c r="G42" s="6" t="s">
        <v>213</v>
      </c>
      <c r="H42" s="6" t="s">
        <v>214</v>
      </c>
      <c r="I42" s="6" t="s">
        <v>215</v>
      </c>
      <c r="J42" s="8" t="s">
        <v>216</v>
      </c>
      <c r="K42" s="6" t="s">
        <v>217</v>
      </c>
      <c r="L42" s="6" t="str">
        <f t="shared" si="1"/>
        <v>Team: Team Sync  -  Project: Relevance Weighted Multiple Meeting Scheduler - Phase 2</v>
      </c>
      <c r="M42" s="7"/>
      <c r="N42" s="9"/>
      <c r="O42" s="7"/>
      <c r="P42" s="7"/>
      <c r="Q42" s="7"/>
      <c r="R42" s="7"/>
      <c r="S42" s="7"/>
      <c r="T42" s="7"/>
      <c r="U42" s="7"/>
      <c r="V42" s="7"/>
      <c r="W42" s="7"/>
      <c r="X42" s="7"/>
      <c r="Y42" s="7"/>
    </row>
    <row r="43" ht="18.75" customHeight="1">
      <c r="A43" s="12">
        <v>7.0</v>
      </c>
      <c r="B43" s="12">
        <v>1.0</v>
      </c>
      <c r="C43" s="8" t="s">
        <v>205</v>
      </c>
      <c r="D43" s="8" t="s">
        <v>206</v>
      </c>
      <c r="E43" s="6">
        <v>303.0</v>
      </c>
      <c r="F43" s="6" t="s">
        <v>218</v>
      </c>
      <c r="G43" s="6" t="s">
        <v>219</v>
      </c>
      <c r="H43" s="6" t="s">
        <v>220</v>
      </c>
      <c r="I43" s="6" t="s">
        <v>221</v>
      </c>
      <c r="J43" s="8" t="s">
        <v>222</v>
      </c>
      <c r="K43" s="6" t="s">
        <v>223</v>
      </c>
      <c r="L43" s="6" t="str">
        <f t="shared" si="1"/>
        <v>Team: R&amp;B  -  Project: Digital AI Backpack Mobile Application</v>
      </c>
      <c r="M43" s="7"/>
      <c r="N43" s="9"/>
      <c r="O43" s="7"/>
      <c r="P43" s="7"/>
      <c r="Q43" s="7"/>
      <c r="R43" s="7"/>
      <c r="S43" s="7"/>
      <c r="T43" s="7"/>
      <c r="U43" s="7"/>
      <c r="V43" s="7"/>
      <c r="W43" s="7"/>
      <c r="X43" s="7"/>
      <c r="Y43" s="7"/>
    </row>
    <row r="44" ht="18.75" customHeight="1">
      <c r="A44" s="12">
        <v>7.0</v>
      </c>
      <c r="B44" s="12">
        <v>2.0</v>
      </c>
      <c r="C44" s="8" t="s">
        <v>205</v>
      </c>
      <c r="D44" s="8" t="s">
        <v>206</v>
      </c>
      <c r="E44" s="6">
        <v>304.0</v>
      </c>
      <c r="F44" s="6" t="s">
        <v>224</v>
      </c>
      <c r="G44" s="6" t="s">
        <v>225</v>
      </c>
      <c r="H44" s="6" t="s">
        <v>220</v>
      </c>
      <c r="I44" s="6" t="s">
        <v>221</v>
      </c>
      <c r="J44" s="8" t="s">
        <v>226</v>
      </c>
      <c r="K44" s="6" t="s">
        <v>227</v>
      </c>
      <c r="L44" s="6" t="str">
        <f t="shared" si="1"/>
        <v>Team: Firebase Solved Our Case  -  Project: Digital AI Backpack - Opportunity Matcher and Recommender</v>
      </c>
      <c r="M44" s="7"/>
      <c r="N44" s="9"/>
      <c r="O44" s="7"/>
      <c r="P44" s="7"/>
      <c r="Q44" s="7"/>
      <c r="R44" s="7"/>
      <c r="S44" s="7"/>
      <c r="T44" s="7"/>
      <c r="U44" s="7"/>
      <c r="V44" s="7"/>
      <c r="W44" s="7"/>
      <c r="X44" s="7"/>
      <c r="Y44" s="7"/>
    </row>
    <row r="45" ht="18.75" customHeight="1">
      <c r="A45" s="12">
        <v>8.0</v>
      </c>
      <c r="B45" s="13">
        <v>7.0</v>
      </c>
      <c r="C45" s="8" t="s">
        <v>205</v>
      </c>
      <c r="D45" s="8" t="s">
        <v>206</v>
      </c>
      <c r="E45" s="6">
        <v>305.0</v>
      </c>
      <c r="F45" s="6" t="s">
        <v>228</v>
      </c>
      <c r="G45" s="6" t="s">
        <v>229</v>
      </c>
      <c r="H45" s="6" t="s">
        <v>230</v>
      </c>
      <c r="I45" s="6" t="s">
        <v>55</v>
      </c>
      <c r="J45" s="8" t="s">
        <v>231</v>
      </c>
      <c r="K45" s="6" t="s">
        <v>232</v>
      </c>
      <c r="L45" s="6" t="str">
        <f t="shared" si="1"/>
        <v>Team: Taxiline Task Force  -  Project: Deadlock Prevention/Recovery for Mobile Robot Fleets</v>
      </c>
      <c r="M45" s="7"/>
      <c r="N45" s="9"/>
      <c r="O45" s="7"/>
      <c r="P45" s="7"/>
      <c r="Q45" s="7"/>
      <c r="R45" s="7"/>
      <c r="S45" s="7"/>
      <c r="T45" s="7"/>
      <c r="U45" s="7"/>
      <c r="V45" s="7"/>
      <c r="W45" s="7"/>
      <c r="X45" s="7"/>
      <c r="Y45" s="7"/>
    </row>
    <row r="46" ht="18.75" customHeight="1">
      <c r="A46" s="12">
        <v>6.0</v>
      </c>
      <c r="B46" s="12">
        <v>6.0</v>
      </c>
      <c r="C46" s="8" t="s">
        <v>205</v>
      </c>
      <c r="D46" s="8" t="s">
        <v>206</v>
      </c>
      <c r="E46" s="6">
        <v>306.0</v>
      </c>
      <c r="F46" s="6" t="s">
        <v>233</v>
      </c>
      <c r="G46" s="6" t="s">
        <v>234</v>
      </c>
      <c r="H46" s="6" t="s">
        <v>235</v>
      </c>
      <c r="I46" s="6" t="s">
        <v>35</v>
      </c>
      <c r="J46" s="8" t="s">
        <v>236</v>
      </c>
      <c r="K46" s="6" t="s">
        <v>237</v>
      </c>
      <c r="L46" s="6" t="str">
        <f t="shared" si="1"/>
        <v>Team: Rush Hour  -  Project: Electronic Water Scheduling Program</v>
      </c>
      <c r="M46" s="7"/>
      <c r="N46" s="9"/>
      <c r="O46" s="7"/>
      <c r="P46" s="7"/>
      <c r="Q46" s="7"/>
      <c r="R46" s="7"/>
      <c r="S46" s="7"/>
      <c r="T46" s="7"/>
      <c r="U46" s="7"/>
      <c r="V46" s="7"/>
      <c r="W46" s="7"/>
      <c r="X46" s="7"/>
      <c r="Y46" s="7"/>
    </row>
    <row r="47" ht="18.75" customHeight="1">
      <c r="A47" s="12">
        <v>6.0</v>
      </c>
      <c r="B47" s="12">
        <v>7.0</v>
      </c>
      <c r="C47" s="8" t="s">
        <v>205</v>
      </c>
      <c r="D47" s="8" t="s">
        <v>206</v>
      </c>
      <c r="E47" s="6">
        <v>307.0</v>
      </c>
      <c r="F47" s="6" t="s">
        <v>238</v>
      </c>
      <c r="G47" s="6" t="s">
        <v>234</v>
      </c>
      <c r="H47" s="6" t="s">
        <v>235</v>
      </c>
      <c r="I47" s="6" t="s">
        <v>35</v>
      </c>
      <c r="J47" s="8" t="s">
        <v>239</v>
      </c>
      <c r="K47" s="6" t="s">
        <v>240</v>
      </c>
      <c r="L47" s="6" t="str">
        <f t="shared" si="1"/>
        <v>Team: Hydrolock  -  Project: Electronic Water Scheduling Program</v>
      </c>
      <c r="M47" s="7"/>
      <c r="N47" s="9"/>
      <c r="O47" s="7"/>
      <c r="P47" s="7"/>
      <c r="Q47" s="7"/>
      <c r="R47" s="7"/>
      <c r="S47" s="7"/>
      <c r="T47" s="7"/>
      <c r="U47" s="7"/>
      <c r="V47" s="7"/>
      <c r="W47" s="7"/>
      <c r="X47" s="7"/>
      <c r="Y47" s="7"/>
    </row>
    <row r="48" ht="18.75" customHeight="1">
      <c r="A48" s="12">
        <v>6.0</v>
      </c>
      <c r="B48" s="12">
        <v>2.0</v>
      </c>
      <c r="C48" s="8" t="s">
        <v>205</v>
      </c>
      <c r="D48" s="8" t="s">
        <v>206</v>
      </c>
      <c r="E48" s="6">
        <v>308.0</v>
      </c>
      <c r="F48" s="6" t="s">
        <v>241</v>
      </c>
      <c r="G48" s="6" t="s">
        <v>242</v>
      </c>
      <c r="H48" s="6" t="s">
        <v>243</v>
      </c>
      <c r="I48" s="6" t="s">
        <v>45</v>
      </c>
      <c r="J48" s="8" t="s">
        <v>244</v>
      </c>
      <c r="K48" s="6" t="s">
        <v>245</v>
      </c>
      <c r="L48" s="6" t="str">
        <f t="shared" si="1"/>
        <v>Team: five merry men and also one merry woman  -  Project: Remote Herd Management Enabled by Technology</v>
      </c>
      <c r="M48" s="7"/>
      <c r="N48" s="9"/>
      <c r="O48" s="7"/>
      <c r="P48" s="7"/>
      <c r="Q48" s="7"/>
      <c r="R48" s="7"/>
      <c r="S48" s="7"/>
      <c r="T48" s="7"/>
      <c r="U48" s="7"/>
      <c r="V48" s="7"/>
      <c r="W48" s="7"/>
      <c r="X48" s="7"/>
      <c r="Y48" s="7"/>
    </row>
    <row r="49" ht="18.75" customHeight="1">
      <c r="A49" s="12">
        <v>6.0</v>
      </c>
      <c r="B49" s="12">
        <v>1.0</v>
      </c>
      <c r="C49" s="8" t="s">
        <v>205</v>
      </c>
      <c r="D49" s="8" t="s">
        <v>206</v>
      </c>
      <c r="E49" s="6">
        <v>309.0</v>
      </c>
      <c r="F49" s="6" t="s">
        <v>246</v>
      </c>
      <c r="G49" s="6" t="s">
        <v>242</v>
      </c>
      <c r="H49" s="6" t="s">
        <v>243</v>
      </c>
      <c r="I49" s="6" t="s">
        <v>45</v>
      </c>
      <c r="J49" s="8" t="s">
        <v>247</v>
      </c>
      <c r="K49" s="6" t="s">
        <v>248</v>
      </c>
      <c r="L49" s="6" t="str">
        <f t="shared" si="1"/>
        <v>Team: The Cattle Moo-vers  -  Project: Remote Herd Management Enabled by Technology</v>
      </c>
      <c r="M49" s="7"/>
      <c r="N49" s="9"/>
      <c r="O49" s="7"/>
      <c r="P49" s="7"/>
      <c r="Q49" s="7"/>
      <c r="R49" s="7"/>
      <c r="S49" s="7"/>
      <c r="T49" s="7"/>
      <c r="U49" s="7"/>
      <c r="V49" s="7"/>
      <c r="W49" s="7"/>
      <c r="X49" s="7"/>
      <c r="Y49" s="7"/>
    </row>
    <row r="50" ht="18.75" customHeight="1">
      <c r="A50" s="12">
        <v>7.0</v>
      </c>
      <c r="B50" s="6">
        <v>3.0</v>
      </c>
      <c r="C50" s="8" t="s">
        <v>205</v>
      </c>
      <c r="D50" s="8" t="s">
        <v>206</v>
      </c>
      <c r="E50" s="6">
        <v>310.0</v>
      </c>
      <c r="F50" s="6" t="s">
        <v>249</v>
      </c>
      <c r="G50" s="6" t="s">
        <v>250</v>
      </c>
      <c r="H50" s="6" t="s">
        <v>251</v>
      </c>
      <c r="I50" s="6" t="s">
        <v>252</v>
      </c>
      <c r="J50" s="8" t="s">
        <v>253</v>
      </c>
      <c r="K50" s="6" t="s">
        <v>254</v>
      </c>
      <c r="L50" s="6" t="str">
        <f t="shared" si="1"/>
        <v>Team: Binary Bandits  -  Project: Knowledge Organization and Learning Framework</v>
      </c>
      <c r="M50" s="7"/>
      <c r="N50" s="9"/>
      <c r="O50" s="7"/>
      <c r="P50" s="7"/>
      <c r="Q50" s="7"/>
      <c r="R50" s="7"/>
      <c r="S50" s="7"/>
      <c r="T50" s="7"/>
      <c r="U50" s="7"/>
      <c r="V50" s="7"/>
      <c r="W50" s="7"/>
      <c r="X50" s="7"/>
      <c r="Y50" s="7"/>
    </row>
    <row r="51" ht="18.75" customHeight="1">
      <c r="A51" s="6">
        <v>7.0</v>
      </c>
      <c r="B51" s="6">
        <v>4.0</v>
      </c>
      <c r="C51" s="8" t="s">
        <v>205</v>
      </c>
      <c r="D51" s="8" t="s">
        <v>206</v>
      </c>
      <c r="E51" s="6">
        <v>311.0</v>
      </c>
      <c r="F51" s="6" t="s">
        <v>255</v>
      </c>
      <c r="G51" s="6" t="s">
        <v>256</v>
      </c>
      <c r="H51" s="6" t="s">
        <v>257</v>
      </c>
      <c r="I51" s="6" t="s">
        <v>252</v>
      </c>
      <c r="J51" s="8" t="s">
        <v>258</v>
      </c>
      <c r="K51" s="6" t="s">
        <v>259</v>
      </c>
      <c r="L51" s="6" t="str">
        <f t="shared" si="1"/>
        <v>Team: Bolo Soft  -  Project: VoiceAdvance</v>
      </c>
      <c r="M51" s="7"/>
      <c r="N51" s="9"/>
      <c r="O51" s="7"/>
      <c r="P51" s="7"/>
      <c r="Q51" s="7"/>
      <c r="R51" s="7"/>
      <c r="S51" s="7"/>
      <c r="T51" s="7"/>
      <c r="U51" s="7"/>
      <c r="V51" s="7"/>
      <c r="W51" s="7"/>
      <c r="X51" s="7"/>
      <c r="Y51" s="7"/>
    </row>
    <row r="52" ht="18.75" customHeight="1">
      <c r="A52" s="6">
        <v>7.0</v>
      </c>
      <c r="B52" s="6">
        <v>5.0</v>
      </c>
      <c r="C52" s="8" t="s">
        <v>205</v>
      </c>
      <c r="D52" s="8" t="s">
        <v>206</v>
      </c>
      <c r="E52" s="6">
        <v>312.0</v>
      </c>
      <c r="F52" s="6" t="s">
        <v>260</v>
      </c>
      <c r="G52" s="6" t="s">
        <v>256</v>
      </c>
      <c r="H52" s="6" t="s">
        <v>257</v>
      </c>
      <c r="I52" s="6" t="s">
        <v>252</v>
      </c>
      <c r="J52" s="8" t="s">
        <v>261</v>
      </c>
      <c r="K52" s="6" t="s">
        <v>262</v>
      </c>
      <c r="L52" s="6" t="str">
        <f t="shared" si="1"/>
        <v>Team: WIP's  -  Project: VoiceAdvance</v>
      </c>
      <c r="M52" s="7"/>
      <c r="N52" s="9"/>
      <c r="O52" s="7"/>
      <c r="P52" s="7"/>
      <c r="Q52" s="7"/>
      <c r="R52" s="7"/>
      <c r="S52" s="7"/>
      <c r="T52" s="7"/>
      <c r="U52" s="7"/>
      <c r="V52" s="7"/>
      <c r="W52" s="7"/>
      <c r="X52" s="7"/>
      <c r="Y52" s="7"/>
    </row>
    <row r="53" ht="18.75" customHeight="1">
      <c r="A53" s="12">
        <v>6.0</v>
      </c>
      <c r="B53" s="12">
        <v>3.0</v>
      </c>
      <c r="C53" s="8" t="s">
        <v>205</v>
      </c>
      <c r="D53" s="8" t="s">
        <v>206</v>
      </c>
      <c r="E53" s="6">
        <v>313.0</v>
      </c>
      <c r="F53" s="6" t="s">
        <v>263</v>
      </c>
      <c r="G53" s="6" t="s">
        <v>264</v>
      </c>
      <c r="H53" s="6" t="s">
        <v>28</v>
      </c>
      <c r="I53" s="6" t="s">
        <v>29</v>
      </c>
      <c r="J53" s="8" t="s">
        <v>265</v>
      </c>
      <c r="K53" s="6" t="s">
        <v>266</v>
      </c>
      <c r="L53" s="6" t="str">
        <f t="shared" si="1"/>
        <v>Team: Solanum  -  Project: Parts Trailer Inventory Management App</v>
      </c>
      <c r="M53" s="7"/>
      <c r="N53" s="9"/>
      <c r="O53" s="7"/>
      <c r="P53" s="7"/>
      <c r="Q53" s="7"/>
      <c r="R53" s="7"/>
      <c r="S53" s="7"/>
      <c r="T53" s="7"/>
      <c r="U53" s="7"/>
      <c r="V53" s="7"/>
      <c r="W53" s="7"/>
      <c r="X53" s="7"/>
      <c r="Y53" s="7"/>
    </row>
    <row r="54" ht="18.75" customHeight="1">
      <c r="A54" s="12">
        <v>8.0</v>
      </c>
      <c r="B54" s="6">
        <v>3.0</v>
      </c>
      <c r="C54" s="8" t="s">
        <v>205</v>
      </c>
      <c r="D54" s="8" t="s">
        <v>206</v>
      </c>
      <c r="E54" s="6">
        <v>314.0</v>
      </c>
      <c r="F54" s="6" t="s">
        <v>267</v>
      </c>
      <c r="G54" s="6" t="s">
        <v>268</v>
      </c>
      <c r="H54" s="6" t="s">
        <v>269</v>
      </c>
      <c r="I54" s="6" t="s">
        <v>35</v>
      </c>
      <c r="J54" s="8" t="s">
        <v>270</v>
      </c>
      <c r="K54" s="6" t="s">
        <v>271</v>
      </c>
      <c r="L54" s="6" t="str">
        <f t="shared" si="1"/>
        <v>Team: 𝝅-Hard  -  Project: Document Index Service</v>
      </c>
      <c r="M54" s="7"/>
      <c r="N54" s="9"/>
      <c r="O54" s="7"/>
      <c r="P54" s="7"/>
      <c r="Q54" s="7"/>
      <c r="R54" s="7"/>
      <c r="S54" s="7"/>
      <c r="T54" s="7"/>
      <c r="U54" s="7"/>
      <c r="V54" s="7"/>
      <c r="W54" s="7"/>
      <c r="X54" s="7"/>
      <c r="Y54" s="7"/>
    </row>
    <row r="55" ht="18.75" customHeight="1">
      <c r="A55" s="12">
        <v>8.0</v>
      </c>
      <c r="B55" s="6">
        <v>4.0</v>
      </c>
      <c r="C55" s="8" t="s">
        <v>205</v>
      </c>
      <c r="D55" s="8" t="s">
        <v>206</v>
      </c>
      <c r="E55" s="6">
        <v>315.0</v>
      </c>
      <c r="F55" s="6" t="s">
        <v>272</v>
      </c>
      <c r="G55" s="6" t="s">
        <v>273</v>
      </c>
      <c r="H55" s="6" t="s">
        <v>269</v>
      </c>
      <c r="I55" s="6" t="s">
        <v>35</v>
      </c>
      <c r="J55" s="8" t="s">
        <v>274</v>
      </c>
      <c r="K55" s="6" t="s">
        <v>275</v>
      </c>
      <c r="L55" s="6" t="str">
        <f t="shared" si="1"/>
        <v>Team: AI Artisans  -  Project: Private LLM Node – API</v>
      </c>
      <c r="M55" s="7"/>
      <c r="N55" s="9"/>
      <c r="O55" s="7"/>
      <c r="P55" s="7"/>
      <c r="Q55" s="7"/>
      <c r="R55" s="7"/>
      <c r="S55" s="7"/>
      <c r="T55" s="7"/>
      <c r="U55" s="7"/>
      <c r="V55" s="7"/>
      <c r="W55" s="7"/>
      <c r="X55" s="7"/>
      <c r="Y55" s="7"/>
    </row>
    <row r="56" ht="18.75" customHeight="1">
      <c r="A56" s="12">
        <v>8.0</v>
      </c>
      <c r="B56" s="12">
        <v>2.0</v>
      </c>
      <c r="C56" s="8" t="s">
        <v>205</v>
      </c>
      <c r="D56" s="8" t="s">
        <v>206</v>
      </c>
      <c r="E56" s="6">
        <v>316.0</v>
      </c>
      <c r="F56" s="6" t="s">
        <v>276</v>
      </c>
      <c r="G56" s="6" t="s">
        <v>277</v>
      </c>
      <c r="H56" s="6" t="s">
        <v>269</v>
      </c>
      <c r="I56" s="6" t="s">
        <v>35</v>
      </c>
      <c r="J56" s="8" t="s">
        <v>278</v>
      </c>
      <c r="K56" s="6" t="s">
        <v>279</v>
      </c>
      <c r="L56" s="6" t="str">
        <f t="shared" si="1"/>
        <v>Team: Chat Cats  -  Project: Private LLM Node – Train</v>
      </c>
      <c r="M56" s="7"/>
      <c r="N56" s="9"/>
      <c r="O56" s="7"/>
      <c r="P56" s="7"/>
      <c r="Q56" s="7"/>
      <c r="R56" s="7"/>
      <c r="S56" s="7"/>
      <c r="T56" s="7"/>
      <c r="U56" s="7"/>
      <c r="V56" s="7"/>
      <c r="W56" s="7"/>
      <c r="X56" s="7"/>
      <c r="Y56" s="7"/>
    </row>
    <row r="57" ht="18.75" customHeight="1">
      <c r="A57" s="12">
        <v>7.0</v>
      </c>
      <c r="B57" s="6">
        <v>6.0</v>
      </c>
      <c r="C57" s="8" t="s">
        <v>205</v>
      </c>
      <c r="D57" s="8" t="s">
        <v>206</v>
      </c>
      <c r="E57" s="6">
        <v>317.0</v>
      </c>
      <c r="F57" s="6" t="s">
        <v>280</v>
      </c>
      <c r="G57" s="6" t="s">
        <v>281</v>
      </c>
      <c r="H57" s="11" t="s">
        <v>257</v>
      </c>
      <c r="I57" s="6" t="s">
        <v>252</v>
      </c>
      <c r="J57" s="8" t="s">
        <v>282</v>
      </c>
      <c r="K57" s="6" t="s">
        <v>283</v>
      </c>
      <c r="L57" s="6" t="str">
        <f t="shared" si="1"/>
        <v>Team: WD ETRA  -  Project: Engineering Talent Review App</v>
      </c>
      <c r="M57" s="7"/>
      <c r="N57" s="9"/>
      <c r="O57" s="7"/>
      <c r="P57" s="7"/>
      <c r="Q57" s="7"/>
      <c r="R57" s="7"/>
      <c r="S57" s="7"/>
      <c r="T57" s="7"/>
      <c r="U57" s="7"/>
      <c r="V57" s="7"/>
      <c r="W57" s="7"/>
      <c r="X57" s="7"/>
      <c r="Y57" s="7"/>
    </row>
    <row r="58" ht="18.75" customHeight="1">
      <c r="A58" s="6">
        <v>7.0</v>
      </c>
      <c r="B58" s="6">
        <v>7.0</v>
      </c>
      <c r="C58" s="8" t="s">
        <v>205</v>
      </c>
      <c r="D58" s="8" t="s">
        <v>206</v>
      </c>
      <c r="E58" s="6">
        <v>318.0</v>
      </c>
      <c r="F58" s="6" t="s">
        <v>284</v>
      </c>
      <c r="G58" s="6" t="s">
        <v>281</v>
      </c>
      <c r="H58" s="11" t="s">
        <v>257</v>
      </c>
      <c r="I58" s="6" t="s">
        <v>252</v>
      </c>
      <c r="J58" s="8" t="s">
        <v>285</v>
      </c>
      <c r="K58" s="6" t="s">
        <v>286</v>
      </c>
      <c r="L58" s="6" t="str">
        <f t="shared" si="1"/>
        <v>Team: Talent Review Team  -  Project: Engineering Talent Review App</v>
      </c>
      <c r="M58" s="7"/>
      <c r="N58" s="9"/>
      <c r="O58" s="7"/>
      <c r="P58" s="7"/>
      <c r="Q58" s="7"/>
      <c r="R58" s="7"/>
      <c r="S58" s="7"/>
      <c r="T58" s="7"/>
      <c r="U58" s="7"/>
      <c r="V58" s="7"/>
      <c r="W58" s="7"/>
      <c r="X58" s="7"/>
      <c r="Y58" s="7"/>
    </row>
    <row r="59" ht="18.75" customHeight="1">
      <c r="A59" s="6">
        <v>6.0</v>
      </c>
      <c r="B59" s="6">
        <v>5.0</v>
      </c>
      <c r="C59" s="8" t="s">
        <v>205</v>
      </c>
      <c r="D59" s="8" t="s">
        <v>206</v>
      </c>
      <c r="E59" s="6">
        <v>319.0</v>
      </c>
      <c r="F59" s="6" t="s">
        <v>287</v>
      </c>
      <c r="G59" s="6" t="s">
        <v>288</v>
      </c>
      <c r="H59" s="11" t="s">
        <v>289</v>
      </c>
      <c r="I59" s="6" t="s">
        <v>290</v>
      </c>
      <c r="J59" s="8" t="s">
        <v>291</v>
      </c>
      <c r="K59" s="6" t="s">
        <v>292</v>
      </c>
      <c r="L59" s="6" t="str">
        <f t="shared" si="1"/>
        <v>Team: Trinity  -  Project: Customer Process Improvement: IoT Evaluation Made Simple</v>
      </c>
      <c r="M59" s="7"/>
      <c r="N59" s="9"/>
      <c r="O59" s="7"/>
      <c r="P59" s="7"/>
      <c r="Q59" s="7"/>
      <c r="R59" s="7"/>
      <c r="S59" s="7"/>
      <c r="T59" s="7"/>
      <c r="U59" s="7"/>
      <c r="V59" s="7"/>
      <c r="W59" s="7"/>
      <c r="X59" s="7"/>
      <c r="Y59" s="7"/>
    </row>
    <row r="60" ht="18.75" customHeight="1">
      <c r="A60" s="6">
        <v>8.0</v>
      </c>
      <c r="B60" s="6">
        <v>1.0</v>
      </c>
      <c r="C60" s="8" t="s">
        <v>205</v>
      </c>
      <c r="D60" s="8" t="s">
        <v>206</v>
      </c>
      <c r="E60" s="6">
        <v>320.0</v>
      </c>
      <c r="F60" s="6" t="s">
        <v>293</v>
      </c>
      <c r="G60" s="6" t="s">
        <v>294</v>
      </c>
      <c r="H60" s="11" t="s">
        <v>295</v>
      </c>
      <c r="I60" s="6" t="s">
        <v>215</v>
      </c>
      <c r="J60" s="8" t="s">
        <v>296</v>
      </c>
      <c r="K60" s="6" t="s">
        <v>297</v>
      </c>
      <c r="L60" s="6" t="str">
        <f t="shared" si="1"/>
        <v>Team: Innovision  -  Project: Building LLM-powered Tools to Improve INNOVIT’s Internal and External Operations</v>
      </c>
      <c r="M60" s="7"/>
      <c r="N60" s="9"/>
      <c r="O60" s="7"/>
      <c r="P60" s="7"/>
      <c r="Q60" s="7"/>
      <c r="R60" s="7"/>
      <c r="S60" s="7"/>
      <c r="T60" s="7"/>
      <c r="U60" s="7"/>
      <c r="V60" s="7"/>
      <c r="W60" s="7"/>
      <c r="X60" s="7"/>
      <c r="Y60" s="7"/>
    </row>
    <row r="61" ht="18.75" customHeight="1">
      <c r="A61" s="12">
        <v>6.0</v>
      </c>
      <c r="B61" s="12">
        <v>4.0</v>
      </c>
      <c r="C61" s="8" t="s">
        <v>205</v>
      </c>
      <c r="D61" s="8" t="s">
        <v>206</v>
      </c>
      <c r="E61" s="6">
        <v>321.0</v>
      </c>
      <c r="F61" s="6" t="s">
        <v>298</v>
      </c>
      <c r="G61" s="6" t="s">
        <v>299</v>
      </c>
      <c r="H61" s="11" t="s">
        <v>28</v>
      </c>
      <c r="I61" s="6" t="s">
        <v>29</v>
      </c>
      <c r="J61" s="8" t="s">
        <v>300</v>
      </c>
      <c r="K61" s="6" t="s">
        <v>301</v>
      </c>
      <c r="L61" s="6" t="str">
        <f t="shared" si="1"/>
        <v>Team: Paste Prophets  -  Project: Automated Identification of Paste Visual Finish</v>
      </c>
      <c r="M61" s="7"/>
      <c r="N61" s="9"/>
      <c r="O61" s="7"/>
      <c r="P61" s="7"/>
      <c r="Q61" s="7"/>
      <c r="R61" s="7"/>
      <c r="S61" s="7"/>
      <c r="T61" s="7"/>
      <c r="U61" s="7"/>
      <c r="V61" s="7"/>
      <c r="W61" s="7"/>
      <c r="X61" s="7"/>
      <c r="Y61" s="7"/>
    </row>
    <row r="62" ht="18.75" customHeight="1">
      <c r="A62" s="6">
        <v>7.0</v>
      </c>
      <c r="B62" s="6">
        <v>9.0</v>
      </c>
      <c r="C62" s="8" t="s">
        <v>205</v>
      </c>
      <c r="D62" s="8" t="s">
        <v>206</v>
      </c>
      <c r="E62" s="6">
        <v>322.0</v>
      </c>
      <c r="F62" s="6" t="s">
        <v>302</v>
      </c>
      <c r="G62" s="6" t="s">
        <v>303</v>
      </c>
      <c r="H62" s="11" t="s">
        <v>304</v>
      </c>
      <c r="I62" s="6" t="s">
        <v>215</v>
      </c>
      <c r="J62" s="8" t="s">
        <v>305</v>
      </c>
      <c r="K62" s="6" t="s">
        <v>306</v>
      </c>
      <c r="L62" s="6" t="str">
        <f t="shared" si="1"/>
        <v>Team: #Include  -  Project: Capstone Purchasing App - Phase 2</v>
      </c>
      <c r="M62" s="7"/>
      <c r="N62" s="9"/>
      <c r="O62" s="7"/>
      <c r="P62" s="7"/>
      <c r="Q62" s="7"/>
      <c r="R62" s="7"/>
      <c r="S62" s="7"/>
      <c r="T62" s="7"/>
      <c r="U62" s="7"/>
      <c r="V62" s="7"/>
      <c r="W62" s="7"/>
      <c r="X62" s="7"/>
      <c r="Y62" s="7"/>
    </row>
    <row r="63" ht="18.75" customHeight="1">
      <c r="A63" s="13">
        <v>8.0</v>
      </c>
      <c r="B63" s="13">
        <v>8.0</v>
      </c>
      <c r="C63" s="8" t="s">
        <v>205</v>
      </c>
      <c r="D63" s="8" t="s">
        <v>206</v>
      </c>
      <c r="E63" s="6">
        <v>323.0</v>
      </c>
      <c r="F63" s="6" t="s">
        <v>307</v>
      </c>
      <c r="G63" s="6" t="s">
        <v>308</v>
      </c>
      <c r="H63" s="11" t="s">
        <v>309</v>
      </c>
      <c r="I63" s="6" t="s">
        <v>202</v>
      </c>
      <c r="J63" s="8" t="s">
        <v>310</v>
      </c>
      <c r="K63" s="6" t="s">
        <v>311</v>
      </c>
      <c r="L63" s="6" t="str">
        <f t="shared" si="1"/>
        <v>Team: The Bit Barons  -  Project: CSE Course Recommendation</v>
      </c>
      <c r="M63" s="7"/>
      <c r="N63" s="9"/>
      <c r="O63" s="7"/>
      <c r="P63" s="7"/>
      <c r="Q63" s="7"/>
      <c r="R63" s="7"/>
      <c r="S63" s="7"/>
      <c r="T63" s="7"/>
      <c r="U63" s="7"/>
      <c r="V63" s="7"/>
      <c r="W63" s="7"/>
      <c r="X63" s="7"/>
      <c r="Y63" s="7"/>
    </row>
    <row r="64" ht="18.75" customHeight="1">
      <c r="A64" s="12">
        <v>8.0</v>
      </c>
      <c r="B64" s="12">
        <v>5.0</v>
      </c>
      <c r="C64" s="8" t="s">
        <v>205</v>
      </c>
      <c r="D64" s="8" t="s">
        <v>206</v>
      </c>
      <c r="E64" s="6">
        <v>324.0</v>
      </c>
      <c r="F64" s="6" t="s">
        <v>312</v>
      </c>
      <c r="G64" s="6" t="s">
        <v>313</v>
      </c>
      <c r="H64" s="11" t="s">
        <v>230</v>
      </c>
      <c r="I64" s="6" t="s">
        <v>55</v>
      </c>
      <c r="J64" s="8" t="s">
        <v>314</v>
      </c>
      <c r="K64" s="6" t="s">
        <v>315</v>
      </c>
      <c r="L64" s="6" t="str">
        <f t="shared" si="1"/>
        <v>Team: Anomaleaf  -  Project: Leaf Classification with AI</v>
      </c>
      <c r="M64" s="7"/>
      <c r="N64" s="9"/>
      <c r="O64" s="7"/>
      <c r="P64" s="7"/>
      <c r="Q64" s="7"/>
      <c r="R64" s="7"/>
      <c r="S64" s="7"/>
      <c r="T64" s="7"/>
      <c r="U64" s="7"/>
      <c r="V64" s="7"/>
      <c r="W64" s="7"/>
      <c r="X64" s="7"/>
      <c r="Y64" s="7"/>
    </row>
    <row r="65" ht="18.75" customHeight="1">
      <c r="A65" s="13">
        <v>8.0</v>
      </c>
      <c r="B65" s="13">
        <v>9.0</v>
      </c>
      <c r="C65" s="8" t="s">
        <v>205</v>
      </c>
      <c r="D65" s="8" t="s">
        <v>206</v>
      </c>
      <c r="E65" s="6">
        <v>325.0</v>
      </c>
      <c r="F65" s="14" t="s">
        <v>316</v>
      </c>
      <c r="G65" s="6" t="s">
        <v>317</v>
      </c>
      <c r="H65" s="11" t="s">
        <v>214</v>
      </c>
      <c r="I65" s="6" t="s">
        <v>202</v>
      </c>
      <c r="J65" s="8" t="s">
        <v>318</v>
      </c>
      <c r="K65" s="6" t="s">
        <v>319</v>
      </c>
      <c r="L65" s="6" t="str">
        <f t="shared" si="1"/>
        <v>Team: DAZ.LV  -  Project: I2G Mobile App and Event Registration</v>
      </c>
      <c r="M65" s="7"/>
      <c r="N65" s="9"/>
      <c r="O65" s="7"/>
      <c r="P65" s="7"/>
      <c r="Q65" s="7"/>
      <c r="R65" s="7"/>
      <c r="S65" s="7"/>
      <c r="T65" s="7"/>
      <c r="U65" s="7"/>
      <c r="V65" s="7"/>
      <c r="W65" s="7"/>
      <c r="X65" s="7"/>
      <c r="Y65" s="7"/>
    </row>
    <row r="66" ht="18.75" customHeight="1">
      <c r="A66" s="12">
        <v>8.0</v>
      </c>
      <c r="B66" s="12">
        <v>6.0</v>
      </c>
      <c r="C66" s="8" t="s">
        <v>205</v>
      </c>
      <c r="D66" s="8" t="s">
        <v>206</v>
      </c>
      <c r="E66" s="6">
        <v>326.0</v>
      </c>
      <c r="F66" s="6" t="s">
        <v>320</v>
      </c>
      <c r="G66" s="6" t="s">
        <v>321</v>
      </c>
      <c r="H66" s="11" t="s">
        <v>230</v>
      </c>
      <c r="I66" s="6" t="s">
        <v>55</v>
      </c>
      <c r="J66" s="8" t="s">
        <v>322</v>
      </c>
      <c r="K66" s="6" t="s">
        <v>323</v>
      </c>
      <c r="L66" s="6" t="str">
        <f t="shared" si="1"/>
        <v>Team: PathFinder  -  Project: Goal Reach Time Estimation and Update Based on Previously Cached Results</v>
      </c>
      <c r="M66" s="7"/>
      <c r="N66" s="9"/>
      <c r="O66" s="7"/>
      <c r="P66" s="7"/>
      <c r="Q66" s="7"/>
      <c r="R66" s="7"/>
      <c r="S66" s="7"/>
      <c r="T66" s="7"/>
      <c r="U66" s="7"/>
      <c r="V66" s="7"/>
      <c r="W66" s="7"/>
      <c r="X66" s="7"/>
      <c r="Y66" s="7"/>
    </row>
    <row r="67" ht="18.75" customHeight="1">
      <c r="A67" s="6">
        <v>6.0</v>
      </c>
      <c r="B67" s="6">
        <v>8.0</v>
      </c>
      <c r="C67" s="8" t="s">
        <v>205</v>
      </c>
      <c r="D67" s="8" t="s">
        <v>206</v>
      </c>
      <c r="E67" s="6">
        <v>327.0</v>
      </c>
      <c r="F67" s="6" t="s">
        <v>324</v>
      </c>
      <c r="G67" s="6" t="s">
        <v>325</v>
      </c>
      <c r="H67" s="11" t="s">
        <v>326</v>
      </c>
      <c r="I67" s="6" t="s">
        <v>55</v>
      </c>
      <c r="J67" s="8" t="s">
        <v>327</v>
      </c>
      <c r="K67" s="6" t="s">
        <v>328</v>
      </c>
      <c r="L67" s="6" t="str">
        <f t="shared" si="1"/>
        <v>Team: FrostByte  -  Project: Refrigerated Truck Compliance App</v>
      </c>
      <c r="M67" s="7"/>
      <c r="N67" s="9"/>
      <c r="O67" s="7"/>
      <c r="P67" s="7"/>
      <c r="Q67" s="7"/>
      <c r="R67" s="7"/>
      <c r="S67" s="7"/>
      <c r="T67" s="7"/>
      <c r="U67" s="7"/>
      <c r="V67" s="7"/>
      <c r="W67" s="7"/>
      <c r="X67" s="7"/>
      <c r="Y67" s="7"/>
    </row>
  </sheetData>
  <hyperlinks>
    <hyperlink r:id="rId1" ref="F65"/>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0"/>
    <col customWidth="1" min="2" max="2" width="84.0"/>
    <col customWidth="1" min="3" max="3" width="104.5"/>
    <col customWidth="1" min="4" max="7" width="23.75"/>
    <col customWidth="1" min="8" max="8" width="37.38"/>
    <col customWidth="1" min="9" max="19" width="23.75"/>
  </cols>
  <sheetData>
    <row r="1" ht="14.25" customHeight="1">
      <c r="A1" s="6" t="s">
        <v>329</v>
      </c>
      <c r="B1" s="15" t="s">
        <v>330</v>
      </c>
      <c r="C1" s="15" t="s">
        <v>19</v>
      </c>
      <c r="D1" s="16"/>
      <c r="J1" s="17"/>
      <c r="K1" s="17"/>
      <c r="L1" s="17"/>
      <c r="M1" s="17"/>
      <c r="N1" s="17"/>
      <c r="O1" s="17"/>
      <c r="P1" s="17"/>
      <c r="Q1" s="17"/>
      <c r="R1" s="17"/>
      <c r="S1" s="17"/>
    </row>
    <row r="2" ht="14.25" customHeight="1">
      <c r="A2" s="6" t="s">
        <v>331</v>
      </c>
      <c r="B2" s="15" t="s">
        <v>332</v>
      </c>
      <c r="C2" s="15" t="s">
        <v>25</v>
      </c>
      <c r="D2" s="16"/>
      <c r="J2" s="17"/>
      <c r="K2" s="17"/>
      <c r="L2" s="17"/>
      <c r="M2" s="17"/>
      <c r="N2" s="17"/>
      <c r="O2" s="17"/>
      <c r="P2" s="17"/>
      <c r="Q2" s="17"/>
      <c r="R2" s="17"/>
      <c r="S2" s="17"/>
    </row>
    <row r="3" ht="14.25" customHeight="1">
      <c r="A3" s="6" t="s">
        <v>333</v>
      </c>
      <c r="B3" s="18" t="s">
        <v>334</v>
      </c>
      <c r="C3" s="18" t="s">
        <v>31</v>
      </c>
      <c r="D3" s="17"/>
      <c r="E3" s="17"/>
      <c r="F3" s="17"/>
      <c r="G3" s="17"/>
      <c r="H3" s="17"/>
      <c r="I3" s="17"/>
      <c r="J3" s="17"/>
      <c r="K3" s="17"/>
      <c r="L3" s="17"/>
      <c r="M3" s="17"/>
      <c r="N3" s="17"/>
      <c r="O3" s="17"/>
      <c r="P3" s="17"/>
      <c r="Q3" s="17"/>
      <c r="R3" s="17"/>
      <c r="S3" s="17"/>
    </row>
    <row r="4" ht="14.25" customHeight="1">
      <c r="A4" s="6" t="s">
        <v>335</v>
      </c>
      <c r="B4" s="18" t="s">
        <v>336</v>
      </c>
      <c r="C4" s="18" t="s">
        <v>37</v>
      </c>
      <c r="D4" s="17"/>
      <c r="E4" s="17"/>
      <c r="F4" s="17"/>
      <c r="G4" s="17"/>
      <c r="H4" s="17"/>
      <c r="I4" s="17"/>
      <c r="J4" s="17"/>
      <c r="K4" s="17"/>
      <c r="L4" s="17"/>
      <c r="M4" s="17"/>
      <c r="N4" s="17"/>
      <c r="O4" s="17"/>
      <c r="P4" s="17"/>
      <c r="Q4" s="17"/>
      <c r="R4" s="17"/>
      <c r="S4" s="17"/>
    </row>
    <row r="5" ht="14.25" customHeight="1">
      <c r="A5" s="6" t="s">
        <v>337</v>
      </c>
      <c r="B5" s="18" t="s">
        <v>338</v>
      </c>
      <c r="C5" s="18" t="s">
        <v>41</v>
      </c>
      <c r="D5" s="17"/>
      <c r="E5" s="17"/>
      <c r="F5" s="17"/>
      <c r="G5" s="17"/>
      <c r="H5" s="17"/>
      <c r="I5" s="17"/>
      <c r="J5" s="17"/>
      <c r="K5" s="17"/>
      <c r="L5" s="17"/>
      <c r="M5" s="17"/>
      <c r="N5" s="17"/>
      <c r="O5" s="17"/>
      <c r="P5" s="17"/>
      <c r="Q5" s="17"/>
      <c r="R5" s="17"/>
      <c r="S5" s="17"/>
    </row>
    <row r="6" ht="14.25" customHeight="1">
      <c r="A6" s="6" t="s">
        <v>339</v>
      </c>
      <c r="B6" s="18" t="s">
        <v>340</v>
      </c>
      <c r="C6" s="18" t="s">
        <v>47</v>
      </c>
      <c r="D6" s="17"/>
      <c r="E6" s="17"/>
      <c r="F6" s="17"/>
      <c r="G6" s="17"/>
      <c r="H6" s="17"/>
      <c r="I6" s="17"/>
      <c r="J6" s="17"/>
      <c r="K6" s="17"/>
      <c r="L6" s="17"/>
      <c r="M6" s="17"/>
      <c r="N6" s="17"/>
      <c r="O6" s="17"/>
      <c r="P6" s="17"/>
      <c r="Q6" s="17"/>
      <c r="R6" s="17"/>
      <c r="S6" s="17"/>
    </row>
    <row r="7" ht="14.25" customHeight="1">
      <c r="A7" s="6" t="s">
        <v>341</v>
      </c>
      <c r="B7" s="18" t="s">
        <v>342</v>
      </c>
      <c r="C7" s="18" t="s">
        <v>51</v>
      </c>
      <c r="D7" s="17"/>
      <c r="E7" s="17"/>
      <c r="F7" s="17"/>
      <c r="G7" s="17"/>
      <c r="H7" s="17"/>
      <c r="I7" s="17"/>
      <c r="J7" s="17"/>
      <c r="K7" s="17"/>
      <c r="L7" s="17"/>
      <c r="M7" s="17"/>
      <c r="N7" s="17"/>
      <c r="O7" s="17"/>
      <c r="P7" s="17"/>
      <c r="Q7" s="17"/>
      <c r="R7" s="17"/>
      <c r="S7" s="17"/>
    </row>
    <row r="8" ht="14.25" customHeight="1">
      <c r="A8" s="6" t="s">
        <v>343</v>
      </c>
      <c r="B8" s="18" t="s">
        <v>344</v>
      </c>
      <c r="C8" s="18" t="s">
        <v>57</v>
      </c>
      <c r="D8" s="17"/>
      <c r="E8" s="17"/>
      <c r="F8" s="17"/>
      <c r="G8" s="17"/>
      <c r="H8" s="17"/>
      <c r="I8" s="17"/>
      <c r="J8" s="17"/>
      <c r="K8" s="17"/>
      <c r="L8" s="17"/>
      <c r="M8" s="17"/>
      <c r="N8" s="17"/>
      <c r="O8" s="17"/>
      <c r="P8" s="17"/>
      <c r="Q8" s="17"/>
      <c r="R8" s="17"/>
      <c r="S8" s="17"/>
    </row>
    <row r="9" ht="14.25" customHeight="1">
      <c r="A9" s="6" t="s">
        <v>345</v>
      </c>
      <c r="B9" s="18" t="s">
        <v>346</v>
      </c>
      <c r="C9" s="18" t="s">
        <v>61</v>
      </c>
      <c r="D9" s="17"/>
      <c r="E9" s="17"/>
      <c r="F9" s="17"/>
      <c r="G9" s="17"/>
      <c r="H9" s="17"/>
      <c r="I9" s="17"/>
      <c r="J9" s="17"/>
      <c r="K9" s="17"/>
      <c r="L9" s="17"/>
      <c r="M9" s="17"/>
      <c r="N9" s="17"/>
      <c r="O9" s="17"/>
      <c r="P9" s="17"/>
      <c r="Q9" s="17"/>
      <c r="R9" s="17"/>
      <c r="S9" s="17"/>
    </row>
    <row r="10" ht="14.25" customHeight="1">
      <c r="A10" s="6" t="s">
        <v>347</v>
      </c>
      <c r="B10" s="18" t="s">
        <v>348</v>
      </c>
      <c r="C10" s="18" t="s">
        <v>65</v>
      </c>
      <c r="D10" s="17"/>
      <c r="E10" s="17"/>
      <c r="F10" s="17"/>
      <c r="G10" s="17"/>
      <c r="H10" s="17"/>
      <c r="I10" s="17"/>
      <c r="J10" s="17"/>
      <c r="K10" s="17"/>
      <c r="L10" s="17"/>
      <c r="M10" s="17"/>
      <c r="N10" s="17"/>
      <c r="O10" s="17"/>
      <c r="P10" s="17"/>
      <c r="Q10" s="17"/>
      <c r="R10" s="17"/>
      <c r="S10" s="17"/>
    </row>
    <row r="11" ht="14.25" customHeight="1">
      <c r="A11" s="6" t="s">
        <v>349</v>
      </c>
      <c r="B11" s="18" t="s">
        <v>350</v>
      </c>
      <c r="C11" s="18" t="s">
        <v>70</v>
      </c>
      <c r="D11" s="9"/>
      <c r="E11" s="9"/>
      <c r="F11" s="17"/>
      <c r="G11" s="17"/>
      <c r="H11" s="17"/>
      <c r="I11" s="17"/>
      <c r="J11" s="17"/>
      <c r="K11" s="17"/>
      <c r="L11" s="17"/>
      <c r="M11" s="17"/>
      <c r="N11" s="17"/>
      <c r="O11" s="17"/>
      <c r="P11" s="17"/>
      <c r="Q11" s="17"/>
      <c r="R11" s="17"/>
      <c r="S11" s="17"/>
    </row>
    <row r="12" ht="14.25" customHeight="1">
      <c r="A12" s="6" t="s">
        <v>351</v>
      </c>
      <c r="B12" s="18" t="s">
        <v>352</v>
      </c>
      <c r="C12" s="18" t="s">
        <v>74</v>
      </c>
      <c r="D12" s="9"/>
      <c r="E12" s="9"/>
      <c r="F12" s="17"/>
      <c r="G12" s="17"/>
      <c r="H12" s="17"/>
      <c r="I12" s="17"/>
      <c r="J12" s="17"/>
      <c r="K12" s="17"/>
      <c r="L12" s="17"/>
      <c r="M12" s="17"/>
      <c r="N12" s="17"/>
      <c r="O12" s="17"/>
      <c r="P12" s="17"/>
      <c r="Q12" s="17"/>
      <c r="R12" s="17"/>
      <c r="S12" s="17"/>
    </row>
    <row r="13" ht="14.25" customHeight="1">
      <c r="A13" s="6" t="s">
        <v>353</v>
      </c>
      <c r="B13" s="18" t="s">
        <v>354</v>
      </c>
      <c r="C13" s="18" t="s">
        <v>79</v>
      </c>
      <c r="D13" s="9"/>
      <c r="E13" s="9"/>
      <c r="F13" s="17"/>
      <c r="G13" s="17"/>
      <c r="H13" s="17"/>
      <c r="I13" s="17"/>
      <c r="J13" s="17"/>
      <c r="K13" s="17"/>
      <c r="L13" s="17"/>
      <c r="M13" s="17"/>
      <c r="N13" s="17"/>
      <c r="O13" s="17"/>
      <c r="P13" s="17"/>
      <c r="Q13" s="17"/>
      <c r="R13" s="17"/>
      <c r="S13" s="17"/>
    </row>
    <row r="14" ht="14.25" customHeight="1">
      <c r="A14" s="6" t="s">
        <v>355</v>
      </c>
      <c r="B14" s="18" t="s">
        <v>356</v>
      </c>
      <c r="C14" s="18" t="s">
        <v>83</v>
      </c>
      <c r="D14" s="9"/>
      <c r="E14" s="9"/>
      <c r="F14" s="17"/>
      <c r="G14" s="17"/>
      <c r="H14" s="17"/>
      <c r="I14" s="17"/>
      <c r="J14" s="17"/>
      <c r="K14" s="17"/>
      <c r="L14" s="17"/>
      <c r="M14" s="17"/>
      <c r="N14" s="17"/>
      <c r="O14" s="17"/>
      <c r="P14" s="17"/>
      <c r="Q14" s="17"/>
      <c r="R14" s="17"/>
      <c r="S14" s="17"/>
    </row>
    <row r="15" ht="14.25" customHeight="1">
      <c r="A15" s="6" t="s">
        <v>357</v>
      </c>
      <c r="B15" s="18" t="s">
        <v>358</v>
      </c>
      <c r="C15" s="18" t="s">
        <v>88</v>
      </c>
      <c r="D15" s="9"/>
      <c r="E15" s="9"/>
      <c r="F15" s="17"/>
      <c r="G15" s="17"/>
      <c r="H15" s="17"/>
      <c r="I15" s="17"/>
      <c r="J15" s="17"/>
      <c r="K15" s="17"/>
      <c r="L15" s="17"/>
      <c r="M15" s="17"/>
      <c r="N15" s="17"/>
      <c r="O15" s="17"/>
      <c r="P15" s="17"/>
      <c r="Q15" s="17"/>
      <c r="R15" s="17"/>
      <c r="S15" s="17"/>
    </row>
    <row r="16" ht="14.25" customHeight="1">
      <c r="A16" s="6" t="s">
        <v>359</v>
      </c>
      <c r="B16" s="18" t="s">
        <v>360</v>
      </c>
      <c r="C16" s="18" t="s">
        <v>92</v>
      </c>
      <c r="D16" s="9"/>
      <c r="E16" s="9"/>
      <c r="F16" s="17"/>
      <c r="G16" s="17"/>
      <c r="H16" s="17"/>
      <c r="I16" s="17"/>
      <c r="J16" s="17"/>
      <c r="K16" s="17"/>
      <c r="L16" s="17"/>
      <c r="M16" s="17"/>
      <c r="N16" s="17"/>
      <c r="O16" s="17"/>
      <c r="P16" s="17"/>
      <c r="Q16" s="17"/>
      <c r="R16" s="17"/>
      <c r="S16" s="17"/>
    </row>
    <row r="17" ht="14.25" customHeight="1">
      <c r="A17" s="6" t="s">
        <v>361</v>
      </c>
      <c r="B17" s="18" t="s">
        <v>362</v>
      </c>
      <c r="C17" s="18" t="s">
        <v>97</v>
      </c>
      <c r="D17" s="9"/>
      <c r="E17" s="9"/>
      <c r="F17" s="17"/>
      <c r="G17" s="17"/>
      <c r="H17" s="17"/>
      <c r="I17" s="17"/>
      <c r="J17" s="17"/>
      <c r="K17" s="17"/>
      <c r="L17" s="17"/>
      <c r="M17" s="17"/>
      <c r="N17" s="17"/>
      <c r="O17" s="17"/>
      <c r="P17" s="17"/>
      <c r="Q17" s="17"/>
      <c r="R17" s="17"/>
      <c r="S17" s="17"/>
    </row>
    <row r="18" ht="14.25" customHeight="1">
      <c r="A18" s="6" t="s">
        <v>363</v>
      </c>
      <c r="B18" s="18" t="s">
        <v>364</v>
      </c>
      <c r="C18" s="18" t="s">
        <v>102</v>
      </c>
      <c r="D18" s="9"/>
      <c r="E18" s="9"/>
      <c r="F18" s="17"/>
      <c r="G18" s="17"/>
      <c r="H18" s="17"/>
      <c r="I18" s="17"/>
      <c r="J18" s="17"/>
      <c r="K18" s="17"/>
      <c r="L18" s="17"/>
      <c r="M18" s="17"/>
      <c r="N18" s="17"/>
      <c r="O18" s="17"/>
      <c r="P18" s="17"/>
      <c r="Q18" s="17"/>
      <c r="R18" s="17"/>
      <c r="S18" s="17"/>
    </row>
    <row r="19" ht="14.25" customHeight="1">
      <c r="A19" s="6" t="s">
        <v>365</v>
      </c>
      <c r="B19" s="18" t="s">
        <v>366</v>
      </c>
      <c r="C19" s="18" t="s">
        <v>107</v>
      </c>
      <c r="D19" s="9"/>
      <c r="E19" s="9"/>
      <c r="F19" s="17"/>
      <c r="G19" s="17"/>
      <c r="H19" s="17"/>
      <c r="I19" s="17"/>
      <c r="J19" s="17"/>
      <c r="K19" s="17"/>
      <c r="L19" s="17"/>
      <c r="M19" s="17"/>
      <c r="N19" s="17"/>
      <c r="O19" s="17"/>
      <c r="P19" s="17"/>
      <c r="Q19" s="17"/>
      <c r="R19" s="17"/>
      <c r="S19" s="17"/>
    </row>
    <row r="20" ht="14.25" customHeight="1">
      <c r="A20" s="6" t="s">
        <v>367</v>
      </c>
      <c r="B20" s="18" t="s">
        <v>368</v>
      </c>
      <c r="C20" s="18" t="s">
        <v>112</v>
      </c>
      <c r="D20" s="9"/>
      <c r="E20" s="9"/>
      <c r="F20" s="17"/>
      <c r="G20" s="17"/>
      <c r="H20" s="17"/>
      <c r="I20" s="17"/>
      <c r="J20" s="17"/>
      <c r="K20" s="17"/>
      <c r="L20" s="17"/>
      <c r="M20" s="17"/>
      <c r="N20" s="17"/>
      <c r="O20" s="17"/>
      <c r="P20" s="17"/>
      <c r="Q20" s="17"/>
      <c r="R20" s="17"/>
      <c r="S20" s="17"/>
    </row>
    <row r="21" ht="14.25" customHeight="1">
      <c r="A21" s="6" t="s">
        <v>369</v>
      </c>
      <c r="B21" s="18" t="s">
        <v>370</v>
      </c>
      <c r="C21" s="18" t="s">
        <v>117</v>
      </c>
      <c r="D21" s="9"/>
      <c r="E21" s="9"/>
      <c r="F21" s="17"/>
      <c r="G21" s="17"/>
      <c r="H21" s="17"/>
      <c r="I21" s="17"/>
      <c r="J21" s="17"/>
      <c r="K21" s="17"/>
      <c r="L21" s="17"/>
      <c r="M21" s="17"/>
      <c r="N21" s="17"/>
      <c r="O21" s="17"/>
      <c r="P21" s="17"/>
      <c r="Q21" s="17"/>
      <c r="R21" s="17"/>
      <c r="S21" s="17"/>
    </row>
    <row r="22" ht="14.25" customHeight="1">
      <c r="A22" s="6" t="s">
        <v>371</v>
      </c>
      <c r="B22" s="18" t="s">
        <v>372</v>
      </c>
      <c r="C22" s="18" t="s">
        <v>122</v>
      </c>
      <c r="D22" s="9"/>
      <c r="E22" s="9"/>
      <c r="F22" s="17"/>
      <c r="G22" s="17"/>
      <c r="H22" s="17"/>
      <c r="I22" s="17"/>
      <c r="J22" s="17"/>
      <c r="K22" s="17"/>
      <c r="L22" s="17"/>
      <c r="M22" s="17"/>
      <c r="N22" s="17"/>
      <c r="O22" s="17"/>
      <c r="P22" s="17"/>
      <c r="Q22" s="17"/>
      <c r="R22" s="17"/>
      <c r="S22" s="17"/>
    </row>
    <row r="23" ht="14.25" customHeight="1">
      <c r="A23" s="6" t="s">
        <v>373</v>
      </c>
      <c r="B23" s="18" t="s">
        <v>374</v>
      </c>
      <c r="C23" s="18" t="s">
        <v>126</v>
      </c>
      <c r="D23" s="9"/>
      <c r="E23" s="9"/>
      <c r="F23" s="17"/>
      <c r="G23" s="17"/>
      <c r="H23" s="17"/>
      <c r="I23" s="17"/>
      <c r="J23" s="17"/>
      <c r="K23" s="17"/>
      <c r="L23" s="17"/>
      <c r="M23" s="17"/>
      <c r="N23" s="17"/>
      <c r="O23" s="17"/>
      <c r="P23" s="17"/>
      <c r="Q23" s="17"/>
      <c r="R23" s="17"/>
      <c r="S23" s="17"/>
    </row>
    <row r="24" ht="14.25" customHeight="1">
      <c r="A24" s="6" t="s">
        <v>375</v>
      </c>
      <c r="B24" s="18" t="s">
        <v>376</v>
      </c>
      <c r="C24" s="18" t="s">
        <v>131</v>
      </c>
      <c r="D24" s="9"/>
      <c r="E24" s="9"/>
      <c r="F24" s="17"/>
      <c r="G24" s="17"/>
      <c r="H24" s="17"/>
      <c r="I24" s="17"/>
      <c r="J24" s="17"/>
      <c r="K24" s="17"/>
      <c r="L24" s="17"/>
      <c r="M24" s="17"/>
      <c r="N24" s="17"/>
      <c r="O24" s="17"/>
      <c r="P24" s="17"/>
      <c r="Q24" s="17"/>
      <c r="R24" s="17"/>
      <c r="S24" s="17"/>
    </row>
    <row r="25" ht="14.25" customHeight="1">
      <c r="A25" s="6" t="s">
        <v>377</v>
      </c>
      <c r="B25" s="18" t="s">
        <v>378</v>
      </c>
      <c r="C25" s="18" t="s">
        <v>135</v>
      </c>
      <c r="D25" s="9"/>
      <c r="E25" s="9"/>
      <c r="F25" s="17"/>
      <c r="G25" s="17"/>
      <c r="H25" s="17"/>
      <c r="I25" s="17"/>
      <c r="J25" s="17"/>
      <c r="K25" s="17"/>
      <c r="L25" s="17"/>
      <c r="M25" s="17"/>
      <c r="N25" s="17"/>
      <c r="O25" s="17"/>
      <c r="P25" s="17"/>
      <c r="Q25" s="17"/>
      <c r="R25" s="17"/>
      <c r="S25" s="17"/>
    </row>
    <row r="26" ht="14.25" customHeight="1">
      <c r="A26" s="6" t="s">
        <v>379</v>
      </c>
      <c r="B26" s="18" t="s">
        <v>380</v>
      </c>
      <c r="C26" s="18" t="s">
        <v>140</v>
      </c>
      <c r="D26" s="9"/>
      <c r="E26" s="9"/>
      <c r="F26" s="17"/>
      <c r="G26" s="17"/>
      <c r="H26" s="17"/>
      <c r="I26" s="17"/>
      <c r="J26" s="17"/>
      <c r="K26" s="17"/>
      <c r="L26" s="17"/>
      <c r="M26" s="17"/>
      <c r="N26" s="17"/>
      <c r="O26" s="17"/>
      <c r="P26" s="17"/>
      <c r="Q26" s="17"/>
      <c r="R26" s="17"/>
      <c r="S26" s="17"/>
    </row>
    <row r="27" ht="14.25" customHeight="1">
      <c r="A27" s="6" t="s">
        <v>381</v>
      </c>
      <c r="B27" s="18" t="s">
        <v>382</v>
      </c>
      <c r="C27" s="18" t="s">
        <v>211</v>
      </c>
      <c r="D27" s="9"/>
      <c r="E27" s="9"/>
      <c r="F27" s="17"/>
      <c r="G27" s="17"/>
      <c r="H27" s="17"/>
      <c r="I27" s="17"/>
      <c r="J27" s="17"/>
      <c r="K27" s="17"/>
      <c r="L27" s="17"/>
      <c r="M27" s="17"/>
      <c r="N27" s="17"/>
      <c r="O27" s="17"/>
      <c r="P27" s="17"/>
      <c r="Q27" s="17"/>
      <c r="R27" s="17"/>
      <c r="S27" s="17"/>
    </row>
    <row r="28" ht="14.25" customHeight="1">
      <c r="A28" s="6" t="s">
        <v>383</v>
      </c>
      <c r="B28" s="18" t="s">
        <v>384</v>
      </c>
      <c r="C28" s="18" t="s">
        <v>217</v>
      </c>
      <c r="D28" s="9"/>
      <c r="E28" s="9"/>
      <c r="F28" s="17"/>
      <c r="G28" s="17"/>
      <c r="H28" s="17"/>
      <c r="I28" s="17"/>
      <c r="J28" s="17"/>
      <c r="K28" s="17"/>
      <c r="L28" s="17"/>
      <c r="M28" s="17"/>
      <c r="N28" s="17"/>
      <c r="O28" s="17"/>
      <c r="P28" s="17"/>
      <c r="Q28" s="17"/>
      <c r="R28" s="17"/>
      <c r="S28" s="17"/>
    </row>
    <row r="29" ht="14.25" customHeight="1">
      <c r="A29" s="6" t="s">
        <v>385</v>
      </c>
      <c r="B29" s="18" t="s">
        <v>386</v>
      </c>
      <c r="C29" s="18" t="s">
        <v>223</v>
      </c>
      <c r="D29" s="9"/>
      <c r="E29" s="9"/>
      <c r="F29" s="17"/>
      <c r="G29" s="17"/>
      <c r="H29" s="17"/>
      <c r="I29" s="17"/>
      <c r="J29" s="17"/>
      <c r="K29" s="17"/>
      <c r="L29" s="17"/>
      <c r="M29" s="17"/>
      <c r="N29" s="17"/>
      <c r="O29" s="17"/>
      <c r="P29" s="17"/>
      <c r="Q29" s="17"/>
      <c r="R29" s="17"/>
      <c r="S29" s="17"/>
    </row>
    <row r="30" ht="14.25" customHeight="1">
      <c r="A30" s="6" t="s">
        <v>387</v>
      </c>
      <c r="B30" s="18" t="s">
        <v>388</v>
      </c>
      <c r="C30" s="18" t="s">
        <v>227</v>
      </c>
      <c r="D30" s="9"/>
      <c r="E30" s="9"/>
      <c r="F30" s="17"/>
      <c r="G30" s="17"/>
      <c r="H30" s="17"/>
      <c r="I30" s="17"/>
      <c r="J30" s="17"/>
      <c r="K30" s="17"/>
      <c r="L30" s="17"/>
      <c r="M30" s="17"/>
      <c r="N30" s="17"/>
      <c r="O30" s="17"/>
      <c r="P30" s="17"/>
      <c r="Q30" s="17"/>
      <c r="R30" s="17"/>
      <c r="S30" s="17"/>
    </row>
    <row r="31" ht="14.25" customHeight="1">
      <c r="A31" s="6" t="s">
        <v>389</v>
      </c>
      <c r="B31" s="18" t="s">
        <v>390</v>
      </c>
      <c r="C31" s="18" t="s">
        <v>232</v>
      </c>
      <c r="D31" s="9"/>
      <c r="E31" s="9"/>
      <c r="F31" s="17"/>
      <c r="G31" s="17"/>
      <c r="H31" s="17"/>
      <c r="I31" s="17"/>
      <c r="J31" s="17"/>
      <c r="K31" s="17"/>
      <c r="L31" s="17"/>
      <c r="M31" s="17"/>
      <c r="N31" s="17"/>
      <c r="O31" s="17"/>
      <c r="P31" s="17"/>
      <c r="Q31" s="17"/>
      <c r="R31" s="17"/>
      <c r="S31" s="17"/>
    </row>
    <row r="32" ht="14.25" customHeight="1">
      <c r="A32" s="6" t="s">
        <v>391</v>
      </c>
      <c r="B32" s="18" t="s">
        <v>392</v>
      </c>
      <c r="C32" s="18" t="s">
        <v>237</v>
      </c>
      <c r="D32" s="9"/>
      <c r="E32" s="9"/>
      <c r="F32" s="17"/>
      <c r="G32" s="17"/>
      <c r="H32" s="17"/>
      <c r="I32" s="17"/>
      <c r="J32" s="17"/>
      <c r="K32" s="17"/>
      <c r="L32" s="17"/>
      <c r="M32" s="17"/>
      <c r="N32" s="17"/>
      <c r="O32" s="17"/>
      <c r="P32" s="17"/>
      <c r="Q32" s="17"/>
      <c r="R32" s="17"/>
      <c r="S32" s="17"/>
    </row>
    <row r="33" ht="14.25" customHeight="1">
      <c r="A33" s="6" t="s">
        <v>393</v>
      </c>
      <c r="B33" s="18" t="s">
        <v>394</v>
      </c>
      <c r="C33" s="18" t="s">
        <v>240</v>
      </c>
      <c r="D33" s="9"/>
      <c r="E33" s="9"/>
      <c r="F33" s="17"/>
      <c r="G33" s="17"/>
      <c r="H33" s="17"/>
      <c r="I33" s="17"/>
      <c r="J33" s="17"/>
      <c r="K33" s="17"/>
      <c r="L33" s="17"/>
      <c r="M33" s="17"/>
      <c r="N33" s="17"/>
      <c r="O33" s="17"/>
      <c r="P33" s="17"/>
      <c r="Q33" s="17"/>
      <c r="R33" s="17"/>
      <c r="S33" s="17"/>
    </row>
    <row r="34" ht="14.25" customHeight="1">
      <c r="A34" s="6" t="s">
        <v>395</v>
      </c>
      <c r="B34" s="18" t="s">
        <v>396</v>
      </c>
      <c r="C34" s="18" t="s">
        <v>245</v>
      </c>
      <c r="D34" s="9"/>
      <c r="E34" s="9"/>
      <c r="F34" s="17"/>
      <c r="G34" s="17"/>
      <c r="H34" s="17"/>
      <c r="I34" s="17"/>
      <c r="J34" s="17"/>
      <c r="K34" s="17"/>
      <c r="L34" s="17"/>
      <c r="M34" s="17"/>
      <c r="N34" s="17"/>
      <c r="O34" s="17"/>
      <c r="P34" s="17"/>
      <c r="Q34" s="17"/>
      <c r="R34" s="17"/>
      <c r="S34" s="17"/>
    </row>
    <row r="35" ht="14.25" customHeight="1">
      <c r="A35" s="6" t="s">
        <v>397</v>
      </c>
      <c r="B35" s="18" t="s">
        <v>398</v>
      </c>
      <c r="C35" s="18" t="s">
        <v>248</v>
      </c>
      <c r="D35" s="9"/>
      <c r="E35" s="9"/>
      <c r="F35" s="17"/>
      <c r="G35" s="17"/>
      <c r="H35" s="17"/>
      <c r="I35" s="17"/>
      <c r="J35" s="17"/>
      <c r="K35" s="17"/>
      <c r="L35" s="17"/>
      <c r="M35" s="17"/>
      <c r="N35" s="17"/>
      <c r="O35" s="17"/>
      <c r="P35" s="17"/>
      <c r="Q35" s="17"/>
      <c r="R35" s="17"/>
      <c r="S35" s="17"/>
    </row>
    <row r="36" ht="14.25" customHeight="1">
      <c r="A36" s="6" t="s">
        <v>399</v>
      </c>
      <c r="B36" s="18" t="s">
        <v>400</v>
      </c>
      <c r="C36" s="18" t="s">
        <v>401</v>
      </c>
      <c r="D36" s="9"/>
      <c r="E36" s="9"/>
      <c r="F36" s="17"/>
      <c r="G36" s="17"/>
      <c r="H36" s="17"/>
      <c r="I36" s="17"/>
      <c r="J36" s="17"/>
      <c r="K36" s="17"/>
      <c r="L36" s="17"/>
      <c r="M36" s="17"/>
      <c r="N36" s="17"/>
      <c r="O36" s="17"/>
      <c r="P36" s="17"/>
      <c r="Q36" s="17"/>
      <c r="R36" s="17"/>
      <c r="S36" s="17"/>
    </row>
    <row r="37" ht="14.25" customHeight="1">
      <c r="A37" s="6" t="s">
        <v>402</v>
      </c>
      <c r="B37" s="18" t="s">
        <v>403</v>
      </c>
      <c r="C37" s="18" t="s">
        <v>404</v>
      </c>
      <c r="D37" s="9"/>
      <c r="E37" s="9"/>
      <c r="F37" s="17"/>
      <c r="G37" s="17"/>
      <c r="H37" s="17"/>
      <c r="I37" s="17"/>
      <c r="J37" s="17"/>
      <c r="K37" s="17"/>
      <c r="L37" s="17"/>
      <c r="M37" s="17"/>
      <c r="N37" s="17"/>
      <c r="O37" s="17"/>
      <c r="P37" s="17"/>
      <c r="Q37" s="17"/>
      <c r="R37" s="17"/>
      <c r="S37" s="17"/>
    </row>
    <row r="38" ht="14.25" customHeight="1">
      <c r="A38" s="6" t="s">
        <v>405</v>
      </c>
      <c r="B38" s="18" t="s">
        <v>406</v>
      </c>
      <c r="C38" s="18" t="s">
        <v>262</v>
      </c>
      <c r="D38" s="9"/>
      <c r="E38" s="9"/>
      <c r="F38" s="17"/>
      <c r="G38" s="17"/>
      <c r="H38" s="17"/>
      <c r="I38" s="17"/>
      <c r="J38" s="17"/>
      <c r="K38" s="17"/>
      <c r="L38" s="17"/>
      <c r="M38" s="17"/>
      <c r="N38" s="17"/>
      <c r="O38" s="17"/>
      <c r="P38" s="17"/>
      <c r="Q38" s="17"/>
      <c r="R38" s="17"/>
      <c r="S38" s="17"/>
    </row>
    <row r="39" ht="14.25" customHeight="1">
      <c r="A39" s="6" t="s">
        <v>407</v>
      </c>
      <c r="B39" s="18" t="s">
        <v>408</v>
      </c>
      <c r="C39" s="18" t="s">
        <v>266</v>
      </c>
      <c r="D39" s="9"/>
      <c r="E39" s="9"/>
      <c r="F39" s="17"/>
      <c r="G39" s="17"/>
      <c r="H39" s="17"/>
      <c r="I39" s="17"/>
      <c r="J39" s="17"/>
      <c r="K39" s="17"/>
      <c r="L39" s="17"/>
      <c r="M39" s="17"/>
      <c r="N39" s="17"/>
      <c r="O39" s="17"/>
      <c r="P39" s="17"/>
      <c r="Q39" s="17"/>
      <c r="R39" s="17"/>
      <c r="S39" s="17"/>
    </row>
    <row r="40" ht="14.25" customHeight="1">
      <c r="A40" s="6" t="s">
        <v>409</v>
      </c>
      <c r="B40" s="18" t="s">
        <v>410</v>
      </c>
      <c r="C40" s="18" t="s">
        <v>271</v>
      </c>
      <c r="D40" s="9"/>
      <c r="E40" s="9"/>
      <c r="F40" s="17"/>
      <c r="G40" s="17"/>
      <c r="H40" s="17"/>
      <c r="I40" s="17"/>
      <c r="J40" s="17"/>
      <c r="K40" s="17"/>
      <c r="L40" s="17"/>
      <c r="M40" s="17"/>
      <c r="N40" s="17"/>
      <c r="O40" s="17"/>
      <c r="P40" s="17"/>
      <c r="Q40" s="17"/>
      <c r="R40" s="17"/>
      <c r="S40" s="17"/>
    </row>
    <row r="41" ht="14.25" customHeight="1">
      <c r="A41" s="6" t="s">
        <v>411</v>
      </c>
      <c r="B41" s="18" t="s">
        <v>412</v>
      </c>
      <c r="C41" s="18" t="s">
        <v>413</v>
      </c>
      <c r="D41" s="9"/>
      <c r="E41" s="9"/>
      <c r="F41" s="17"/>
      <c r="G41" s="17"/>
      <c r="H41" s="17"/>
      <c r="I41" s="17"/>
      <c r="J41" s="17"/>
      <c r="K41" s="17"/>
      <c r="L41" s="17"/>
      <c r="M41" s="17"/>
      <c r="N41" s="17"/>
      <c r="O41" s="17"/>
      <c r="P41" s="17"/>
      <c r="Q41" s="17"/>
      <c r="R41" s="17"/>
      <c r="S41" s="17"/>
    </row>
    <row r="42" ht="14.25" customHeight="1">
      <c r="A42" s="6" t="s">
        <v>414</v>
      </c>
      <c r="B42" s="18" t="s">
        <v>415</v>
      </c>
      <c r="C42" s="18" t="s">
        <v>279</v>
      </c>
      <c r="D42" s="9"/>
      <c r="E42" s="9"/>
      <c r="F42" s="17"/>
      <c r="G42" s="17"/>
      <c r="H42" s="17"/>
      <c r="I42" s="17"/>
      <c r="J42" s="17"/>
      <c r="K42" s="17"/>
      <c r="L42" s="17"/>
      <c r="M42" s="17"/>
      <c r="N42" s="17"/>
      <c r="O42" s="17"/>
      <c r="P42" s="17"/>
      <c r="Q42" s="17"/>
      <c r="R42" s="17"/>
      <c r="S42" s="17"/>
    </row>
    <row r="43" ht="14.25" customHeight="1">
      <c r="A43" s="6" t="s">
        <v>416</v>
      </c>
      <c r="B43" s="18" t="s">
        <v>417</v>
      </c>
      <c r="C43" s="18" t="s">
        <v>283</v>
      </c>
      <c r="D43" s="9"/>
      <c r="E43" s="9"/>
      <c r="F43" s="17"/>
      <c r="G43" s="17"/>
      <c r="H43" s="17"/>
      <c r="I43" s="17"/>
      <c r="J43" s="17"/>
      <c r="K43" s="17"/>
      <c r="L43" s="17"/>
      <c r="M43" s="17"/>
      <c r="N43" s="17"/>
      <c r="O43" s="17"/>
      <c r="P43" s="17"/>
      <c r="Q43" s="17"/>
      <c r="R43" s="17"/>
      <c r="S43" s="17"/>
    </row>
    <row r="44" ht="14.25" customHeight="1">
      <c r="A44" s="6" t="s">
        <v>418</v>
      </c>
      <c r="B44" s="18" t="s">
        <v>419</v>
      </c>
      <c r="C44" s="18" t="s">
        <v>286</v>
      </c>
      <c r="D44" s="9"/>
      <c r="E44" s="9"/>
      <c r="F44" s="17"/>
      <c r="G44" s="17"/>
      <c r="H44" s="17"/>
      <c r="I44" s="17"/>
      <c r="J44" s="17"/>
      <c r="K44" s="17"/>
      <c r="L44" s="17"/>
      <c r="M44" s="17"/>
      <c r="N44" s="17"/>
      <c r="O44" s="17"/>
      <c r="P44" s="17"/>
      <c r="Q44" s="17"/>
      <c r="R44" s="17"/>
      <c r="S44" s="17"/>
    </row>
    <row r="45" ht="14.25" customHeight="1">
      <c r="A45" s="6" t="s">
        <v>420</v>
      </c>
      <c r="B45" s="18" t="s">
        <v>421</v>
      </c>
      <c r="C45" s="18" t="s">
        <v>292</v>
      </c>
      <c r="D45" s="9"/>
      <c r="E45" s="9"/>
      <c r="F45" s="17"/>
      <c r="G45" s="17"/>
      <c r="H45" s="17"/>
      <c r="I45" s="17"/>
      <c r="J45" s="17"/>
      <c r="K45" s="17"/>
      <c r="L45" s="17"/>
      <c r="M45" s="17"/>
      <c r="N45" s="17"/>
      <c r="O45" s="17"/>
      <c r="P45" s="17"/>
      <c r="Q45" s="17"/>
      <c r="R45" s="17"/>
      <c r="S45" s="17"/>
    </row>
    <row r="46" ht="14.25" customHeight="1">
      <c r="A46" s="6" t="s">
        <v>422</v>
      </c>
      <c r="B46" s="18" t="s">
        <v>423</v>
      </c>
      <c r="C46" s="18" t="s">
        <v>424</v>
      </c>
      <c r="D46" s="9"/>
      <c r="E46" s="9"/>
      <c r="F46" s="17"/>
      <c r="G46" s="17"/>
      <c r="H46" s="17"/>
      <c r="I46" s="17"/>
      <c r="J46" s="17"/>
      <c r="K46" s="17"/>
      <c r="L46" s="17"/>
      <c r="M46" s="17"/>
      <c r="N46" s="17"/>
      <c r="O46" s="17"/>
      <c r="P46" s="17"/>
      <c r="Q46" s="17"/>
      <c r="R46" s="17"/>
      <c r="S46" s="17"/>
    </row>
    <row r="47" ht="14.25" customHeight="1">
      <c r="A47" s="6" t="s">
        <v>425</v>
      </c>
      <c r="B47" s="18" t="s">
        <v>426</v>
      </c>
      <c r="C47" s="18" t="s">
        <v>301</v>
      </c>
      <c r="D47" s="9"/>
      <c r="E47" s="9"/>
      <c r="F47" s="17"/>
      <c r="G47" s="17"/>
      <c r="H47" s="17"/>
      <c r="I47" s="17"/>
      <c r="J47" s="17"/>
      <c r="K47" s="17"/>
      <c r="L47" s="17"/>
      <c r="M47" s="17"/>
      <c r="N47" s="17"/>
      <c r="O47" s="17"/>
      <c r="P47" s="17"/>
      <c r="Q47" s="17"/>
      <c r="R47" s="17"/>
      <c r="S47" s="17"/>
    </row>
    <row r="48" ht="14.25" customHeight="1">
      <c r="A48" s="6" t="s">
        <v>427</v>
      </c>
      <c r="B48" s="18" t="s">
        <v>428</v>
      </c>
      <c r="C48" s="18" t="s">
        <v>429</v>
      </c>
      <c r="D48" s="9"/>
      <c r="E48" s="9"/>
      <c r="F48" s="17"/>
      <c r="G48" s="17"/>
      <c r="H48" s="17"/>
      <c r="I48" s="17"/>
      <c r="J48" s="17"/>
      <c r="K48" s="17"/>
      <c r="L48" s="17"/>
      <c r="M48" s="17"/>
      <c r="N48" s="17"/>
      <c r="O48" s="17"/>
      <c r="P48" s="17"/>
      <c r="Q48" s="17"/>
      <c r="R48" s="17"/>
      <c r="S48" s="17"/>
    </row>
    <row r="49" ht="14.25" customHeight="1">
      <c r="A49" s="6" t="s">
        <v>430</v>
      </c>
      <c r="B49" s="18" t="s">
        <v>431</v>
      </c>
      <c r="C49" s="18" t="s">
        <v>311</v>
      </c>
      <c r="D49" s="9"/>
      <c r="E49" s="9"/>
      <c r="F49" s="17"/>
      <c r="G49" s="17"/>
      <c r="H49" s="17"/>
      <c r="I49" s="17"/>
      <c r="J49" s="17"/>
      <c r="K49" s="17"/>
      <c r="L49" s="17"/>
      <c r="M49" s="17"/>
      <c r="N49" s="17"/>
      <c r="O49" s="17"/>
      <c r="P49" s="17"/>
      <c r="Q49" s="17"/>
      <c r="R49" s="17"/>
      <c r="S49" s="17"/>
    </row>
    <row r="50" ht="14.25" customHeight="1">
      <c r="A50" s="6" t="s">
        <v>432</v>
      </c>
      <c r="B50" s="18" t="s">
        <v>433</v>
      </c>
      <c r="C50" s="18" t="s">
        <v>315</v>
      </c>
      <c r="D50" s="9"/>
      <c r="E50" s="9"/>
      <c r="F50" s="17"/>
      <c r="G50" s="17"/>
      <c r="H50" s="17"/>
      <c r="I50" s="17"/>
      <c r="J50" s="17"/>
      <c r="K50" s="17"/>
      <c r="L50" s="17"/>
      <c r="M50" s="17"/>
      <c r="N50" s="17"/>
      <c r="O50" s="17"/>
      <c r="P50" s="17"/>
      <c r="Q50" s="17"/>
      <c r="R50" s="17"/>
      <c r="S50" s="17"/>
    </row>
    <row r="51" ht="14.25" customHeight="1">
      <c r="A51" s="6" t="s">
        <v>434</v>
      </c>
      <c r="B51" s="18" t="s">
        <v>435</v>
      </c>
      <c r="C51" s="18" t="s">
        <v>436</v>
      </c>
      <c r="D51" s="9"/>
      <c r="E51" s="9"/>
      <c r="F51" s="17"/>
      <c r="G51" s="17"/>
      <c r="H51" s="17"/>
      <c r="I51" s="17"/>
      <c r="J51" s="17"/>
      <c r="K51" s="17"/>
      <c r="L51" s="17"/>
      <c r="M51" s="17"/>
      <c r="N51" s="17"/>
      <c r="O51" s="17"/>
      <c r="P51" s="17"/>
      <c r="Q51" s="17"/>
      <c r="R51" s="17"/>
      <c r="S51" s="17"/>
    </row>
    <row r="52" ht="14.25" customHeight="1">
      <c r="A52" s="6" t="s">
        <v>437</v>
      </c>
      <c r="B52" s="18" t="s">
        <v>438</v>
      </c>
      <c r="C52" s="18" t="s">
        <v>323</v>
      </c>
      <c r="D52" s="9"/>
      <c r="E52" s="9"/>
      <c r="F52" s="17"/>
      <c r="G52" s="17"/>
      <c r="H52" s="17"/>
      <c r="I52" s="17"/>
      <c r="J52" s="17"/>
      <c r="K52" s="17"/>
      <c r="L52" s="17"/>
      <c r="M52" s="17"/>
      <c r="N52" s="17"/>
      <c r="O52" s="17"/>
      <c r="P52" s="17"/>
      <c r="Q52" s="17"/>
      <c r="R52" s="17"/>
      <c r="S52" s="17"/>
    </row>
    <row r="53" ht="14.25" customHeight="1">
      <c r="A53" s="6" t="s">
        <v>439</v>
      </c>
      <c r="B53" s="18" t="s">
        <v>440</v>
      </c>
      <c r="C53" s="18" t="s">
        <v>328</v>
      </c>
      <c r="D53" s="9"/>
      <c r="E53" s="9"/>
      <c r="F53" s="17"/>
      <c r="G53" s="17"/>
      <c r="H53" s="17"/>
      <c r="I53" s="17"/>
      <c r="J53" s="17"/>
      <c r="K53" s="17"/>
      <c r="L53" s="17"/>
      <c r="M53" s="17"/>
      <c r="N53" s="17"/>
      <c r="O53" s="17"/>
      <c r="P53" s="17"/>
      <c r="Q53" s="17"/>
      <c r="R53" s="17"/>
      <c r="S53" s="1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25"/>
    <col customWidth="1" min="2" max="2" width="7.13"/>
    <col customWidth="1" min="3" max="3" width="38.38"/>
    <col customWidth="1" min="6" max="6" width="46.88"/>
  </cols>
  <sheetData>
    <row r="1">
      <c r="A1" s="19" t="s">
        <v>441</v>
      </c>
      <c r="B1" s="19">
        <v>101.0</v>
      </c>
      <c r="C1" s="19" t="s">
        <v>100</v>
      </c>
      <c r="D1" s="20"/>
      <c r="E1" s="20"/>
      <c r="G1" s="20"/>
      <c r="H1" s="20"/>
      <c r="I1" s="20"/>
      <c r="J1" s="20"/>
      <c r="K1" s="20"/>
      <c r="L1" s="20"/>
      <c r="M1" s="20"/>
      <c r="N1" s="20"/>
      <c r="O1" s="20"/>
      <c r="P1" s="20"/>
      <c r="Q1" s="20"/>
      <c r="R1" s="20"/>
      <c r="S1" s="20"/>
      <c r="T1" s="20"/>
      <c r="U1" s="20"/>
      <c r="V1" s="20"/>
      <c r="W1" s="20"/>
      <c r="X1" s="20"/>
      <c r="Y1" s="20"/>
      <c r="Z1" s="20"/>
    </row>
    <row r="2">
      <c r="A2" s="19" t="s">
        <v>442</v>
      </c>
      <c r="B2" s="19">
        <v>102.0</v>
      </c>
      <c r="C2" s="19" t="s">
        <v>443</v>
      </c>
      <c r="D2" s="20"/>
      <c r="E2" s="20"/>
      <c r="G2" s="20"/>
      <c r="H2" s="20"/>
      <c r="I2" s="20"/>
      <c r="J2" s="20"/>
      <c r="K2" s="20"/>
      <c r="L2" s="20"/>
      <c r="M2" s="20"/>
      <c r="N2" s="20"/>
      <c r="O2" s="20"/>
      <c r="P2" s="20"/>
      <c r="Q2" s="20"/>
      <c r="R2" s="20"/>
      <c r="S2" s="20"/>
      <c r="T2" s="20"/>
      <c r="U2" s="20"/>
      <c r="V2" s="20"/>
      <c r="W2" s="20"/>
      <c r="X2" s="20"/>
      <c r="Y2" s="20"/>
      <c r="Z2" s="20"/>
    </row>
    <row r="3">
      <c r="A3" s="19" t="s">
        <v>444</v>
      </c>
      <c r="B3" s="19">
        <v>103.0</v>
      </c>
      <c r="C3" s="19" t="s">
        <v>68</v>
      </c>
      <c r="D3" s="20"/>
      <c r="E3" s="20"/>
      <c r="G3" s="20"/>
      <c r="H3" s="20"/>
      <c r="I3" s="20"/>
      <c r="J3" s="20"/>
      <c r="K3" s="20"/>
      <c r="L3" s="20"/>
      <c r="M3" s="20"/>
      <c r="N3" s="20"/>
      <c r="O3" s="20"/>
      <c r="P3" s="20"/>
      <c r="Q3" s="20"/>
      <c r="R3" s="20"/>
      <c r="S3" s="20"/>
      <c r="T3" s="20"/>
      <c r="U3" s="20"/>
      <c r="V3" s="20"/>
      <c r="W3" s="20"/>
      <c r="X3" s="20"/>
      <c r="Y3" s="20"/>
      <c r="Z3" s="20"/>
    </row>
    <row r="4">
      <c r="A4" s="19" t="s">
        <v>445</v>
      </c>
      <c r="B4" s="19">
        <v>104.0</v>
      </c>
      <c r="C4" s="19" t="s">
        <v>68</v>
      </c>
      <c r="D4" s="20"/>
      <c r="E4" s="20"/>
      <c r="G4" s="20"/>
      <c r="H4" s="20"/>
      <c r="I4" s="20"/>
      <c r="J4" s="20"/>
      <c r="K4" s="20"/>
      <c r="L4" s="20"/>
      <c r="M4" s="20"/>
      <c r="N4" s="20"/>
      <c r="O4" s="20"/>
      <c r="P4" s="20"/>
      <c r="Q4" s="20"/>
      <c r="R4" s="20"/>
      <c r="S4" s="20"/>
      <c r="T4" s="20"/>
      <c r="U4" s="20"/>
      <c r="V4" s="20"/>
      <c r="W4" s="20"/>
      <c r="X4" s="20"/>
      <c r="Y4" s="20"/>
      <c r="Z4" s="20"/>
    </row>
    <row r="5">
      <c r="A5" s="19" t="s">
        <v>446</v>
      </c>
      <c r="B5" s="19">
        <v>105.0</v>
      </c>
      <c r="C5" s="19" t="s">
        <v>187</v>
      </c>
      <c r="D5" s="20"/>
      <c r="E5" s="20"/>
      <c r="G5" s="20"/>
      <c r="H5" s="20"/>
      <c r="I5" s="20"/>
      <c r="J5" s="20"/>
      <c r="K5" s="20"/>
      <c r="L5" s="20"/>
      <c r="M5" s="20"/>
      <c r="N5" s="20"/>
      <c r="O5" s="20"/>
      <c r="P5" s="20"/>
      <c r="Q5" s="20"/>
      <c r="R5" s="20"/>
      <c r="S5" s="20"/>
      <c r="T5" s="20"/>
      <c r="U5" s="20"/>
      <c r="V5" s="20"/>
      <c r="W5" s="20"/>
      <c r="X5" s="20"/>
      <c r="Y5" s="20"/>
      <c r="Z5" s="20"/>
    </row>
    <row r="6">
      <c r="A6" s="19" t="s">
        <v>447</v>
      </c>
      <c r="B6" s="19">
        <v>106.0</v>
      </c>
      <c r="C6" s="19" t="s">
        <v>187</v>
      </c>
      <c r="D6" s="20"/>
      <c r="E6" s="20"/>
      <c r="G6" s="20"/>
      <c r="H6" s="20"/>
      <c r="I6" s="20"/>
      <c r="J6" s="20"/>
      <c r="K6" s="20"/>
      <c r="L6" s="20"/>
      <c r="M6" s="20"/>
      <c r="N6" s="20"/>
      <c r="O6" s="20"/>
      <c r="P6" s="20"/>
      <c r="Q6" s="20"/>
      <c r="R6" s="20"/>
      <c r="S6" s="20"/>
      <c r="T6" s="20"/>
      <c r="U6" s="20"/>
      <c r="V6" s="20"/>
      <c r="W6" s="20"/>
      <c r="X6" s="20"/>
      <c r="Y6" s="20"/>
      <c r="Z6" s="20"/>
    </row>
    <row r="7">
      <c r="A7" s="19" t="s">
        <v>448</v>
      </c>
      <c r="B7" s="19">
        <v>107.0</v>
      </c>
      <c r="C7" s="19" t="s">
        <v>230</v>
      </c>
      <c r="D7" s="20"/>
      <c r="E7" s="20"/>
      <c r="G7" s="20"/>
      <c r="H7" s="20"/>
      <c r="I7" s="20"/>
      <c r="J7" s="20"/>
      <c r="K7" s="20"/>
      <c r="L7" s="20"/>
      <c r="M7" s="20"/>
      <c r="N7" s="20"/>
      <c r="O7" s="20"/>
      <c r="P7" s="20"/>
      <c r="Q7" s="20"/>
      <c r="R7" s="20"/>
      <c r="S7" s="20"/>
      <c r="T7" s="20"/>
      <c r="U7" s="20"/>
      <c r="V7" s="20"/>
      <c r="W7" s="20"/>
      <c r="X7" s="20"/>
      <c r="Y7" s="20"/>
      <c r="Z7" s="20"/>
    </row>
    <row r="8">
      <c r="A8" s="19" t="s">
        <v>449</v>
      </c>
      <c r="B8" s="19">
        <v>108.0</v>
      </c>
      <c r="C8" s="19" t="s">
        <v>230</v>
      </c>
      <c r="D8" s="20"/>
      <c r="E8" s="20"/>
      <c r="G8" s="20"/>
      <c r="H8" s="20"/>
      <c r="I8" s="20"/>
      <c r="J8" s="20"/>
      <c r="K8" s="20"/>
      <c r="L8" s="20"/>
      <c r="M8" s="20"/>
      <c r="N8" s="20"/>
      <c r="O8" s="20"/>
      <c r="P8" s="20"/>
      <c r="Q8" s="20"/>
      <c r="R8" s="20"/>
      <c r="S8" s="20"/>
      <c r="T8" s="20"/>
      <c r="U8" s="20"/>
      <c r="V8" s="20"/>
      <c r="W8" s="20"/>
      <c r="X8" s="20"/>
      <c r="Y8" s="20"/>
      <c r="Z8" s="20"/>
    </row>
    <row r="9">
      <c r="A9" s="19" t="s">
        <v>450</v>
      </c>
      <c r="B9" s="19">
        <v>109.0</v>
      </c>
      <c r="C9" s="19" t="s">
        <v>68</v>
      </c>
      <c r="D9" s="20"/>
      <c r="E9" s="20"/>
      <c r="G9" s="20"/>
      <c r="H9" s="20"/>
      <c r="I9" s="20"/>
      <c r="J9" s="20"/>
      <c r="K9" s="20"/>
      <c r="L9" s="20"/>
      <c r="M9" s="20"/>
      <c r="N9" s="20"/>
      <c r="O9" s="20"/>
      <c r="P9" s="20"/>
      <c r="Q9" s="20"/>
      <c r="R9" s="20"/>
      <c r="S9" s="20"/>
      <c r="T9" s="20"/>
      <c r="U9" s="20"/>
      <c r="V9" s="20"/>
      <c r="W9" s="20"/>
      <c r="X9" s="20"/>
      <c r="Y9" s="20"/>
      <c r="Z9" s="20"/>
    </row>
    <row r="10">
      <c r="A10" s="19" t="s">
        <v>441</v>
      </c>
      <c r="B10" s="19">
        <v>110.0</v>
      </c>
      <c r="C10" s="19" t="s">
        <v>230</v>
      </c>
      <c r="D10" s="20"/>
      <c r="E10" s="20"/>
      <c r="G10" s="20"/>
      <c r="H10" s="20"/>
      <c r="I10" s="20"/>
      <c r="J10" s="20"/>
      <c r="K10" s="20"/>
      <c r="L10" s="20"/>
      <c r="M10" s="20"/>
      <c r="N10" s="20"/>
      <c r="O10" s="20"/>
      <c r="P10" s="20"/>
      <c r="Q10" s="20"/>
      <c r="R10" s="20"/>
      <c r="S10" s="20"/>
      <c r="T10" s="20"/>
      <c r="U10" s="20"/>
      <c r="V10" s="20"/>
      <c r="W10" s="20"/>
      <c r="X10" s="20"/>
      <c r="Y10" s="20"/>
      <c r="Z10" s="20"/>
    </row>
    <row r="11">
      <c r="A11" s="19" t="s">
        <v>441</v>
      </c>
      <c r="B11" s="19">
        <v>111.0</v>
      </c>
      <c r="C11" s="19" t="s">
        <v>451</v>
      </c>
      <c r="D11" s="20"/>
      <c r="E11" s="20"/>
      <c r="G11" s="20"/>
      <c r="H11" s="20"/>
      <c r="I11" s="20"/>
      <c r="J11" s="20"/>
      <c r="K11" s="20"/>
      <c r="L11" s="20"/>
      <c r="M11" s="20"/>
      <c r="N11" s="20"/>
      <c r="O11" s="20"/>
      <c r="P11" s="20"/>
      <c r="Q11" s="20"/>
      <c r="R11" s="20"/>
      <c r="S11" s="20"/>
      <c r="T11" s="20"/>
      <c r="U11" s="20"/>
      <c r="V11" s="20"/>
      <c r="W11" s="20"/>
      <c r="X11" s="20"/>
      <c r="Y11" s="20"/>
      <c r="Z11" s="20"/>
    </row>
    <row r="12">
      <c r="A12" s="19" t="s">
        <v>441</v>
      </c>
      <c r="B12" s="19">
        <v>112.0</v>
      </c>
      <c r="C12" s="19" t="s">
        <v>452</v>
      </c>
      <c r="D12" s="20"/>
      <c r="E12" s="20"/>
      <c r="G12" s="20"/>
      <c r="H12" s="20"/>
      <c r="I12" s="20"/>
      <c r="J12" s="20"/>
      <c r="K12" s="20"/>
      <c r="L12" s="20"/>
      <c r="M12" s="20"/>
      <c r="N12" s="20"/>
      <c r="O12" s="20"/>
      <c r="P12" s="20"/>
      <c r="Q12" s="20"/>
      <c r="R12" s="20"/>
      <c r="S12" s="20"/>
      <c r="T12" s="20"/>
      <c r="U12" s="20"/>
      <c r="V12" s="20"/>
      <c r="W12" s="20"/>
      <c r="X12" s="20"/>
      <c r="Y12" s="20"/>
      <c r="Z12" s="20"/>
    </row>
    <row r="13">
      <c r="A13" s="19" t="s">
        <v>441</v>
      </c>
      <c r="B13" s="19">
        <v>113.0</v>
      </c>
      <c r="C13" s="19" t="s">
        <v>453</v>
      </c>
      <c r="D13" s="20"/>
      <c r="E13" s="20"/>
      <c r="G13" s="20"/>
      <c r="H13" s="20"/>
      <c r="I13" s="20"/>
      <c r="J13" s="20"/>
      <c r="K13" s="20"/>
      <c r="L13" s="20"/>
      <c r="M13" s="20"/>
      <c r="N13" s="20"/>
      <c r="O13" s="20"/>
      <c r="P13" s="20"/>
      <c r="Q13" s="20"/>
      <c r="R13" s="20"/>
      <c r="S13" s="20"/>
      <c r="T13" s="20"/>
      <c r="U13" s="20"/>
      <c r="V13" s="20"/>
      <c r="W13" s="20"/>
      <c r="X13" s="20"/>
      <c r="Y13" s="20"/>
      <c r="Z13" s="20"/>
    </row>
    <row r="14">
      <c r="A14" s="19" t="s">
        <v>441</v>
      </c>
      <c r="B14" s="19">
        <v>114.0</v>
      </c>
      <c r="C14" s="19" t="s">
        <v>453</v>
      </c>
      <c r="D14" s="20"/>
      <c r="E14" s="20"/>
      <c r="G14" s="20"/>
      <c r="H14" s="20"/>
      <c r="I14" s="20"/>
      <c r="J14" s="20"/>
      <c r="K14" s="20"/>
      <c r="L14" s="20"/>
      <c r="M14" s="20"/>
      <c r="N14" s="20"/>
      <c r="O14" s="20"/>
      <c r="P14" s="20"/>
      <c r="Q14" s="20"/>
      <c r="R14" s="20"/>
      <c r="S14" s="20"/>
      <c r="T14" s="20"/>
      <c r="U14" s="20"/>
      <c r="V14" s="20"/>
      <c r="W14" s="20"/>
      <c r="X14" s="20"/>
      <c r="Y14" s="20"/>
      <c r="Z14" s="20"/>
    </row>
    <row r="15">
      <c r="A15" s="19" t="s">
        <v>441</v>
      </c>
      <c r="B15" s="19">
        <v>115.0</v>
      </c>
      <c r="C15" s="19" t="s">
        <v>454</v>
      </c>
      <c r="D15" s="20"/>
      <c r="E15" s="20"/>
      <c r="G15" s="20"/>
      <c r="H15" s="20"/>
      <c r="I15" s="20"/>
      <c r="J15" s="20"/>
      <c r="K15" s="20"/>
      <c r="L15" s="20"/>
      <c r="M15" s="20"/>
      <c r="N15" s="20"/>
      <c r="O15" s="20"/>
      <c r="P15" s="20"/>
      <c r="Q15" s="20"/>
      <c r="R15" s="20"/>
      <c r="S15" s="20"/>
      <c r="T15" s="20"/>
      <c r="U15" s="20"/>
      <c r="V15" s="20"/>
      <c r="W15" s="20"/>
      <c r="X15" s="20"/>
      <c r="Y15" s="20"/>
      <c r="Z15" s="20"/>
    </row>
    <row r="16">
      <c r="A16" s="19" t="s">
        <v>441</v>
      </c>
      <c r="B16" s="19">
        <v>116.0</v>
      </c>
      <c r="C16" s="19" t="s">
        <v>54</v>
      </c>
      <c r="D16" s="20"/>
      <c r="E16" s="20"/>
      <c r="G16" s="20"/>
      <c r="H16" s="20"/>
      <c r="I16" s="20"/>
      <c r="J16" s="20"/>
      <c r="K16" s="20"/>
      <c r="L16" s="20"/>
      <c r="M16" s="20"/>
      <c r="N16" s="20"/>
      <c r="O16" s="20"/>
      <c r="P16" s="20"/>
      <c r="Q16" s="20"/>
      <c r="R16" s="20"/>
      <c r="S16" s="20"/>
      <c r="T16" s="20"/>
      <c r="U16" s="20"/>
      <c r="V16" s="20"/>
      <c r="W16" s="20"/>
      <c r="X16" s="20"/>
      <c r="Y16" s="20"/>
      <c r="Z16" s="20"/>
    </row>
    <row r="17">
      <c r="A17" s="19" t="s">
        <v>441</v>
      </c>
      <c r="B17" s="19">
        <v>117.0</v>
      </c>
      <c r="C17" s="19" t="s">
        <v>455</v>
      </c>
      <c r="D17" s="20"/>
      <c r="E17" s="20"/>
      <c r="G17" s="20"/>
      <c r="H17" s="20"/>
      <c r="I17" s="20"/>
      <c r="J17" s="20"/>
      <c r="K17" s="20"/>
      <c r="L17" s="20"/>
      <c r="M17" s="20"/>
      <c r="N17" s="20"/>
      <c r="O17" s="20"/>
      <c r="P17" s="20"/>
      <c r="Q17" s="20"/>
      <c r="R17" s="20"/>
      <c r="S17" s="20"/>
      <c r="T17" s="20"/>
      <c r="U17" s="20"/>
      <c r="V17" s="20"/>
      <c r="W17" s="20"/>
      <c r="X17" s="20"/>
      <c r="Y17" s="20"/>
      <c r="Z17" s="20"/>
    </row>
    <row r="18">
      <c r="A18" s="19" t="s">
        <v>441</v>
      </c>
      <c r="B18" s="19">
        <v>118.0</v>
      </c>
      <c r="C18" s="19" t="s">
        <v>456</v>
      </c>
      <c r="D18" s="20"/>
      <c r="E18" s="20"/>
      <c r="G18" s="20"/>
      <c r="H18" s="20"/>
      <c r="I18" s="20"/>
      <c r="J18" s="20"/>
      <c r="K18" s="20"/>
      <c r="L18" s="20"/>
      <c r="M18" s="20"/>
      <c r="N18" s="20"/>
      <c r="O18" s="20"/>
      <c r="P18" s="20"/>
      <c r="Q18" s="20"/>
      <c r="R18" s="20"/>
      <c r="S18" s="20"/>
      <c r="T18" s="20"/>
      <c r="U18" s="20"/>
      <c r="V18" s="20"/>
      <c r="W18" s="20"/>
      <c r="X18" s="20"/>
      <c r="Y18" s="20"/>
      <c r="Z18" s="20"/>
    </row>
    <row r="19">
      <c r="A19" s="19" t="s">
        <v>441</v>
      </c>
      <c r="B19" s="19">
        <v>119.0</v>
      </c>
      <c r="C19" s="19" t="s">
        <v>457</v>
      </c>
      <c r="D19" s="20"/>
      <c r="E19" s="20"/>
      <c r="G19" s="20"/>
      <c r="H19" s="20"/>
      <c r="I19" s="20"/>
      <c r="J19" s="20"/>
      <c r="K19" s="20"/>
      <c r="L19" s="20"/>
      <c r="M19" s="20"/>
      <c r="N19" s="20"/>
      <c r="O19" s="20"/>
      <c r="P19" s="20"/>
      <c r="Q19" s="20"/>
      <c r="R19" s="20"/>
      <c r="S19" s="20"/>
      <c r="T19" s="20"/>
      <c r="U19" s="20"/>
      <c r="V19" s="20"/>
      <c r="W19" s="20"/>
      <c r="X19" s="20"/>
      <c r="Y19" s="20"/>
      <c r="Z19" s="20"/>
    </row>
    <row r="20">
      <c r="A20" s="19" t="s">
        <v>441</v>
      </c>
      <c r="B20" s="19">
        <v>120.0</v>
      </c>
      <c r="C20" s="19" t="s">
        <v>457</v>
      </c>
      <c r="D20" s="20"/>
      <c r="E20" s="20"/>
      <c r="G20" s="20"/>
      <c r="H20" s="20"/>
      <c r="I20" s="20"/>
      <c r="J20" s="20"/>
      <c r="K20" s="20"/>
      <c r="L20" s="20"/>
      <c r="M20" s="20"/>
      <c r="N20" s="20"/>
      <c r="O20" s="20"/>
      <c r="P20" s="20"/>
      <c r="Q20" s="20"/>
      <c r="R20" s="20"/>
      <c r="S20" s="20"/>
      <c r="T20" s="20"/>
      <c r="U20" s="20"/>
      <c r="V20" s="20"/>
      <c r="W20" s="20"/>
      <c r="X20" s="20"/>
      <c r="Y20" s="20"/>
      <c r="Z20" s="20"/>
    </row>
    <row r="21">
      <c r="A21" s="19" t="s">
        <v>441</v>
      </c>
      <c r="B21" s="19">
        <v>121.0</v>
      </c>
      <c r="C21" s="13" t="s">
        <v>457</v>
      </c>
      <c r="D21" s="20"/>
      <c r="E21" s="20"/>
      <c r="G21" s="20"/>
      <c r="H21" s="20"/>
      <c r="I21" s="20"/>
      <c r="J21" s="20"/>
      <c r="K21" s="20"/>
      <c r="L21" s="20"/>
      <c r="M21" s="20"/>
      <c r="N21" s="20"/>
      <c r="O21" s="20"/>
      <c r="P21" s="20"/>
      <c r="Q21" s="20"/>
      <c r="R21" s="20"/>
      <c r="S21" s="20"/>
      <c r="T21" s="20"/>
      <c r="U21" s="20"/>
      <c r="V21" s="20"/>
      <c r="W21" s="20"/>
      <c r="X21" s="20"/>
      <c r="Y21" s="20"/>
      <c r="Z21" s="20"/>
    </row>
    <row r="22">
      <c r="A22" s="19" t="s">
        <v>441</v>
      </c>
      <c r="B22" s="19">
        <v>122.0</v>
      </c>
      <c r="C22" s="13" t="s">
        <v>28</v>
      </c>
      <c r="D22" s="20"/>
      <c r="E22" s="20"/>
      <c r="G22" s="20"/>
      <c r="H22" s="20"/>
      <c r="I22" s="20"/>
      <c r="J22" s="20"/>
      <c r="K22" s="20"/>
      <c r="L22" s="20"/>
      <c r="M22" s="20"/>
      <c r="N22" s="20"/>
      <c r="O22" s="20"/>
      <c r="P22" s="20"/>
      <c r="Q22" s="20"/>
      <c r="R22" s="20"/>
      <c r="S22" s="20"/>
      <c r="T22" s="20"/>
      <c r="U22" s="20"/>
      <c r="V22" s="20"/>
      <c r="W22" s="20"/>
      <c r="X22" s="20"/>
      <c r="Y22" s="20"/>
      <c r="Z22" s="20"/>
    </row>
    <row r="23">
      <c r="A23" s="19" t="s">
        <v>441</v>
      </c>
      <c r="B23" s="19">
        <v>123.0</v>
      </c>
      <c r="C23" s="13" t="s">
        <v>28</v>
      </c>
      <c r="D23" s="20"/>
      <c r="E23" s="20"/>
      <c r="G23" s="20"/>
      <c r="H23" s="20"/>
      <c r="I23" s="20"/>
      <c r="J23" s="20"/>
      <c r="K23" s="20"/>
      <c r="L23" s="20"/>
      <c r="M23" s="20"/>
      <c r="N23" s="20"/>
      <c r="O23" s="20"/>
      <c r="P23" s="20"/>
      <c r="Q23" s="20"/>
      <c r="R23" s="20"/>
      <c r="S23" s="20"/>
      <c r="T23" s="20"/>
      <c r="U23" s="20"/>
      <c r="V23" s="20"/>
      <c r="W23" s="20"/>
      <c r="X23" s="20"/>
      <c r="Y23" s="20"/>
      <c r="Z23" s="20"/>
    </row>
    <row r="24">
      <c r="A24" s="19" t="s">
        <v>441</v>
      </c>
      <c r="B24" s="19">
        <v>124.0</v>
      </c>
      <c r="C24" s="19" t="s">
        <v>28</v>
      </c>
      <c r="D24" s="20"/>
      <c r="E24" s="20"/>
      <c r="G24" s="20"/>
      <c r="H24" s="20"/>
      <c r="I24" s="20"/>
      <c r="J24" s="20"/>
      <c r="K24" s="20"/>
      <c r="L24" s="20"/>
      <c r="M24" s="20"/>
      <c r="N24" s="20"/>
      <c r="O24" s="20"/>
      <c r="P24" s="20"/>
      <c r="Q24" s="20"/>
      <c r="R24" s="20"/>
      <c r="S24" s="20"/>
      <c r="T24" s="20"/>
      <c r="U24" s="20"/>
      <c r="V24" s="20"/>
      <c r="W24" s="20"/>
      <c r="X24" s="20"/>
      <c r="Y24" s="20"/>
      <c r="Z24" s="20"/>
    </row>
    <row r="25">
      <c r="A25" s="19" t="s">
        <v>441</v>
      </c>
      <c r="B25" s="19">
        <v>125.0</v>
      </c>
      <c r="C25" s="19" t="s">
        <v>458</v>
      </c>
      <c r="D25" s="20"/>
      <c r="E25" s="20"/>
      <c r="G25" s="20"/>
      <c r="H25" s="20"/>
      <c r="I25" s="20"/>
      <c r="J25" s="20"/>
      <c r="K25" s="20"/>
      <c r="L25" s="20"/>
      <c r="M25" s="20"/>
      <c r="N25" s="20"/>
      <c r="O25" s="20"/>
      <c r="P25" s="20"/>
      <c r="Q25" s="20"/>
      <c r="R25" s="20"/>
      <c r="S25" s="20"/>
      <c r="T25" s="20"/>
      <c r="U25" s="20"/>
      <c r="V25" s="20"/>
      <c r="W25" s="20"/>
      <c r="X25" s="20"/>
      <c r="Y25" s="20"/>
      <c r="Z25" s="20"/>
    </row>
    <row r="26">
      <c r="A26" s="19" t="s">
        <v>441</v>
      </c>
      <c r="B26" s="19">
        <v>126.0</v>
      </c>
      <c r="C26" s="19" t="s">
        <v>458</v>
      </c>
      <c r="D26" s="20"/>
      <c r="E26" s="20"/>
      <c r="G26" s="20"/>
      <c r="H26" s="20"/>
      <c r="I26" s="20"/>
      <c r="J26" s="20"/>
      <c r="K26" s="20"/>
      <c r="L26" s="20"/>
      <c r="M26" s="20"/>
      <c r="N26" s="20"/>
      <c r="O26" s="20"/>
      <c r="P26" s="20"/>
      <c r="Q26" s="20"/>
      <c r="R26" s="20"/>
      <c r="S26" s="20"/>
      <c r="T26" s="20"/>
      <c r="U26" s="20"/>
      <c r="V26" s="20"/>
      <c r="W26" s="20"/>
      <c r="X26" s="20"/>
      <c r="Y26" s="20"/>
      <c r="Z26" s="20"/>
    </row>
    <row r="27">
      <c r="A27" s="19" t="s">
        <v>441</v>
      </c>
      <c r="B27" s="19">
        <v>127.0</v>
      </c>
      <c r="C27" s="19" t="s">
        <v>459</v>
      </c>
      <c r="D27" s="20"/>
      <c r="E27" s="20"/>
      <c r="G27" s="20"/>
      <c r="H27" s="20"/>
      <c r="I27" s="20"/>
      <c r="J27" s="20"/>
      <c r="K27" s="20"/>
      <c r="L27" s="20"/>
      <c r="M27" s="20"/>
      <c r="N27" s="20"/>
      <c r="O27" s="20"/>
      <c r="P27" s="20"/>
      <c r="Q27" s="20"/>
      <c r="R27" s="20"/>
      <c r="S27" s="20"/>
      <c r="T27" s="20"/>
      <c r="U27" s="20"/>
      <c r="V27" s="20"/>
      <c r="W27" s="20"/>
      <c r="X27" s="20"/>
      <c r="Y27" s="20"/>
      <c r="Z27" s="20"/>
    </row>
    <row r="28">
      <c r="A28" s="19" t="s">
        <v>441</v>
      </c>
      <c r="B28" s="19">
        <v>128.0</v>
      </c>
      <c r="C28" s="19" t="s">
        <v>460</v>
      </c>
      <c r="D28" s="20"/>
      <c r="E28" s="20"/>
      <c r="G28" s="20"/>
      <c r="H28" s="20"/>
      <c r="I28" s="20"/>
      <c r="J28" s="20"/>
      <c r="K28" s="20"/>
      <c r="L28" s="20"/>
      <c r="M28" s="20"/>
      <c r="N28" s="20"/>
      <c r="O28" s="20"/>
      <c r="P28" s="20"/>
      <c r="Q28" s="20"/>
      <c r="R28" s="20"/>
      <c r="S28" s="20"/>
      <c r="T28" s="20"/>
      <c r="U28" s="20"/>
      <c r="V28" s="20"/>
      <c r="W28" s="20"/>
      <c r="X28" s="20"/>
      <c r="Y28" s="20"/>
      <c r="Z28" s="20"/>
    </row>
    <row r="29">
      <c r="A29" s="19" t="s">
        <v>441</v>
      </c>
      <c r="B29" s="19">
        <v>129.0</v>
      </c>
      <c r="C29" s="19" t="s">
        <v>129</v>
      </c>
      <c r="D29" s="20"/>
      <c r="E29" s="20"/>
      <c r="G29" s="20"/>
      <c r="H29" s="20"/>
      <c r="I29" s="20"/>
      <c r="J29" s="20"/>
      <c r="K29" s="20"/>
      <c r="L29" s="20"/>
      <c r="M29" s="20"/>
      <c r="N29" s="20"/>
      <c r="O29" s="20"/>
      <c r="P29" s="20"/>
      <c r="Q29" s="20"/>
      <c r="R29" s="20"/>
      <c r="S29" s="20"/>
      <c r="T29" s="20"/>
      <c r="U29" s="20"/>
      <c r="V29" s="20"/>
      <c r="W29" s="20"/>
      <c r="X29" s="20"/>
      <c r="Y29" s="20"/>
      <c r="Z29" s="20"/>
    </row>
    <row r="30">
      <c r="A30" s="19" t="s">
        <v>441</v>
      </c>
      <c r="B30" s="19">
        <v>130.0</v>
      </c>
      <c r="C30" s="19" t="s">
        <v>461</v>
      </c>
      <c r="D30" s="20"/>
      <c r="E30" s="20"/>
      <c r="G30" s="20"/>
      <c r="H30" s="20"/>
      <c r="I30" s="20"/>
      <c r="J30" s="20"/>
      <c r="K30" s="20"/>
      <c r="L30" s="20"/>
      <c r="M30" s="20"/>
      <c r="N30" s="20"/>
      <c r="O30" s="20"/>
      <c r="P30" s="20"/>
      <c r="Q30" s="20"/>
      <c r="R30" s="20"/>
      <c r="S30" s="20"/>
      <c r="T30" s="20"/>
      <c r="U30" s="20"/>
      <c r="V30" s="20"/>
      <c r="W30" s="20"/>
      <c r="X30" s="20"/>
      <c r="Y30" s="20"/>
      <c r="Z30" s="20"/>
    </row>
    <row r="31">
      <c r="A31" s="19"/>
      <c r="B31" s="19">
        <v>150.0</v>
      </c>
      <c r="C31" s="19"/>
      <c r="D31" s="20"/>
      <c r="E31" s="20"/>
      <c r="G31" s="20"/>
      <c r="H31" s="20"/>
      <c r="I31" s="20"/>
      <c r="J31" s="20"/>
      <c r="K31" s="20"/>
      <c r="L31" s="20"/>
      <c r="M31" s="20"/>
      <c r="N31" s="20"/>
      <c r="O31" s="20"/>
      <c r="P31" s="20"/>
      <c r="Q31" s="20"/>
      <c r="R31" s="20"/>
      <c r="S31" s="20"/>
      <c r="T31" s="20"/>
      <c r="U31" s="20"/>
      <c r="V31" s="20"/>
      <c r="W31" s="20"/>
      <c r="X31" s="20"/>
      <c r="Y31" s="20"/>
      <c r="Z31" s="20"/>
    </row>
    <row r="32">
      <c r="A32" s="19" t="s">
        <v>462</v>
      </c>
      <c r="B32" s="19">
        <v>301.0</v>
      </c>
      <c r="C32" s="19" t="s">
        <v>463</v>
      </c>
      <c r="D32" s="20"/>
      <c r="E32" s="20"/>
      <c r="G32" s="20"/>
      <c r="H32" s="20"/>
      <c r="I32" s="20"/>
      <c r="J32" s="20"/>
      <c r="K32" s="20"/>
      <c r="L32" s="20"/>
      <c r="M32" s="20"/>
      <c r="N32" s="20"/>
      <c r="O32" s="20"/>
      <c r="P32" s="20"/>
      <c r="Q32" s="20"/>
      <c r="R32" s="20"/>
      <c r="S32" s="20"/>
      <c r="T32" s="20"/>
      <c r="U32" s="20"/>
      <c r="V32" s="20"/>
      <c r="W32" s="20"/>
      <c r="X32" s="20"/>
      <c r="Y32" s="20"/>
      <c r="Z32" s="20"/>
    </row>
    <row r="33">
      <c r="A33" s="19" t="s">
        <v>462</v>
      </c>
      <c r="B33" s="19">
        <v>302.0</v>
      </c>
      <c r="C33" s="19" t="s">
        <v>463</v>
      </c>
      <c r="D33" s="20"/>
      <c r="E33" s="20"/>
      <c r="G33" s="20"/>
      <c r="H33" s="20"/>
      <c r="I33" s="20"/>
      <c r="J33" s="20"/>
      <c r="K33" s="20"/>
      <c r="L33" s="20"/>
      <c r="M33" s="20"/>
      <c r="N33" s="20"/>
      <c r="O33" s="20"/>
      <c r="P33" s="20"/>
      <c r="Q33" s="20"/>
      <c r="R33" s="20"/>
      <c r="S33" s="20"/>
      <c r="T33" s="20"/>
      <c r="U33" s="20"/>
      <c r="V33" s="20"/>
      <c r="W33" s="20"/>
      <c r="X33" s="20"/>
      <c r="Y33" s="20"/>
      <c r="Z33" s="20"/>
    </row>
    <row r="34">
      <c r="A34" s="19" t="s">
        <v>462</v>
      </c>
      <c r="B34" s="19">
        <v>303.0</v>
      </c>
      <c r="C34" s="19" t="s">
        <v>464</v>
      </c>
      <c r="D34" s="20"/>
      <c r="E34" s="20"/>
      <c r="G34" s="20"/>
      <c r="H34" s="20"/>
      <c r="I34" s="20"/>
      <c r="J34" s="20"/>
      <c r="K34" s="20"/>
      <c r="L34" s="20"/>
      <c r="M34" s="20"/>
      <c r="N34" s="20"/>
      <c r="O34" s="20"/>
      <c r="P34" s="20"/>
      <c r="Q34" s="20"/>
      <c r="R34" s="20"/>
      <c r="S34" s="20"/>
      <c r="T34" s="20"/>
      <c r="U34" s="20"/>
      <c r="V34" s="20"/>
      <c r="W34" s="20"/>
      <c r="X34" s="20"/>
      <c r="Y34" s="20"/>
      <c r="Z34" s="20"/>
    </row>
    <row r="35">
      <c r="A35" s="19" t="s">
        <v>462</v>
      </c>
      <c r="B35" s="19">
        <v>304.0</v>
      </c>
      <c r="C35" s="19" t="s">
        <v>464</v>
      </c>
      <c r="D35" s="20"/>
      <c r="E35" s="20"/>
      <c r="G35" s="20"/>
      <c r="H35" s="20"/>
      <c r="I35" s="20"/>
      <c r="J35" s="20"/>
      <c r="K35" s="20"/>
      <c r="L35" s="20"/>
      <c r="M35" s="20"/>
      <c r="N35" s="20"/>
      <c r="O35" s="20"/>
      <c r="P35" s="20"/>
      <c r="Q35" s="20"/>
      <c r="R35" s="20"/>
      <c r="S35" s="20"/>
      <c r="T35" s="20"/>
      <c r="U35" s="20"/>
      <c r="V35" s="20"/>
      <c r="W35" s="20"/>
      <c r="X35" s="20"/>
      <c r="Y35" s="20"/>
      <c r="Z35" s="20"/>
    </row>
    <row r="36">
      <c r="A36" s="19" t="s">
        <v>462</v>
      </c>
      <c r="B36" s="19">
        <v>305.0</v>
      </c>
      <c r="C36" s="19" t="s">
        <v>464</v>
      </c>
      <c r="D36" s="20"/>
      <c r="E36" s="20"/>
      <c r="G36" s="20"/>
      <c r="H36" s="20"/>
      <c r="I36" s="20"/>
      <c r="J36" s="20"/>
      <c r="K36" s="20"/>
      <c r="L36" s="20"/>
      <c r="M36" s="20"/>
      <c r="N36" s="20"/>
      <c r="O36" s="20"/>
      <c r="P36" s="20"/>
      <c r="Q36" s="20"/>
      <c r="R36" s="20"/>
      <c r="S36" s="20"/>
      <c r="T36" s="20"/>
      <c r="U36" s="20"/>
      <c r="V36" s="20"/>
      <c r="W36" s="20"/>
      <c r="X36" s="20"/>
      <c r="Y36" s="20"/>
      <c r="Z36" s="20"/>
    </row>
    <row r="37">
      <c r="A37" s="19" t="s">
        <v>462</v>
      </c>
      <c r="B37" s="19">
        <v>306.0</v>
      </c>
      <c r="C37" s="19" t="s">
        <v>464</v>
      </c>
      <c r="D37" s="20"/>
      <c r="E37" s="20"/>
      <c r="G37" s="20"/>
      <c r="H37" s="20"/>
      <c r="I37" s="20"/>
      <c r="J37" s="20"/>
      <c r="K37" s="20"/>
      <c r="L37" s="20"/>
      <c r="M37" s="20"/>
      <c r="N37" s="20"/>
      <c r="O37" s="20"/>
      <c r="P37" s="20"/>
      <c r="Q37" s="20"/>
      <c r="R37" s="20"/>
      <c r="S37" s="20"/>
      <c r="T37" s="20"/>
      <c r="U37" s="20"/>
      <c r="V37" s="20"/>
      <c r="W37" s="20"/>
      <c r="X37" s="20"/>
      <c r="Y37" s="20"/>
      <c r="Z37" s="20"/>
    </row>
    <row r="38">
      <c r="A38" s="19" t="s">
        <v>462</v>
      </c>
      <c r="B38" s="19">
        <v>307.0</v>
      </c>
      <c r="C38" s="19" t="s">
        <v>465</v>
      </c>
      <c r="D38" s="20"/>
      <c r="E38" s="20"/>
      <c r="G38" s="20"/>
      <c r="H38" s="20"/>
      <c r="I38" s="20"/>
      <c r="J38" s="20"/>
      <c r="K38" s="20"/>
      <c r="L38" s="20"/>
      <c r="M38" s="20"/>
      <c r="N38" s="20"/>
      <c r="O38" s="20"/>
      <c r="P38" s="20"/>
      <c r="Q38" s="20"/>
      <c r="R38" s="20"/>
      <c r="S38" s="20"/>
      <c r="T38" s="20"/>
      <c r="U38" s="20"/>
      <c r="V38" s="20"/>
      <c r="W38" s="20"/>
      <c r="X38" s="20"/>
      <c r="Y38" s="20"/>
      <c r="Z38" s="20"/>
    </row>
    <row r="39">
      <c r="A39" s="19" t="s">
        <v>462</v>
      </c>
      <c r="B39" s="19">
        <v>308.0</v>
      </c>
      <c r="C39" s="19" t="s">
        <v>465</v>
      </c>
      <c r="D39" s="20"/>
      <c r="E39" s="20"/>
      <c r="G39" s="20"/>
      <c r="H39" s="20"/>
      <c r="I39" s="20"/>
      <c r="J39" s="20"/>
      <c r="K39" s="20"/>
      <c r="L39" s="20"/>
      <c r="M39" s="20"/>
      <c r="N39" s="20"/>
      <c r="O39" s="20"/>
      <c r="P39" s="20"/>
      <c r="Q39" s="20"/>
      <c r="R39" s="20"/>
      <c r="S39" s="20"/>
      <c r="T39" s="20"/>
      <c r="U39" s="20"/>
      <c r="V39" s="20"/>
      <c r="W39" s="20"/>
      <c r="X39" s="20"/>
      <c r="Y39" s="20"/>
      <c r="Z39" s="20"/>
    </row>
    <row r="40">
      <c r="A40" s="19" t="s">
        <v>462</v>
      </c>
      <c r="B40" s="19">
        <v>309.0</v>
      </c>
      <c r="C40" s="19" t="s">
        <v>230</v>
      </c>
      <c r="D40" s="20"/>
      <c r="E40" s="20"/>
      <c r="G40" s="20"/>
      <c r="H40" s="20"/>
      <c r="I40" s="20"/>
      <c r="J40" s="20"/>
      <c r="K40" s="20"/>
      <c r="L40" s="20"/>
      <c r="M40" s="20"/>
      <c r="N40" s="20"/>
      <c r="O40" s="20"/>
      <c r="P40" s="20"/>
      <c r="Q40" s="20"/>
      <c r="R40" s="20"/>
      <c r="S40" s="20"/>
      <c r="T40" s="20"/>
      <c r="U40" s="20"/>
      <c r="V40" s="20"/>
      <c r="W40" s="20"/>
      <c r="X40" s="20"/>
      <c r="Y40" s="20"/>
      <c r="Z40" s="20"/>
    </row>
    <row r="41">
      <c r="A41" s="19" t="s">
        <v>462</v>
      </c>
      <c r="B41" s="19">
        <v>310.0</v>
      </c>
      <c r="C41" s="19" t="s">
        <v>230</v>
      </c>
      <c r="D41" s="20"/>
      <c r="E41" s="20"/>
      <c r="G41" s="20"/>
      <c r="H41" s="20"/>
      <c r="I41" s="20"/>
      <c r="J41" s="20"/>
      <c r="K41" s="20"/>
      <c r="L41" s="20"/>
      <c r="M41" s="20"/>
      <c r="N41" s="20"/>
      <c r="O41" s="20"/>
      <c r="P41" s="20"/>
      <c r="Q41" s="20"/>
      <c r="R41" s="20"/>
      <c r="S41" s="20"/>
      <c r="T41" s="20"/>
      <c r="U41" s="20"/>
      <c r="V41" s="20"/>
      <c r="W41" s="20"/>
      <c r="X41" s="20"/>
      <c r="Y41" s="20"/>
      <c r="Z41" s="20"/>
    </row>
    <row r="42">
      <c r="A42" s="19" t="s">
        <v>462</v>
      </c>
      <c r="B42" s="19">
        <v>311.0</v>
      </c>
      <c r="C42" s="19" t="s">
        <v>230</v>
      </c>
      <c r="D42" s="20"/>
      <c r="E42" s="20"/>
      <c r="G42" s="20"/>
      <c r="H42" s="20"/>
      <c r="I42" s="20"/>
      <c r="J42" s="20"/>
      <c r="K42" s="20"/>
      <c r="L42" s="20"/>
      <c r="M42" s="20"/>
      <c r="N42" s="20"/>
      <c r="O42" s="20"/>
      <c r="P42" s="20"/>
      <c r="Q42" s="20"/>
      <c r="R42" s="20"/>
      <c r="S42" s="20"/>
      <c r="T42" s="20"/>
      <c r="U42" s="20"/>
      <c r="V42" s="20"/>
      <c r="W42" s="20"/>
      <c r="X42" s="20"/>
      <c r="Y42" s="20"/>
      <c r="Z42" s="20"/>
    </row>
    <row r="43">
      <c r="A43" s="19" t="s">
        <v>462</v>
      </c>
      <c r="B43" s="19">
        <v>312.0</v>
      </c>
      <c r="C43" s="19" t="s">
        <v>230</v>
      </c>
      <c r="D43" s="20"/>
      <c r="E43" s="20"/>
      <c r="G43" s="20"/>
      <c r="H43" s="20"/>
      <c r="I43" s="20"/>
      <c r="J43" s="20"/>
      <c r="K43" s="20"/>
      <c r="L43" s="20"/>
      <c r="M43" s="20"/>
      <c r="N43" s="20"/>
      <c r="O43" s="20"/>
      <c r="P43" s="20"/>
      <c r="Q43" s="20"/>
      <c r="R43" s="20"/>
      <c r="S43" s="20"/>
      <c r="T43" s="20"/>
      <c r="U43" s="20"/>
      <c r="V43" s="20"/>
      <c r="W43" s="20"/>
      <c r="X43" s="20"/>
      <c r="Y43" s="20"/>
      <c r="Z43" s="20"/>
    </row>
    <row r="44">
      <c r="A44" s="19" t="s">
        <v>462</v>
      </c>
      <c r="B44" s="19">
        <v>313.0</v>
      </c>
      <c r="C44" s="19" t="s">
        <v>466</v>
      </c>
      <c r="D44" s="20"/>
      <c r="E44" s="20"/>
      <c r="G44" s="20"/>
      <c r="H44" s="20"/>
      <c r="I44" s="20"/>
      <c r="J44" s="20"/>
      <c r="K44" s="20"/>
      <c r="L44" s="20"/>
      <c r="M44" s="20"/>
      <c r="N44" s="20"/>
      <c r="O44" s="20"/>
      <c r="P44" s="20"/>
      <c r="Q44" s="20"/>
      <c r="R44" s="20"/>
      <c r="S44" s="20"/>
      <c r="T44" s="20"/>
      <c r="U44" s="20"/>
      <c r="V44" s="20"/>
      <c r="W44" s="20"/>
      <c r="X44" s="20"/>
      <c r="Y44" s="20"/>
      <c r="Z44" s="20"/>
    </row>
    <row r="45">
      <c r="A45" s="19" t="s">
        <v>462</v>
      </c>
      <c r="B45" s="19">
        <v>314.0</v>
      </c>
      <c r="C45" s="19" t="s">
        <v>466</v>
      </c>
      <c r="D45" s="20"/>
      <c r="E45" s="20"/>
      <c r="G45" s="20"/>
      <c r="H45" s="20"/>
      <c r="I45" s="20"/>
      <c r="J45" s="20"/>
      <c r="K45" s="20"/>
      <c r="L45" s="20"/>
      <c r="M45" s="20"/>
      <c r="N45" s="20"/>
      <c r="O45" s="20"/>
      <c r="P45" s="20"/>
      <c r="Q45" s="20"/>
      <c r="R45" s="20"/>
      <c r="S45" s="20"/>
      <c r="T45" s="20"/>
      <c r="U45" s="20"/>
      <c r="V45" s="20"/>
      <c r="W45" s="20"/>
      <c r="X45" s="20"/>
      <c r="Y45" s="20"/>
      <c r="Z45" s="20"/>
    </row>
    <row r="46">
      <c r="A46" s="19" t="s">
        <v>462</v>
      </c>
      <c r="B46" s="19">
        <v>315.0</v>
      </c>
      <c r="C46" s="19" t="s">
        <v>467</v>
      </c>
      <c r="D46" s="20"/>
      <c r="E46" s="20"/>
      <c r="G46" s="20"/>
      <c r="H46" s="20"/>
      <c r="I46" s="20"/>
      <c r="J46" s="20"/>
      <c r="K46" s="20"/>
      <c r="L46" s="20"/>
      <c r="M46" s="20"/>
      <c r="N46" s="20"/>
      <c r="O46" s="20"/>
      <c r="P46" s="20"/>
      <c r="Q46" s="20"/>
      <c r="R46" s="20"/>
      <c r="S46" s="20"/>
      <c r="T46" s="20"/>
      <c r="U46" s="20"/>
      <c r="V46" s="20"/>
      <c r="W46" s="20"/>
      <c r="X46" s="20"/>
      <c r="Y46" s="20"/>
      <c r="Z46" s="20"/>
    </row>
    <row r="47">
      <c r="A47" s="19" t="s">
        <v>462</v>
      </c>
      <c r="B47" s="19">
        <v>316.0</v>
      </c>
      <c r="C47" s="19" t="s">
        <v>467</v>
      </c>
      <c r="D47" s="20"/>
      <c r="E47" s="20"/>
      <c r="G47" s="20"/>
      <c r="H47" s="20"/>
      <c r="I47" s="20"/>
      <c r="J47" s="20"/>
      <c r="K47" s="20"/>
      <c r="L47" s="20"/>
      <c r="M47" s="20"/>
      <c r="N47" s="20"/>
      <c r="O47" s="20"/>
      <c r="P47" s="20"/>
      <c r="Q47" s="20"/>
      <c r="R47" s="20"/>
      <c r="S47" s="20"/>
      <c r="T47" s="20"/>
      <c r="U47" s="20"/>
      <c r="V47" s="20"/>
      <c r="W47" s="20"/>
      <c r="X47" s="20"/>
      <c r="Y47" s="20"/>
      <c r="Z47" s="20"/>
    </row>
    <row r="48">
      <c r="A48" s="19" t="s">
        <v>462</v>
      </c>
      <c r="B48" s="19">
        <v>317.0</v>
      </c>
      <c r="C48" s="19" t="s">
        <v>467</v>
      </c>
      <c r="D48" s="20"/>
      <c r="E48" s="20"/>
      <c r="G48" s="20"/>
      <c r="H48" s="20"/>
      <c r="I48" s="20"/>
      <c r="J48" s="20"/>
      <c r="K48" s="20"/>
      <c r="L48" s="20"/>
      <c r="M48" s="20"/>
      <c r="N48" s="20"/>
      <c r="O48" s="20"/>
      <c r="P48" s="20"/>
      <c r="Q48" s="20"/>
      <c r="R48" s="20"/>
      <c r="S48" s="20"/>
      <c r="T48" s="20"/>
      <c r="U48" s="20"/>
      <c r="V48" s="20"/>
      <c r="W48" s="20"/>
      <c r="X48" s="20"/>
      <c r="Y48" s="20"/>
      <c r="Z48" s="20"/>
    </row>
    <row r="49">
      <c r="A49" s="19" t="s">
        <v>462</v>
      </c>
      <c r="B49" s="19">
        <v>318.0</v>
      </c>
      <c r="C49" s="19" t="s">
        <v>468</v>
      </c>
      <c r="D49" s="20"/>
      <c r="E49" s="20"/>
      <c r="G49" s="20"/>
      <c r="H49" s="20"/>
      <c r="I49" s="20"/>
      <c r="J49" s="20"/>
      <c r="K49" s="20"/>
      <c r="L49" s="20"/>
      <c r="M49" s="20"/>
      <c r="N49" s="20"/>
      <c r="O49" s="20"/>
      <c r="P49" s="20"/>
      <c r="Q49" s="20"/>
      <c r="R49" s="20"/>
      <c r="S49" s="20"/>
      <c r="T49" s="20"/>
      <c r="U49" s="20"/>
      <c r="V49" s="20"/>
      <c r="W49" s="20"/>
      <c r="X49" s="20"/>
      <c r="Y49" s="20"/>
      <c r="Z49" s="20"/>
    </row>
    <row r="50">
      <c r="A50" s="19" t="s">
        <v>462</v>
      </c>
      <c r="B50" s="19">
        <v>319.0</v>
      </c>
      <c r="C50" s="19" t="s">
        <v>468</v>
      </c>
      <c r="D50" s="20"/>
      <c r="E50" s="20"/>
      <c r="G50" s="20"/>
      <c r="H50" s="20"/>
      <c r="I50" s="20"/>
      <c r="J50" s="20"/>
      <c r="K50" s="20"/>
      <c r="L50" s="20"/>
      <c r="M50" s="20"/>
      <c r="N50" s="20"/>
      <c r="O50" s="20"/>
      <c r="P50" s="20"/>
      <c r="Q50" s="20"/>
      <c r="R50" s="20"/>
      <c r="S50" s="20"/>
      <c r="T50" s="20"/>
      <c r="U50" s="20"/>
      <c r="V50" s="20"/>
      <c r="W50" s="20"/>
      <c r="X50" s="20"/>
      <c r="Y50" s="20"/>
      <c r="Z50" s="20"/>
    </row>
    <row r="51">
      <c r="A51" s="19" t="s">
        <v>462</v>
      </c>
      <c r="B51" s="19">
        <v>320.0</v>
      </c>
      <c r="C51" s="19" t="s">
        <v>257</v>
      </c>
      <c r="D51" s="20"/>
      <c r="E51" s="20"/>
      <c r="G51" s="20"/>
      <c r="H51" s="20"/>
      <c r="I51" s="20"/>
      <c r="J51" s="20"/>
      <c r="K51" s="20"/>
      <c r="L51" s="20"/>
      <c r="M51" s="20"/>
      <c r="N51" s="20"/>
      <c r="O51" s="20"/>
      <c r="P51" s="20"/>
      <c r="Q51" s="20"/>
      <c r="R51" s="20"/>
      <c r="S51" s="20"/>
      <c r="T51" s="20"/>
      <c r="U51" s="20"/>
      <c r="V51" s="20"/>
      <c r="W51" s="20"/>
      <c r="X51" s="20"/>
      <c r="Y51" s="20"/>
      <c r="Z51" s="20"/>
    </row>
    <row r="52">
      <c r="A52" s="19" t="s">
        <v>462</v>
      </c>
      <c r="B52" s="19">
        <v>321.0</v>
      </c>
      <c r="C52" s="19" t="s">
        <v>257</v>
      </c>
      <c r="D52" s="20"/>
      <c r="E52" s="20"/>
      <c r="G52" s="20"/>
      <c r="H52" s="20"/>
      <c r="I52" s="20"/>
      <c r="J52" s="20"/>
      <c r="K52" s="20"/>
      <c r="L52" s="20"/>
      <c r="M52" s="20"/>
      <c r="N52" s="20"/>
      <c r="O52" s="20"/>
      <c r="P52" s="20"/>
      <c r="Q52" s="20"/>
      <c r="R52" s="20"/>
      <c r="S52" s="20"/>
      <c r="T52" s="20"/>
      <c r="U52" s="20"/>
      <c r="V52" s="20"/>
      <c r="W52" s="20"/>
      <c r="X52" s="20"/>
      <c r="Y52" s="20"/>
      <c r="Z52" s="20"/>
    </row>
    <row r="53">
      <c r="A53" s="19" t="s">
        <v>462</v>
      </c>
      <c r="B53" s="19">
        <v>322.0</v>
      </c>
      <c r="C53" s="19" t="s">
        <v>28</v>
      </c>
      <c r="D53" s="20"/>
      <c r="E53" s="20"/>
      <c r="G53" s="20"/>
      <c r="H53" s="20"/>
      <c r="I53" s="20"/>
      <c r="J53" s="20"/>
      <c r="K53" s="20"/>
      <c r="L53" s="20"/>
      <c r="M53" s="20"/>
      <c r="N53" s="20"/>
      <c r="O53" s="20"/>
      <c r="P53" s="20"/>
      <c r="Q53" s="20"/>
      <c r="R53" s="20"/>
      <c r="S53" s="20"/>
      <c r="T53" s="20"/>
      <c r="U53" s="20"/>
      <c r="V53" s="20"/>
      <c r="W53" s="20"/>
      <c r="X53" s="20"/>
      <c r="Y53" s="20"/>
      <c r="Z53" s="20"/>
    </row>
    <row r="54">
      <c r="A54" s="19" t="s">
        <v>462</v>
      </c>
      <c r="B54" s="19">
        <v>323.0</v>
      </c>
      <c r="C54" s="19" t="s">
        <v>28</v>
      </c>
      <c r="D54" s="20"/>
      <c r="E54" s="20"/>
      <c r="G54" s="20"/>
      <c r="H54" s="20"/>
      <c r="I54" s="20"/>
      <c r="J54" s="20"/>
      <c r="K54" s="20"/>
      <c r="L54" s="20"/>
      <c r="M54" s="20"/>
      <c r="N54" s="20"/>
      <c r="O54" s="20"/>
      <c r="P54" s="20"/>
      <c r="Q54" s="20"/>
      <c r="R54" s="20"/>
      <c r="S54" s="20"/>
      <c r="T54" s="20"/>
      <c r="U54" s="20"/>
      <c r="V54" s="20"/>
      <c r="W54" s="20"/>
      <c r="X54" s="20"/>
      <c r="Y54" s="20"/>
      <c r="Z54" s="20"/>
    </row>
    <row r="55">
      <c r="A55" s="19" t="s">
        <v>462</v>
      </c>
      <c r="B55" s="19">
        <v>324.0</v>
      </c>
      <c r="C55" s="19" t="s">
        <v>469</v>
      </c>
      <c r="D55" s="20"/>
      <c r="E55" s="20"/>
      <c r="G55" s="20"/>
      <c r="H55" s="20"/>
      <c r="I55" s="20"/>
      <c r="J55" s="20"/>
      <c r="K55" s="20"/>
      <c r="L55" s="20"/>
      <c r="M55" s="20"/>
      <c r="N55" s="20"/>
      <c r="O55" s="20"/>
      <c r="P55" s="20"/>
      <c r="Q55" s="20"/>
      <c r="R55" s="20"/>
      <c r="S55" s="20"/>
      <c r="T55" s="20"/>
      <c r="U55" s="20"/>
      <c r="V55" s="20"/>
      <c r="W55" s="20"/>
      <c r="X55" s="20"/>
      <c r="Y55" s="20"/>
      <c r="Z55" s="20"/>
    </row>
    <row r="56">
      <c r="A56" s="19" t="s">
        <v>462</v>
      </c>
      <c r="B56" s="19">
        <v>325.0</v>
      </c>
      <c r="C56" s="19" t="s">
        <v>469</v>
      </c>
      <c r="D56" s="20"/>
      <c r="E56" s="20"/>
      <c r="G56" s="20"/>
      <c r="H56" s="20"/>
      <c r="I56" s="20"/>
      <c r="J56" s="20"/>
      <c r="K56" s="20"/>
      <c r="L56" s="20"/>
      <c r="M56" s="20"/>
      <c r="N56" s="20"/>
      <c r="O56" s="20"/>
      <c r="P56" s="20"/>
      <c r="Q56" s="20"/>
      <c r="R56" s="20"/>
      <c r="S56" s="20"/>
      <c r="T56" s="20"/>
      <c r="U56" s="20"/>
      <c r="V56" s="20"/>
      <c r="W56" s="20"/>
      <c r="X56" s="20"/>
      <c r="Y56" s="20"/>
      <c r="Z56" s="20"/>
    </row>
    <row r="57">
      <c r="A57" s="19" t="s">
        <v>462</v>
      </c>
      <c r="B57" s="19">
        <v>326.0</v>
      </c>
      <c r="C57" s="19" t="s">
        <v>209</v>
      </c>
      <c r="D57" s="20"/>
      <c r="E57" s="20"/>
      <c r="G57" s="20"/>
      <c r="H57" s="20"/>
      <c r="I57" s="20"/>
      <c r="J57" s="20"/>
      <c r="K57" s="20"/>
      <c r="L57" s="20"/>
      <c r="M57" s="20"/>
      <c r="N57" s="20"/>
      <c r="O57" s="20"/>
      <c r="P57" s="20"/>
      <c r="Q57" s="20"/>
      <c r="R57" s="20"/>
      <c r="S57" s="20"/>
      <c r="T57" s="20"/>
      <c r="U57" s="20"/>
      <c r="V57" s="20"/>
      <c r="W57" s="20"/>
      <c r="X57" s="20"/>
      <c r="Y57" s="20"/>
      <c r="Z57" s="20"/>
    </row>
    <row r="58">
      <c r="A58" s="19" t="s">
        <v>462</v>
      </c>
      <c r="B58" s="19">
        <v>327.0</v>
      </c>
      <c r="C58" s="19" t="s">
        <v>470</v>
      </c>
      <c r="D58" s="20"/>
      <c r="E58" s="20"/>
      <c r="G58" s="20"/>
      <c r="H58" s="20"/>
      <c r="I58" s="20"/>
      <c r="J58" s="20"/>
      <c r="K58" s="20"/>
      <c r="L58" s="20"/>
      <c r="M58" s="20"/>
      <c r="N58" s="20"/>
      <c r="O58" s="20"/>
      <c r="P58" s="20"/>
      <c r="Q58" s="20"/>
      <c r="R58" s="20"/>
      <c r="S58" s="20"/>
      <c r="T58" s="20"/>
      <c r="U58" s="20"/>
      <c r="V58" s="20"/>
      <c r="W58" s="20"/>
      <c r="X58" s="20"/>
      <c r="Y58" s="20"/>
      <c r="Z58" s="20"/>
    </row>
    <row r="59">
      <c r="A59" s="19" t="s">
        <v>462</v>
      </c>
      <c r="B59" s="19">
        <v>328.0</v>
      </c>
      <c r="C59" s="19" t="s">
        <v>470</v>
      </c>
      <c r="D59" s="20"/>
      <c r="E59" s="20"/>
      <c r="G59" s="20"/>
      <c r="H59" s="20"/>
      <c r="I59" s="20"/>
      <c r="J59" s="20"/>
      <c r="K59" s="20"/>
      <c r="L59" s="20"/>
      <c r="M59" s="20"/>
      <c r="N59" s="20"/>
      <c r="O59" s="20"/>
      <c r="P59" s="20"/>
      <c r="Q59" s="20"/>
      <c r="R59" s="20"/>
      <c r="S59" s="20"/>
      <c r="T59" s="20"/>
      <c r="U59" s="20"/>
      <c r="V59" s="20"/>
      <c r="W59" s="20"/>
      <c r="X59" s="20"/>
      <c r="Y59" s="20"/>
      <c r="Z59" s="20"/>
    </row>
    <row r="60">
      <c r="A60" s="19" t="s">
        <v>462</v>
      </c>
      <c r="B60" s="19">
        <v>329.0</v>
      </c>
      <c r="C60" s="19" t="s">
        <v>471</v>
      </c>
      <c r="D60" s="20"/>
      <c r="E60" s="20"/>
      <c r="G60" s="20"/>
      <c r="H60" s="20"/>
      <c r="I60" s="20"/>
      <c r="J60" s="20"/>
      <c r="K60" s="20"/>
      <c r="L60" s="20"/>
      <c r="M60" s="20"/>
      <c r="N60" s="20"/>
      <c r="O60" s="20"/>
      <c r="P60" s="20"/>
      <c r="Q60" s="20"/>
      <c r="R60" s="20"/>
      <c r="S60" s="20"/>
      <c r="T60" s="20"/>
      <c r="U60" s="20"/>
      <c r="V60" s="20"/>
      <c r="W60" s="20"/>
      <c r="X60" s="20"/>
      <c r="Y60" s="20"/>
      <c r="Z60" s="20"/>
    </row>
    <row r="61">
      <c r="A61" s="19" t="s">
        <v>462</v>
      </c>
      <c r="B61" s="19">
        <v>330.0</v>
      </c>
      <c r="C61" s="19" t="s">
        <v>471</v>
      </c>
      <c r="D61" s="20"/>
      <c r="E61" s="20"/>
      <c r="G61" s="20"/>
      <c r="H61" s="20"/>
      <c r="I61" s="20"/>
      <c r="J61" s="20"/>
      <c r="K61" s="20"/>
      <c r="L61" s="20"/>
      <c r="M61" s="20"/>
      <c r="N61" s="20"/>
      <c r="O61" s="20"/>
      <c r="P61" s="20"/>
      <c r="Q61" s="20"/>
      <c r="R61" s="20"/>
      <c r="S61" s="20"/>
      <c r="T61" s="20"/>
      <c r="U61" s="20"/>
      <c r="V61" s="20"/>
      <c r="W61" s="20"/>
      <c r="X61" s="20"/>
      <c r="Y61" s="20"/>
      <c r="Z61" s="20"/>
    </row>
    <row r="62">
      <c r="A62" s="19"/>
      <c r="B62" s="19">
        <v>350.0</v>
      </c>
      <c r="C62" s="19"/>
      <c r="D62" s="20"/>
      <c r="E62" s="20"/>
      <c r="F62" s="20"/>
      <c r="G62" s="20"/>
      <c r="H62" s="20"/>
      <c r="I62" s="20"/>
      <c r="J62" s="20"/>
      <c r="K62" s="20"/>
      <c r="L62" s="20"/>
      <c r="M62" s="20"/>
      <c r="N62" s="20"/>
      <c r="O62" s="20"/>
      <c r="P62" s="20"/>
      <c r="Q62" s="20"/>
      <c r="R62" s="20"/>
      <c r="S62" s="20"/>
      <c r="T62" s="20"/>
      <c r="U62" s="20"/>
      <c r="V62" s="20"/>
      <c r="W62" s="20"/>
      <c r="X62" s="20"/>
      <c r="Y62" s="20"/>
      <c r="Z62" s="20"/>
    </row>
    <row r="63">
      <c r="A63" s="19" t="s">
        <v>472</v>
      </c>
      <c r="B63" s="19">
        <v>401.0</v>
      </c>
      <c r="C63" s="19"/>
      <c r="D63" s="20"/>
      <c r="E63" s="20"/>
      <c r="F63" s="20"/>
      <c r="G63" s="20"/>
      <c r="H63" s="20"/>
      <c r="I63" s="20"/>
      <c r="J63" s="20"/>
      <c r="K63" s="20"/>
      <c r="L63" s="20"/>
      <c r="M63" s="20"/>
      <c r="N63" s="20"/>
      <c r="O63" s="20"/>
      <c r="P63" s="20"/>
      <c r="Q63" s="20"/>
      <c r="R63" s="20"/>
      <c r="S63" s="20"/>
      <c r="T63" s="20"/>
      <c r="U63" s="20"/>
      <c r="V63" s="20"/>
      <c r="W63" s="20"/>
      <c r="X63" s="20"/>
      <c r="Y63" s="20"/>
      <c r="Z63" s="20"/>
    </row>
    <row r="64">
      <c r="A64" s="19" t="s">
        <v>472</v>
      </c>
      <c r="B64" s="19">
        <v>402.0</v>
      </c>
      <c r="C64" s="19"/>
      <c r="D64" s="20"/>
      <c r="E64" s="20"/>
      <c r="F64" s="20"/>
      <c r="G64" s="20"/>
      <c r="H64" s="20"/>
      <c r="I64" s="20"/>
      <c r="J64" s="20"/>
      <c r="K64" s="20"/>
      <c r="L64" s="20"/>
      <c r="M64" s="20"/>
      <c r="N64" s="20"/>
      <c r="O64" s="20"/>
      <c r="P64" s="20"/>
      <c r="Q64" s="20"/>
      <c r="R64" s="20"/>
      <c r="S64" s="20"/>
      <c r="T64" s="20"/>
      <c r="U64" s="20"/>
      <c r="V64" s="20"/>
      <c r="W64" s="20"/>
      <c r="X64" s="20"/>
      <c r="Y64" s="20"/>
      <c r="Z64" s="20"/>
    </row>
    <row r="65">
      <c r="A65" s="19" t="s">
        <v>472</v>
      </c>
      <c r="B65" s="19">
        <v>403.0</v>
      </c>
      <c r="C65" s="19"/>
      <c r="D65" s="20"/>
      <c r="E65" s="20"/>
      <c r="F65" s="20"/>
      <c r="G65" s="20"/>
      <c r="H65" s="20"/>
      <c r="I65" s="20"/>
      <c r="J65" s="20"/>
      <c r="K65" s="20"/>
      <c r="L65" s="20"/>
      <c r="M65" s="20"/>
      <c r="N65" s="20"/>
      <c r="O65" s="20"/>
      <c r="P65" s="20"/>
      <c r="Q65" s="20"/>
      <c r="R65" s="20"/>
      <c r="S65" s="20"/>
      <c r="T65" s="20"/>
      <c r="U65" s="20"/>
      <c r="V65" s="20"/>
      <c r="W65" s="20"/>
      <c r="X65" s="20"/>
      <c r="Y65" s="20"/>
      <c r="Z65" s="20"/>
    </row>
    <row r="66">
      <c r="A66" s="19"/>
      <c r="B66" s="19">
        <v>450.0</v>
      </c>
      <c r="C66" s="21"/>
      <c r="D66" s="20"/>
      <c r="E66" s="20"/>
      <c r="F66" s="19"/>
      <c r="G66" s="20"/>
      <c r="H66" s="20"/>
      <c r="I66" s="20"/>
      <c r="J66" s="20"/>
      <c r="K66" s="20"/>
      <c r="L66" s="20"/>
      <c r="M66" s="20"/>
      <c r="N66" s="20"/>
      <c r="O66" s="20"/>
      <c r="P66" s="20"/>
      <c r="Q66" s="20"/>
      <c r="R66" s="20"/>
      <c r="S66" s="20"/>
      <c r="T66" s="20"/>
      <c r="U66" s="20"/>
      <c r="V66" s="20"/>
      <c r="W66" s="20"/>
      <c r="X66" s="20"/>
      <c r="Y66" s="20"/>
      <c r="Z66" s="20"/>
    </row>
    <row r="67">
      <c r="A67" s="19" t="s">
        <v>473</v>
      </c>
      <c r="B67" s="19">
        <v>501.0</v>
      </c>
      <c r="C67" s="21"/>
      <c r="D67" s="20"/>
      <c r="E67" s="20"/>
      <c r="F67" s="19"/>
      <c r="G67" s="20"/>
      <c r="H67" s="20"/>
      <c r="I67" s="20"/>
      <c r="J67" s="20"/>
      <c r="K67" s="20"/>
      <c r="L67" s="20"/>
      <c r="M67" s="20"/>
      <c r="N67" s="20"/>
      <c r="O67" s="20"/>
      <c r="P67" s="20"/>
      <c r="Q67" s="20"/>
      <c r="R67" s="20"/>
      <c r="S67" s="20"/>
      <c r="T67" s="20"/>
      <c r="U67" s="20"/>
      <c r="V67" s="20"/>
      <c r="W67" s="20"/>
      <c r="X67" s="20"/>
      <c r="Y67" s="20"/>
      <c r="Z67" s="20"/>
    </row>
    <row r="68">
      <c r="A68" s="19" t="s">
        <v>473</v>
      </c>
      <c r="B68" s="19">
        <v>502.0</v>
      </c>
      <c r="C68" s="21"/>
      <c r="D68" s="20"/>
      <c r="E68" s="20"/>
      <c r="F68" s="20"/>
      <c r="G68" s="20"/>
      <c r="H68" s="20"/>
      <c r="I68" s="20"/>
      <c r="J68" s="20"/>
      <c r="K68" s="20"/>
      <c r="L68" s="20"/>
      <c r="M68" s="20"/>
      <c r="N68" s="20"/>
      <c r="O68" s="20"/>
      <c r="P68" s="20"/>
      <c r="Q68" s="20"/>
      <c r="R68" s="20"/>
      <c r="S68" s="20"/>
      <c r="T68" s="20"/>
      <c r="U68" s="20"/>
      <c r="V68" s="20"/>
      <c r="W68" s="20"/>
      <c r="X68" s="20"/>
      <c r="Y68" s="20"/>
      <c r="Z68" s="20"/>
    </row>
    <row r="69">
      <c r="A69" s="19" t="s">
        <v>473</v>
      </c>
      <c r="B69" s="19">
        <v>503.0</v>
      </c>
      <c r="C69" s="21"/>
      <c r="D69" s="20"/>
      <c r="E69" s="20"/>
      <c r="F69" s="20"/>
      <c r="G69" s="20"/>
      <c r="H69" s="20"/>
      <c r="I69" s="20"/>
      <c r="J69" s="20"/>
      <c r="K69" s="20"/>
      <c r="L69" s="20"/>
      <c r="M69" s="20"/>
      <c r="N69" s="20"/>
      <c r="O69" s="20"/>
      <c r="P69" s="20"/>
      <c r="Q69" s="20"/>
      <c r="R69" s="20"/>
      <c r="S69" s="20"/>
      <c r="T69" s="20"/>
      <c r="U69" s="20"/>
      <c r="V69" s="20"/>
      <c r="W69" s="20"/>
      <c r="X69" s="20"/>
      <c r="Y69" s="20"/>
      <c r="Z69" s="20"/>
    </row>
    <row r="70">
      <c r="A70" s="20"/>
      <c r="B70" s="20"/>
      <c r="C70" s="20"/>
      <c r="D70" s="20"/>
      <c r="E70" s="20"/>
      <c r="G70" s="20"/>
      <c r="H70" s="20"/>
      <c r="I70" s="20"/>
      <c r="J70" s="20"/>
      <c r="K70" s="20"/>
      <c r="L70" s="20"/>
      <c r="M70" s="20"/>
      <c r="N70" s="20"/>
      <c r="O70" s="20"/>
      <c r="P70" s="20"/>
      <c r="Q70" s="20"/>
      <c r="R70" s="20"/>
      <c r="S70" s="20"/>
      <c r="T70" s="20"/>
      <c r="U70" s="20"/>
      <c r="V70" s="20"/>
      <c r="W70" s="20"/>
      <c r="X70" s="20"/>
      <c r="Y70" s="20"/>
      <c r="Z70" s="20"/>
    </row>
    <row r="71">
      <c r="A71" s="20"/>
      <c r="B71" s="20"/>
      <c r="C71" s="20"/>
      <c r="D71" s="20"/>
      <c r="E71" s="20"/>
      <c r="G71" s="20"/>
      <c r="H71" s="20"/>
      <c r="I71" s="20"/>
      <c r="J71" s="20"/>
      <c r="K71" s="20"/>
      <c r="L71" s="20"/>
      <c r="M71" s="20"/>
      <c r="N71" s="20"/>
      <c r="O71" s="20"/>
      <c r="P71" s="20"/>
      <c r="Q71" s="20"/>
      <c r="R71" s="20"/>
      <c r="S71" s="20"/>
      <c r="T71" s="20"/>
      <c r="U71" s="20"/>
      <c r="V71" s="20"/>
      <c r="W71" s="20"/>
      <c r="X71" s="20"/>
      <c r="Y71" s="20"/>
      <c r="Z71" s="20"/>
    </row>
    <row r="72">
      <c r="A72" s="20"/>
      <c r="B72" s="20"/>
      <c r="C72" s="19" t="s">
        <v>209</v>
      </c>
      <c r="D72" s="20"/>
      <c r="E72" s="20"/>
      <c r="G72" s="20"/>
      <c r="H72" s="20"/>
      <c r="I72" s="20"/>
      <c r="J72" s="20"/>
      <c r="K72" s="20"/>
      <c r="L72" s="20"/>
      <c r="M72" s="20"/>
      <c r="N72" s="20"/>
      <c r="O72" s="20"/>
      <c r="P72" s="20"/>
      <c r="Q72" s="20"/>
      <c r="R72" s="20"/>
      <c r="S72" s="20"/>
      <c r="T72" s="20"/>
      <c r="U72" s="20"/>
      <c r="V72" s="20"/>
      <c r="W72" s="20"/>
      <c r="X72" s="20"/>
      <c r="Y72" s="20"/>
      <c r="Z72" s="20"/>
    </row>
    <row r="73">
      <c r="A73" s="20"/>
      <c r="B73" s="20"/>
      <c r="C73" s="19" t="s">
        <v>54</v>
      </c>
      <c r="D73" s="20"/>
      <c r="E73" s="20"/>
      <c r="G73" s="20"/>
      <c r="H73" s="20"/>
      <c r="I73" s="20"/>
      <c r="J73" s="20"/>
      <c r="K73" s="20"/>
      <c r="L73" s="20"/>
      <c r="M73" s="20"/>
      <c r="N73" s="20"/>
      <c r="O73" s="20"/>
      <c r="P73" s="20"/>
      <c r="Q73" s="20"/>
      <c r="R73" s="20"/>
      <c r="S73" s="20"/>
      <c r="T73" s="20"/>
      <c r="U73" s="20"/>
      <c r="V73" s="20"/>
      <c r="W73" s="20"/>
      <c r="X73" s="20"/>
      <c r="Y73" s="20"/>
      <c r="Z73" s="20"/>
    </row>
    <row r="74">
      <c r="A74" s="20"/>
      <c r="B74" s="20"/>
      <c r="C74" s="19" t="s">
        <v>469</v>
      </c>
      <c r="D74" s="20"/>
      <c r="E74" s="20"/>
      <c r="G74" s="20"/>
      <c r="H74" s="20"/>
      <c r="I74" s="20"/>
      <c r="J74" s="20"/>
      <c r="K74" s="20"/>
      <c r="L74" s="20"/>
      <c r="M74" s="20"/>
      <c r="N74" s="20"/>
      <c r="O74" s="20"/>
      <c r="P74" s="20"/>
      <c r="Q74" s="20"/>
      <c r="R74" s="20"/>
      <c r="S74" s="20"/>
      <c r="T74" s="20"/>
      <c r="U74" s="20"/>
      <c r="V74" s="20"/>
      <c r="W74" s="20"/>
      <c r="X74" s="20"/>
      <c r="Y74" s="20"/>
      <c r="Z74" s="20"/>
    </row>
    <row r="75">
      <c r="A75" s="20"/>
      <c r="B75" s="20"/>
      <c r="C75" s="19" t="s">
        <v>455</v>
      </c>
      <c r="D75" s="20"/>
      <c r="E75" s="20"/>
      <c r="G75" s="20"/>
      <c r="H75" s="20"/>
      <c r="I75" s="20"/>
      <c r="J75" s="20"/>
      <c r="K75" s="20"/>
      <c r="L75" s="20"/>
      <c r="M75" s="20"/>
      <c r="N75" s="20"/>
      <c r="O75" s="20"/>
      <c r="P75" s="20"/>
      <c r="Q75" s="20"/>
      <c r="R75" s="20"/>
      <c r="S75" s="20"/>
      <c r="T75" s="20"/>
      <c r="U75" s="20"/>
      <c r="V75" s="20"/>
      <c r="W75" s="20"/>
      <c r="X75" s="20"/>
      <c r="Y75" s="20"/>
      <c r="Z75" s="20"/>
    </row>
    <row r="76">
      <c r="A76" s="20"/>
      <c r="B76" s="20"/>
      <c r="C76" s="19" t="s">
        <v>461</v>
      </c>
      <c r="D76" s="20"/>
      <c r="E76" s="20"/>
      <c r="G76" s="20"/>
      <c r="H76" s="20"/>
      <c r="I76" s="20"/>
      <c r="J76" s="20"/>
      <c r="K76" s="20"/>
      <c r="L76" s="20"/>
      <c r="M76" s="20"/>
      <c r="N76" s="20"/>
      <c r="O76" s="20"/>
      <c r="P76" s="20"/>
      <c r="Q76" s="20"/>
      <c r="R76" s="20"/>
      <c r="S76" s="20"/>
      <c r="T76" s="20"/>
      <c r="U76" s="20"/>
      <c r="V76" s="20"/>
      <c r="W76" s="20"/>
      <c r="X76" s="20"/>
      <c r="Y76" s="20"/>
      <c r="Z76" s="20"/>
    </row>
    <row r="77">
      <c r="A77" s="20"/>
      <c r="B77" s="20"/>
      <c r="C77" s="19" t="s">
        <v>443</v>
      </c>
      <c r="D77" s="20"/>
      <c r="E77" s="20"/>
      <c r="G77" s="20"/>
      <c r="H77" s="20"/>
      <c r="I77" s="20"/>
      <c r="J77" s="20"/>
      <c r="K77" s="20"/>
      <c r="L77" s="20"/>
      <c r="M77" s="20"/>
      <c r="N77" s="20"/>
      <c r="O77" s="20"/>
      <c r="P77" s="20"/>
      <c r="Q77" s="20"/>
      <c r="R77" s="20"/>
      <c r="S77" s="20"/>
      <c r="T77" s="20"/>
      <c r="U77" s="20"/>
      <c r="V77" s="20"/>
      <c r="W77" s="20"/>
      <c r="X77" s="20"/>
      <c r="Y77" s="20"/>
      <c r="Z77" s="20"/>
    </row>
    <row r="78">
      <c r="A78" s="20"/>
      <c r="B78" s="20"/>
      <c r="C78" s="19" t="s">
        <v>458</v>
      </c>
      <c r="D78" s="20"/>
      <c r="E78" s="20"/>
      <c r="G78" s="20"/>
      <c r="H78" s="20"/>
      <c r="I78" s="20"/>
      <c r="J78" s="20"/>
      <c r="K78" s="20"/>
      <c r="L78" s="20"/>
      <c r="M78" s="20"/>
      <c r="N78" s="20"/>
      <c r="O78" s="20"/>
      <c r="P78" s="20"/>
      <c r="Q78" s="20"/>
      <c r="R78" s="20"/>
      <c r="S78" s="20"/>
      <c r="T78" s="20"/>
      <c r="U78" s="20"/>
      <c r="V78" s="20"/>
      <c r="W78" s="20"/>
      <c r="X78" s="20"/>
      <c r="Y78" s="20"/>
      <c r="Z78" s="20"/>
    </row>
    <row r="79">
      <c r="A79" s="20"/>
      <c r="B79" s="20"/>
      <c r="C79" s="19" t="s">
        <v>68</v>
      </c>
      <c r="D79" s="20"/>
      <c r="E79" s="20"/>
      <c r="G79" s="20"/>
      <c r="H79" s="20"/>
      <c r="I79" s="20"/>
      <c r="J79" s="20"/>
      <c r="K79" s="20"/>
      <c r="L79" s="20"/>
      <c r="M79" s="20"/>
      <c r="N79" s="20"/>
      <c r="O79" s="20"/>
      <c r="P79" s="20"/>
      <c r="Q79" s="20"/>
      <c r="R79" s="20"/>
      <c r="S79" s="20"/>
      <c r="T79" s="20"/>
      <c r="U79" s="20"/>
      <c r="V79" s="20"/>
      <c r="W79" s="20"/>
      <c r="X79" s="20"/>
      <c r="Y79" s="20"/>
      <c r="Z79" s="20"/>
    </row>
    <row r="80">
      <c r="A80" s="20"/>
      <c r="B80" s="20"/>
      <c r="C80" s="19" t="s">
        <v>100</v>
      </c>
      <c r="D80" s="20"/>
      <c r="E80" s="20"/>
      <c r="G80" s="20"/>
      <c r="H80" s="20"/>
      <c r="I80" s="20"/>
      <c r="J80" s="20"/>
      <c r="K80" s="20"/>
      <c r="L80" s="20"/>
      <c r="M80" s="20"/>
      <c r="N80" s="20"/>
      <c r="O80" s="20"/>
      <c r="P80" s="20"/>
      <c r="Q80" s="20"/>
      <c r="R80" s="20"/>
      <c r="S80" s="20"/>
      <c r="T80" s="20"/>
      <c r="U80" s="20"/>
      <c r="V80" s="20"/>
      <c r="W80" s="20"/>
      <c r="X80" s="20"/>
      <c r="Y80" s="20"/>
      <c r="Z80" s="20"/>
    </row>
    <row r="81">
      <c r="A81" s="20"/>
      <c r="B81" s="20"/>
      <c r="C81" s="19" t="s">
        <v>465</v>
      </c>
      <c r="D81" s="20"/>
      <c r="E81" s="20"/>
      <c r="G81" s="20"/>
      <c r="H81" s="20"/>
      <c r="I81" s="20"/>
      <c r="J81" s="20"/>
      <c r="K81" s="20"/>
      <c r="L81" s="20"/>
      <c r="M81" s="20"/>
      <c r="N81" s="20"/>
      <c r="O81" s="20"/>
      <c r="P81" s="20"/>
      <c r="Q81" s="20"/>
      <c r="R81" s="20"/>
      <c r="S81" s="20"/>
      <c r="T81" s="20"/>
      <c r="U81" s="20"/>
      <c r="V81" s="20"/>
      <c r="W81" s="20"/>
      <c r="X81" s="20"/>
      <c r="Y81" s="20"/>
      <c r="Z81" s="20"/>
    </row>
    <row r="82">
      <c r="A82" s="20"/>
      <c r="B82" s="20"/>
      <c r="C82" s="19" t="s">
        <v>452</v>
      </c>
      <c r="D82" s="20"/>
      <c r="E82" s="20"/>
      <c r="G82" s="20"/>
      <c r="H82" s="20"/>
      <c r="I82" s="20"/>
      <c r="J82" s="20"/>
      <c r="K82" s="20"/>
      <c r="L82" s="20"/>
      <c r="M82" s="20"/>
      <c r="N82" s="20"/>
      <c r="O82" s="20"/>
      <c r="P82" s="20"/>
      <c r="Q82" s="20"/>
      <c r="R82" s="20"/>
      <c r="S82" s="20"/>
      <c r="T82" s="20"/>
      <c r="U82" s="20"/>
      <c r="V82" s="20"/>
      <c r="W82" s="20"/>
      <c r="X82" s="20"/>
      <c r="Y82" s="20"/>
      <c r="Z82" s="20"/>
    </row>
    <row r="83">
      <c r="A83" s="20"/>
      <c r="B83" s="20"/>
      <c r="C83" s="19" t="s">
        <v>129</v>
      </c>
      <c r="D83" s="20"/>
      <c r="E83" s="20"/>
      <c r="G83" s="20"/>
      <c r="H83" s="20"/>
      <c r="I83" s="20"/>
      <c r="J83" s="20"/>
      <c r="K83" s="20"/>
      <c r="L83" s="20"/>
      <c r="M83" s="20"/>
      <c r="N83" s="20"/>
      <c r="O83" s="20"/>
      <c r="P83" s="20"/>
      <c r="Q83" s="20"/>
      <c r="R83" s="20"/>
      <c r="S83" s="20"/>
      <c r="T83" s="20"/>
      <c r="U83" s="20"/>
      <c r="V83" s="20"/>
      <c r="W83" s="20"/>
      <c r="X83" s="20"/>
      <c r="Y83" s="20"/>
      <c r="Z83" s="20"/>
    </row>
    <row r="84">
      <c r="A84" s="20"/>
      <c r="B84" s="20"/>
      <c r="C84" s="19" t="s">
        <v>468</v>
      </c>
      <c r="D84" s="20"/>
      <c r="E84" s="20"/>
      <c r="G84" s="20"/>
      <c r="H84" s="20"/>
      <c r="I84" s="20"/>
      <c r="J84" s="20"/>
      <c r="K84" s="20"/>
      <c r="L84" s="20"/>
      <c r="M84" s="20"/>
      <c r="N84" s="20"/>
      <c r="O84" s="20"/>
      <c r="P84" s="20"/>
      <c r="Q84" s="20"/>
      <c r="R84" s="20"/>
      <c r="S84" s="20"/>
      <c r="T84" s="20"/>
      <c r="U84" s="20"/>
      <c r="V84" s="20"/>
      <c r="W84" s="20"/>
      <c r="X84" s="20"/>
      <c r="Y84" s="20"/>
      <c r="Z84" s="20"/>
    </row>
    <row r="85">
      <c r="A85" s="20"/>
      <c r="B85" s="20"/>
      <c r="C85" s="19" t="s">
        <v>451</v>
      </c>
      <c r="D85" s="20"/>
      <c r="E85" s="20"/>
      <c r="G85" s="20"/>
      <c r="H85" s="20"/>
      <c r="I85" s="20"/>
      <c r="J85" s="20"/>
      <c r="K85" s="20"/>
      <c r="L85" s="20"/>
      <c r="M85" s="20"/>
      <c r="N85" s="20"/>
      <c r="O85" s="20"/>
      <c r="P85" s="20"/>
      <c r="Q85" s="20"/>
      <c r="R85" s="20"/>
      <c r="S85" s="20"/>
      <c r="T85" s="20"/>
      <c r="U85" s="20"/>
      <c r="V85" s="20"/>
      <c r="W85" s="20"/>
      <c r="X85" s="20"/>
      <c r="Y85" s="20"/>
      <c r="Z85" s="20"/>
    </row>
    <row r="86">
      <c r="A86" s="20"/>
      <c r="B86" s="20"/>
      <c r="C86" s="19" t="s">
        <v>456</v>
      </c>
      <c r="D86" s="20"/>
      <c r="E86" s="20"/>
      <c r="G86" s="20"/>
      <c r="H86" s="20"/>
      <c r="I86" s="20"/>
      <c r="J86" s="20"/>
      <c r="K86" s="20"/>
      <c r="L86" s="20"/>
      <c r="M86" s="20"/>
      <c r="N86" s="20"/>
      <c r="O86" s="20"/>
      <c r="P86" s="20"/>
      <c r="Q86" s="20"/>
      <c r="R86" s="20"/>
      <c r="S86" s="20"/>
      <c r="T86" s="20"/>
      <c r="U86" s="20"/>
      <c r="V86" s="20"/>
      <c r="W86" s="20"/>
      <c r="X86" s="20"/>
      <c r="Y86" s="20"/>
      <c r="Z86" s="20"/>
    </row>
    <row r="87">
      <c r="A87" s="20"/>
      <c r="B87" s="20"/>
      <c r="C87" s="19" t="s">
        <v>453</v>
      </c>
      <c r="D87" s="20"/>
      <c r="E87" s="20"/>
      <c r="G87" s="20"/>
      <c r="H87" s="20"/>
      <c r="I87" s="20"/>
      <c r="J87" s="20"/>
      <c r="K87" s="20"/>
      <c r="L87" s="20"/>
      <c r="M87" s="20"/>
      <c r="N87" s="20"/>
      <c r="O87" s="20"/>
      <c r="P87" s="20"/>
      <c r="Q87" s="20"/>
      <c r="R87" s="20"/>
      <c r="S87" s="20"/>
      <c r="T87" s="20"/>
      <c r="U87" s="20"/>
      <c r="V87" s="20"/>
      <c r="W87" s="20"/>
      <c r="X87" s="20"/>
      <c r="Y87" s="20"/>
      <c r="Z87" s="20"/>
    </row>
    <row r="88">
      <c r="A88" s="20"/>
      <c r="B88" s="20"/>
      <c r="C88" s="19" t="s">
        <v>474</v>
      </c>
      <c r="D88" s="20"/>
      <c r="E88" s="20"/>
      <c r="G88" s="20"/>
      <c r="H88" s="20"/>
      <c r="I88" s="20"/>
      <c r="J88" s="20"/>
      <c r="K88" s="20"/>
      <c r="L88" s="20"/>
      <c r="M88" s="20"/>
      <c r="N88" s="20"/>
      <c r="O88" s="20"/>
      <c r="P88" s="20"/>
      <c r="Q88" s="20"/>
      <c r="R88" s="20"/>
      <c r="S88" s="20"/>
      <c r="T88" s="20"/>
      <c r="U88" s="20"/>
      <c r="V88" s="20"/>
      <c r="W88" s="20"/>
      <c r="X88" s="20"/>
      <c r="Y88" s="20"/>
      <c r="Z88" s="20"/>
    </row>
    <row r="89">
      <c r="A89" s="20"/>
      <c r="B89" s="20"/>
      <c r="C89" s="13" t="s">
        <v>457</v>
      </c>
      <c r="D89" s="20"/>
      <c r="E89" s="20"/>
      <c r="G89" s="20"/>
      <c r="H89" s="20"/>
      <c r="I89" s="20"/>
      <c r="J89" s="20"/>
      <c r="K89" s="20"/>
      <c r="L89" s="20"/>
      <c r="M89" s="20"/>
      <c r="N89" s="20"/>
      <c r="O89" s="20"/>
      <c r="P89" s="20"/>
      <c r="Q89" s="20"/>
      <c r="R89" s="20"/>
      <c r="S89" s="20"/>
      <c r="T89" s="20"/>
      <c r="U89" s="20"/>
      <c r="V89" s="20"/>
      <c r="W89" s="20"/>
      <c r="X89" s="20"/>
      <c r="Y89" s="20"/>
      <c r="Z89" s="20"/>
    </row>
    <row r="90">
      <c r="A90" s="20"/>
      <c r="B90" s="20"/>
      <c r="C90" s="19" t="s">
        <v>230</v>
      </c>
      <c r="D90" s="20"/>
      <c r="E90" s="20"/>
      <c r="G90" s="20"/>
      <c r="H90" s="20"/>
      <c r="I90" s="20"/>
      <c r="J90" s="20"/>
      <c r="K90" s="20"/>
      <c r="L90" s="20"/>
      <c r="M90" s="20"/>
      <c r="N90" s="20"/>
      <c r="O90" s="20"/>
      <c r="P90" s="20"/>
      <c r="Q90" s="20"/>
      <c r="R90" s="20"/>
      <c r="S90" s="20"/>
      <c r="T90" s="20"/>
      <c r="U90" s="20"/>
      <c r="V90" s="20"/>
      <c r="W90" s="20"/>
      <c r="X90" s="20"/>
      <c r="Y90" s="20"/>
      <c r="Z90" s="20"/>
    </row>
    <row r="91">
      <c r="A91" s="20"/>
      <c r="B91" s="20"/>
      <c r="C91" s="19" t="s">
        <v>187</v>
      </c>
      <c r="D91" s="20"/>
      <c r="E91" s="20"/>
      <c r="G91" s="20"/>
      <c r="H91" s="20"/>
      <c r="I91" s="20"/>
      <c r="J91" s="20"/>
      <c r="K91" s="20"/>
      <c r="L91" s="20"/>
      <c r="M91" s="20"/>
      <c r="N91" s="20"/>
      <c r="O91" s="20"/>
      <c r="P91" s="20"/>
      <c r="Q91" s="20"/>
      <c r="R91" s="20"/>
      <c r="S91" s="20"/>
      <c r="T91" s="20"/>
      <c r="U91" s="20"/>
      <c r="V91" s="20"/>
      <c r="W91" s="20"/>
      <c r="X91" s="20"/>
      <c r="Y91" s="20"/>
      <c r="Z91" s="20"/>
    </row>
    <row r="92">
      <c r="A92" s="20"/>
      <c r="B92" s="20"/>
      <c r="C92" s="19" t="s">
        <v>470</v>
      </c>
      <c r="D92" s="20"/>
      <c r="E92" s="20"/>
      <c r="G92" s="20"/>
      <c r="H92" s="20"/>
      <c r="I92" s="20"/>
      <c r="J92" s="20"/>
      <c r="K92" s="20"/>
      <c r="L92" s="20"/>
      <c r="M92" s="20"/>
      <c r="N92" s="20"/>
      <c r="O92" s="20"/>
      <c r="P92" s="20"/>
      <c r="Q92" s="20"/>
      <c r="R92" s="20"/>
      <c r="S92" s="20"/>
      <c r="T92" s="20"/>
      <c r="U92" s="20"/>
      <c r="V92" s="20"/>
      <c r="W92" s="20"/>
      <c r="X92" s="20"/>
      <c r="Y92" s="20"/>
      <c r="Z92" s="20"/>
    </row>
    <row r="93">
      <c r="A93" s="20"/>
      <c r="B93" s="20"/>
      <c r="C93" s="19" t="s">
        <v>464</v>
      </c>
      <c r="D93" s="20"/>
      <c r="E93" s="20"/>
      <c r="G93" s="20"/>
      <c r="H93" s="20"/>
      <c r="I93" s="20"/>
      <c r="J93" s="20"/>
      <c r="K93" s="20"/>
      <c r="L93" s="20"/>
      <c r="M93" s="20"/>
      <c r="N93" s="20"/>
      <c r="O93" s="20"/>
      <c r="P93" s="20"/>
      <c r="Q93" s="20"/>
      <c r="R93" s="20"/>
      <c r="S93" s="20"/>
      <c r="T93" s="20"/>
      <c r="U93" s="20"/>
      <c r="V93" s="20"/>
      <c r="W93" s="20"/>
      <c r="X93" s="20"/>
      <c r="Y93" s="20"/>
      <c r="Z93" s="20"/>
    </row>
    <row r="94">
      <c r="A94" s="20"/>
      <c r="B94" s="20"/>
      <c r="C94" s="19" t="s">
        <v>28</v>
      </c>
      <c r="D94" s="20"/>
      <c r="E94" s="20"/>
      <c r="G94" s="20"/>
      <c r="H94" s="20"/>
      <c r="I94" s="20"/>
      <c r="J94" s="20"/>
      <c r="K94" s="20"/>
      <c r="L94" s="20"/>
      <c r="M94" s="20"/>
      <c r="N94" s="20"/>
      <c r="O94" s="20"/>
      <c r="P94" s="20"/>
      <c r="Q94" s="20"/>
      <c r="R94" s="20"/>
      <c r="S94" s="20"/>
      <c r="T94" s="20"/>
      <c r="U94" s="20"/>
      <c r="V94" s="20"/>
      <c r="W94" s="20"/>
      <c r="X94" s="20"/>
      <c r="Y94" s="20"/>
      <c r="Z94" s="20"/>
    </row>
    <row r="95">
      <c r="A95" s="20"/>
      <c r="B95" s="20"/>
      <c r="C95" s="19" t="s">
        <v>454</v>
      </c>
      <c r="D95" s="20"/>
      <c r="E95" s="20"/>
      <c r="G95" s="20"/>
      <c r="H95" s="20"/>
      <c r="I95" s="20"/>
      <c r="J95" s="20"/>
      <c r="K95" s="20"/>
      <c r="L95" s="20"/>
      <c r="M95" s="20"/>
      <c r="N95" s="20"/>
      <c r="O95" s="20"/>
      <c r="P95" s="20"/>
      <c r="Q95" s="20"/>
      <c r="R95" s="20"/>
      <c r="S95" s="20"/>
      <c r="T95" s="20"/>
      <c r="U95" s="20"/>
      <c r="V95" s="20"/>
      <c r="W95" s="20"/>
      <c r="X95" s="20"/>
      <c r="Y95" s="20"/>
      <c r="Z95" s="20"/>
    </row>
    <row r="96">
      <c r="A96" s="20"/>
      <c r="B96" s="20"/>
      <c r="C96" s="19" t="s">
        <v>471</v>
      </c>
      <c r="D96" s="20"/>
      <c r="E96" s="20"/>
      <c r="G96" s="20"/>
      <c r="H96" s="20"/>
      <c r="I96" s="20"/>
      <c r="J96" s="20"/>
      <c r="K96" s="20"/>
      <c r="L96" s="20"/>
      <c r="M96" s="20"/>
      <c r="N96" s="20"/>
      <c r="O96" s="20"/>
      <c r="P96" s="20"/>
      <c r="Q96" s="20"/>
      <c r="R96" s="20"/>
      <c r="S96" s="20"/>
      <c r="T96" s="20"/>
      <c r="U96" s="20"/>
      <c r="V96" s="20"/>
      <c r="W96" s="20"/>
      <c r="X96" s="20"/>
      <c r="Y96" s="20"/>
      <c r="Z96" s="20"/>
    </row>
    <row r="97">
      <c r="A97" s="20"/>
      <c r="B97" s="20"/>
      <c r="C97" s="19" t="s">
        <v>466</v>
      </c>
      <c r="D97" s="20"/>
      <c r="E97" s="20"/>
      <c r="G97" s="20"/>
      <c r="H97" s="20"/>
      <c r="I97" s="20"/>
      <c r="J97" s="20"/>
      <c r="K97" s="20"/>
      <c r="L97" s="20"/>
      <c r="M97" s="20"/>
      <c r="N97" s="20"/>
      <c r="O97" s="20"/>
      <c r="P97" s="20"/>
      <c r="Q97" s="20"/>
      <c r="R97" s="20"/>
      <c r="S97" s="20"/>
      <c r="T97" s="20"/>
      <c r="U97" s="20"/>
      <c r="V97" s="20"/>
      <c r="W97" s="20"/>
      <c r="X97" s="20"/>
      <c r="Y97" s="20"/>
      <c r="Z97" s="20"/>
    </row>
    <row r="98">
      <c r="A98" s="20"/>
      <c r="B98" s="20"/>
      <c r="C98" s="19" t="s">
        <v>467</v>
      </c>
      <c r="D98" s="20"/>
      <c r="E98" s="20"/>
      <c r="G98" s="20"/>
      <c r="H98" s="20"/>
      <c r="I98" s="20"/>
      <c r="J98" s="20"/>
      <c r="K98" s="20"/>
      <c r="L98" s="20"/>
      <c r="M98" s="20"/>
      <c r="N98" s="20"/>
      <c r="O98" s="20"/>
      <c r="P98" s="20"/>
      <c r="Q98" s="20"/>
      <c r="R98" s="20"/>
      <c r="S98" s="20"/>
      <c r="T98" s="20"/>
      <c r="U98" s="20"/>
      <c r="V98" s="20"/>
      <c r="W98" s="20"/>
      <c r="X98" s="20"/>
      <c r="Y98" s="20"/>
      <c r="Z98" s="20"/>
    </row>
    <row r="99">
      <c r="A99" s="20"/>
      <c r="B99" s="20"/>
      <c r="C99" s="19" t="s">
        <v>257</v>
      </c>
      <c r="D99" s="20"/>
      <c r="E99" s="20"/>
      <c r="G99" s="20"/>
      <c r="H99" s="20"/>
      <c r="I99" s="20"/>
      <c r="J99" s="20"/>
      <c r="K99" s="20"/>
      <c r="L99" s="20"/>
      <c r="M99" s="20"/>
      <c r="N99" s="20"/>
      <c r="O99" s="20"/>
      <c r="P99" s="20"/>
      <c r="Q99" s="20"/>
      <c r="R99" s="20"/>
      <c r="S99" s="20"/>
      <c r="T99" s="20"/>
      <c r="U99" s="20"/>
      <c r="V99" s="20"/>
      <c r="W99" s="20"/>
      <c r="X99" s="20"/>
      <c r="Y99" s="20"/>
      <c r="Z99" s="20"/>
    </row>
    <row r="100">
      <c r="A100" s="20"/>
      <c r="B100" s="20"/>
      <c r="C100" s="19" t="s">
        <v>463</v>
      </c>
      <c r="D100" s="20"/>
      <c r="E100" s="20"/>
      <c r="G100" s="20"/>
      <c r="H100" s="20"/>
      <c r="I100" s="20"/>
      <c r="J100" s="20"/>
      <c r="K100" s="20"/>
      <c r="L100" s="20"/>
      <c r="M100" s="20"/>
      <c r="N100" s="20"/>
      <c r="O100" s="20"/>
      <c r="P100" s="20"/>
      <c r="Q100" s="20"/>
      <c r="R100" s="20"/>
      <c r="S100" s="20"/>
      <c r="T100" s="20"/>
      <c r="U100" s="20"/>
      <c r="V100" s="20"/>
      <c r="W100" s="20"/>
      <c r="X100" s="20"/>
      <c r="Y100" s="20"/>
      <c r="Z100" s="20"/>
    </row>
    <row r="101">
      <c r="A101" s="20"/>
      <c r="B101" s="20"/>
      <c r="D101" s="20"/>
      <c r="E101" s="20"/>
      <c r="G101" s="20"/>
      <c r="H101" s="20"/>
      <c r="I101" s="20"/>
      <c r="J101" s="20"/>
      <c r="K101" s="20"/>
      <c r="L101" s="20"/>
      <c r="M101" s="20"/>
      <c r="N101" s="20"/>
      <c r="O101" s="20"/>
      <c r="P101" s="20"/>
      <c r="Q101" s="20"/>
      <c r="R101" s="20"/>
      <c r="S101" s="20"/>
      <c r="T101" s="20"/>
      <c r="U101" s="20"/>
      <c r="V101" s="20"/>
      <c r="W101" s="20"/>
      <c r="X101" s="20"/>
      <c r="Y101" s="20"/>
      <c r="Z101" s="20"/>
    </row>
    <row r="102">
      <c r="A102" s="20"/>
      <c r="B102" s="20"/>
      <c r="C102" s="20"/>
      <c r="D102" s="20"/>
      <c r="E102" s="20"/>
      <c r="F102" s="19"/>
      <c r="G102" s="20"/>
      <c r="H102" s="20"/>
      <c r="I102" s="20"/>
      <c r="J102" s="20"/>
      <c r="K102" s="20"/>
      <c r="L102" s="20"/>
      <c r="M102" s="20"/>
      <c r="N102" s="20"/>
      <c r="O102" s="20"/>
      <c r="P102" s="20"/>
      <c r="Q102" s="20"/>
      <c r="R102" s="20"/>
      <c r="S102" s="20"/>
      <c r="T102" s="20"/>
      <c r="U102" s="20"/>
      <c r="V102" s="20"/>
      <c r="W102" s="20"/>
      <c r="X102" s="20"/>
      <c r="Y102" s="20"/>
      <c r="Z102" s="20"/>
    </row>
    <row r="103">
      <c r="A103" s="20"/>
      <c r="B103" s="20"/>
      <c r="C103" s="20"/>
      <c r="D103" s="20"/>
      <c r="E103" s="20"/>
      <c r="F103" s="19"/>
      <c r="G103" s="20"/>
      <c r="H103" s="20"/>
      <c r="I103" s="20"/>
      <c r="J103" s="20"/>
      <c r="K103" s="20"/>
      <c r="L103" s="20"/>
      <c r="M103" s="20"/>
      <c r="N103" s="20"/>
      <c r="O103" s="20"/>
      <c r="P103" s="20"/>
      <c r="Q103" s="20"/>
      <c r="R103" s="20"/>
      <c r="S103" s="20"/>
      <c r="T103" s="20"/>
      <c r="U103" s="20"/>
      <c r="V103" s="20"/>
      <c r="W103" s="20"/>
      <c r="X103" s="20"/>
      <c r="Y103" s="20"/>
      <c r="Z103" s="20"/>
    </row>
    <row r="104">
      <c r="A104" s="20"/>
      <c r="B104" s="20"/>
      <c r="C104" s="20"/>
      <c r="D104" s="20"/>
      <c r="E104" s="20"/>
      <c r="F104" s="19"/>
      <c r="G104" s="20"/>
      <c r="H104" s="20"/>
      <c r="I104" s="20"/>
      <c r="J104" s="20"/>
      <c r="K104" s="20"/>
      <c r="L104" s="20"/>
      <c r="M104" s="20"/>
      <c r="N104" s="20"/>
      <c r="O104" s="20"/>
      <c r="P104" s="20"/>
      <c r="Q104" s="20"/>
      <c r="R104" s="20"/>
      <c r="S104" s="20"/>
      <c r="T104" s="20"/>
      <c r="U104" s="20"/>
      <c r="V104" s="20"/>
      <c r="W104" s="20"/>
      <c r="X104" s="20"/>
      <c r="Y104" s="20"/>
      <c r="Z104" s="20"/>
    </row>
    <row r="105">
      <c r="A105" s="20"/>
      <c r="B105" s="20"/>
      <c r="C105" s="20"/>
      <c r="D105" s="20"/>
      <c r="E105" s="20"/>
      <c r="F105" s="19"/>
      <c r="G105" s="20"/>
      <c r="H105" s="20"/>
      <c r="I105" s="20"/>
      <c r="J105" s="20"/>
      <c r="K105" s="20"/>
      <c r="L105" s="20"/>
      <c r="M105" s="20"/>
      <c r="N105" s="20"/>
      <c r="O105" s="20"/>
      <c r="P105" s="20"/>
      <c r="Q105" s="20"/>
      <c r="R105" s="20"/>
      <c r="S105" s="20"/>
      <c r="T105" s="20"/>
      <c r="U105" s="20"/>
      <c r="V105" s="20"/>
      <c r="W105" s="20"/>
      <c r="X105" s="20"/>
      <c r="Y105" s="20"/>
      <c r="Z105" s="20"/>
    </row>
    <row r="106">
      <c r="A106" s="20"/>
      <c r="B106" s="20"/>
      <c r="C106" s="20"/>
      <c r="D106" s="20"/>
      <c r="E106" s="20"/>
      <c r="F106" s="19"/>
      <c r="G106" s="20"/>
      <c r="H106" s="20"/>
      <c r="I106" s="20"/>
      <c r="J106" s="20"/>
      <c r="K106" s="20"/>
      <c r="L106" s="20"/>
      <c r="M106" s="20"/>
      <c r="N106" s="20"/>
      <c r="O106" s="20"/>
      <c r="P106" s="20"/>
      <c r="Q106" s="20"/>
      <c r="R106" s="20"/>
      <c r="S106" s="20"/>
      <c r="T106" s="20"/>
      <c r="U106" s="20"/>
      <c r="V106" s="20"/>
      <c r="W106" s="20"/>
      <c r="X106" s="20"/>
      <c r="Y106" s="20"/>
      <c r="Z106" s="20"/>
    </row>
    <row r="107">
      <c r="A107" s="20"/>
      <c r="B107" s="20"/>
      <c r="C107" s="20"/>
      <c r="D107" s="20"/>
      <c r="E107" s="20"/>
      <c r="F107" s="19"/>
      <c r="G107" s="20"/>
      <c r="H107" s="20"/>
      <c r="I107" s="20"/>
      <c r="J107" s="20"/>
      <c r="K107" s="20"/>
      <c r="L107" s="20"/>
      <c r="M107" s="20"/>
      <c r="N107" s="20"/>
      <c r="O107" s="20"/>
      <c r="P107" s="20"/>
      <c r="Q107" s="20"/>
      <c r="R107" s="20"/>
      <c r="S107" s="20"/>
      <c r="T107" s="20"/>
      <c r="U107" s="20"/>
      <c r="V107" s="20"/>
      <c r="W107" s="20"/>
      <c r="X107" s="20"/>
      <c r="Y107" s="20"/>
      <c r="Z107" s="20"/>
    </row>
    <row r="108">
      <c r="A108" s="20"/>
      <c r="B108" s="20"/>
      <c r="C108" s="20"/>
      <c r="D108" s="20"/>
      <c r="E108" s="20"/>
      <c r="F108" s="19"/>
      <c r="G108" s="20"/>
      <c r="H108" s="20"/>
      <c r="I108" s="20"/>
      <c r="J108" s="20"/>
      <c r="K108" s="20"/>
      <c r="L108" s="20"/>
      <c r="M108" s="20"/>
      <c r="N108" s="20"/>
      <c r="O108" s="20"/>
      <c r="P108" s="20"/>
      <c r="Q108" s="20"/>
      <c r="R108" s="20"/>
      <c r="S108" s="20"/>
      <c r="T108" s="20"/>
      <c r="U108" s="20"/>
      <c r="V108" s="20"/>
      <c r="W108" s="20"/>
      <c r="X108" s="20"/>
      <c r="Y108" s="20"/>
      <c r="Z108" s="20"/>
    </row>
    <row r="109">
      <c r="A109" s="20"/>
      <c r="B109" s="20"/>
      <c r="C109" s="20"/>
      <c r="D109" s="20"/>
      <c r="E109" s="20"/>
      <c r="F109" s="13"/>
      <c r="G109" s="20"/>
      <c r="H109" s="20"/>
      <c r="I109" s="20"/>
      <c r="J109" s="20"/>
      <c r="K109" s="20"/>
      <c r="L109" s="20"/>
      <c r="M109" s="20"/>
      <c r="N109" s="20"/>
      <c r="O109" s="20"/>
      <c r="P109" s="20"/>
      <c r="Q109" s="20"/>
      <c r="R109" s="20"/>
      <c r="S109" s="20"/>
      <c r="T109" s="20"/>
      <c r="U109" s="20"/>
      <c r="V109" s="20"/>
      <c r="W109" s="20"/>
      <c r="X109" s="20"/>
      <c r="Y109" s="20"/>
      <c r="Z109" s="20"/>
    </row>
    <row r="110">
      <c r="A110" s="20"/>
      <c r="B110" s="20"/>
      <c r="C110" s="20"/>
      <c r="D110" s="20"/>
      <c r="E110" s="20"/>
      <c r="F110" s="13"/>
      <c r="G110" s="20"/>
      <c r="H110" s="20"/>
      <c r="I110" s="20"/>
      <c r="J110" s="20"/>
      <c r="K110" s="20"/>
      <c r="L110" s="20"/>
      <c r="M110" s="20"/>
      <c r="N110" s="20"/>
      <c r="O110" s="20"/>
      <c r="P110" s="20"/>
      <c r="Q110" s="20"/>
      <c r="R110" s="20"/>
      <c r="S110" s="20"/>
      <c r="T110" s="20"/>
      <c r="U110" s="20"/>
      <c r="V110" s="20"/>
      <c r="W110" s="20"/>
      <c r="X110" s="20"/>
      <c r="Y110" s="20"/>
      <c r="Z110" s="20"/>
    </row>
    <row r="111">
      <c r="A111" s="20"/>
      <c r="B111" s="20"/>
      <c r="C111" s="20"/>
      <c r="D111" s="20"/>
      <c r="E111" s="20"/>
      <c r="F111" s="19"/>
      <c r="G111" s="20"/>
      <c r="H111" s="20"/>
      <c r="I111" s="20"/>
      <c r="J111" s="20"/>
      <c r="K111" s="20"/>
      <c r="L111" s="20"/>
      <c r="M111" s="20"/>
      <c r="N111" s="20"/>
      <c r="O111" s="20"/>
      <c r="P111" s="20"/>
      <c r="Q111" s="20"/>
      <c r="R111" s="20"/>
      <c r="S111" s="20"/>
      <c r="T111" s="20"/>
      <c r="U111" s="20"/>
      <c r="V111" s="20"/>
      <c r="W111" s="20"/>
      <c r="X111" s="20"/>
      <c r="Y111" s="20"/>
      <c r="Z111" s="20"/>
    </row>
    <row r="11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c r="A113" s="20"/>
      <c r="B113" s="20"/>
      <c r="C113" s="20"/>
      <c r="D113" s="20"/>
      <c r="E113" s="20"/>
      <c r="F113" s="19"/>
      <c r="G113" s="20"/>
      <c r="H113" s="20"/>
      <c r="I113" s="20"/>
      <c r="J113" s="20"/>
      <c r="K113" s="20"/>
      <c r="L113" s="20"/>
      <c r="M113" s="20"/>
      <c r="N113" s="20"/>
      <c r="O113" s="20"/>
      <c r="P113" s="20"/>
      <c r="Q113" s="20"/>
      <c r="R113" s="20"/>
      <c r="S113" s="20"/>
      <c r="T113" s="20"/>
      <c r="U113" s="20"/>
      <c r="V113" s="20"/>
      <c r="W113" s="20"/>
      <c r="X113" s="20"/>
      <c r="Y113" s="20"/>
      <c r="Z113" s="20"/>
    </row>
    <row r="114">
      <c r="A114" s="20"/>
      <c r="B114" s="20"/>
      <c r="C114" s="20"/>
      <c r="D114" s="20"/>
      <c r="E114" s="20"/>
      <c r="F114" s="19"/>
      <c r="G114" s="20"/>
      <c r="H114" s="20"/>
      <c r="I114" s="20"/>
      <c r="J114" s="20"/>
      <c r="K114" s="20"/>
      <c r="L114" s="20"/>
      <c r="M114" s="20"/>
      <c r="N114" s="20"/>
      <c r="O114" s="20"/>
      <c r="P114" s="20"/>
      <c r="Q114" s="20"/>
      <c r="R114" s="20"/>
      <c r="S114" s="20"/>
      <c r="T114" s="20"/>
      <c r="U114" s="20"/>
      <c r="V114" s="20"/>
      <c r="W114" s="20"/>
      <c r="X114" s="20"/>
      <c r="Y114" s="20"/>
      <c r="Z114" s="20"/>
    </row>
    <row r="115">
      <c r="A115" s="20"/>
      <c r="B115" s="20"/>
      <c r="C115" s="20"/>
      <c r="D115" s="20"/>
      <c r="E115" s="20"/>
      <c r="F115" s="19"/>
      <c r="G115" s="20"/>
      <c r="H115" s="20"/>
      <c r="I115" s="20"/>
      <c r="J115" s="20"/>
      <c r="K115" s="20"/>
      <c r="L115" s="20"/>
      <c r="M115" s="20"/>
      <c r="N115" s="20"/>
      <c r="O115" s="20"/>
      <c r="P115" s="20"/>
      <c r="Q115" s="20"/>
      <c r="R115" s="20"/>
      <c r="S115" s="20"/>
      <c r="T115" s="20"/>
      <c r="U115" s="20"/>
      <c r="V115" s="20"/>
      <c r="W115" s="20"/>
      <c r="X115" s="20"/>
      <c r="Y115" s="20"/>
      <c r="Z115" s="20"/>
    </row>
    <row r="116">
      <c r="A116" s="20"/>
      <c r="B116" s="20"/>
      <c r="C116" s="20"/>
      <c r="D116" s="20"/>
      <c r="E116" s="20"/>
      <c r="F116" s="19"/>
      <c r="G116" s="20"/>
      <c r="H116" s="20"/>
      <c r="I116" s="20"/>
      <c r="J116" s="20"/>
      <c r="K116" s="20"/>
      <c r="L116" s="20"/>
      <c r="M116" s="20"/>
      <c r="N116" s="20"/>
      <c r="O116" s="20"/>
      <c r="P116" s="20"/>
      <c r="Q116" s="20"/>
      <c r="R116" s="20"/>
      <c r="S116" s="20"/>
      <c r="T116" s="20"/>
      <c r="U116" s="20"/>
      <c r="V116" s="20"/>
      <c r="W116" s="20"/>
      <c r="X116" s="20"/>
      <c r="Y116" s="20"/>
      <c r="Z116" s="20"/>
    </row>
    <row r="117">
      <c r="A117" s="20"/>
      <c r="B117" s="20"/>
      <c r="C117" s="20"/>
      <c r="D117" s="20"/>
      <c r="E117" s="20"/>
      <c r="F117" s="19"/>
      <c r="G117" s="20"/>
      <c r="H117" s="20"/>
      <c r="I117" s="20"/>
      <c r="J117" s="20"/>
      <c r="K117" s="20"/>
      <c r="L117" s="20"/>
      <c r="M117" s="20"/>
      <c r="N117" s="20"/>
      <c r="O117" s="20"/>
      <c r="P117" s="20"/>
      <c r="Q117" s="20"/>
      <c r="R117" s="20"/>
      <c r="S117" s="20"/>
      <c r="T117" s="20"/>
      <c r="U117" s="20"/>
      <c r="V117" s="20"/>
      <c r="W117" s="20"/>
      <c r="X117" s="20"/>
      <c r="Y117" s="20"/>
      <c r="Z117" s="20"/>
    </row>
    <row r="118">
      <c r="A118" s="20"/>
      <c r="B118" s="20"/>
      <c r="C118" s="20"/>
      <c r="D118" s="20"/>
      <c r="E118" s="20"/>
      <c r="F118" s="19"/>
      <c r="G118" s="20"/>
      <c r="H118" s="20"/>
      <c r="I118" s="20"/>
      <c r="J118" s="20"/>
      <c r="K118" s="20"/>
      <c r="L118" s="20"/>
      <c r="M118" s="20"/>
      <c r="N118" s="20"/>
      <c r="O118" s="20"/>
      <c r="P118" s="20"/>
      <c r="Q118" s="20"/>
      <c r="R118" s="20"/>
      <c r="S118" s="20"/>
      <c r="T118" s="20"/>
      <c r="U118" s="20"/>
      <c r="V118" s="20"/>
      <c r="W118" s="20"/>
      <c r="X118" s="20"/>
      <c r="Y118" s="20"/>
      <c r="Z118" s="20"/>
    </row>
    <row r="119">
      <c r="A119" s="20"/>
      <c r="B119" s="20"/>
      <c r="C119" s="20"/>
      <c r="D119" s="20"/>
      <c r="E119" s="20"/>
      <c r="F119" s="19"/>
      <c r="G119" s="20"/>
      <c r="H119" s="20"/>
      <c r="I119" s="20"/>
      <c r="J119" s="20"/>
      <c r="K119" s="20"/>
      <c r="L119" s="20"/>
      <c r="M119" s="20"/>
      <c r="N119" s="20"/>
      <c r="O119" s="20"/>
      <c r="P119" s="20"/>
      <c r="Q119" s="20"/>
      <c r="R119" s="20"/>
      <c r="S119" s="20"/>
      <c r="T119" s="20"/>
      <c r="U119" s="20"/>
      <c r="V119" s="20"/>
      <c r="W119" s="20"/>
      <c r="X119" s="20"/>
      <c r="Y119" s="20"/>
      <c r="Z119" s="20"/>
    </row>
    <row r="120">
      <c r="A120" s="20"/>
      <c r="B120" s="20"/>
      <c r="C120" s="20"/>
      <c r="D120" s="20"/>
      <c r="E120" s="20"/>
      <c r="F120" s="19"/>
      <c r="G120" s="20"/>
      <c r="H120" s="20"/>
      <c r="I120" s="20"/>
      <c r="J120" s="20"/>
      <c r="K120" s="20"/>
      <c r="L120" s="20"/>
      <c r="M120" s="20"/>
      <c r="N120" s="20"/>
      <c r="O120" s="20"/>
      <c r="P120" s="20"/>
      <c r="Q120" s="20"/>
      <c r="R120" s="20"/>
      <c r="S120" s="20"/>
      <c r="T120" s="20"/>
      <c r="U120" s="20"/>
      <c r="V120" s="20"/>
      <c r="W120" s="20"/>
      <c r="X120" s="20"/>
      <c r="Y120" s="20"/>
      <c r="Z120" s="20"/>
    </row>
    <row r="121">
      <c r="A121" s="20"/>
      <c r="B121" s="20"/>
      <c r="C121" s="20"/>
      <c r="D121" s="20"/>
      <c r="E121" s="20"/>
      <c r="F121" s="19"/>
      <c r="G121" s="20"/>
      <c r="H121" s="20"/>
      <c r="I121" s="20"/>
      <c r="J121" s="20"/>
      <c r="K121" s="20"/>
      <c r="L121" s="20"/>
      <c r="M121" s="20"/>
      <c r="N121" s="20"/>
      <c r="O121" s="20"/>
      <c r="P121" s="20"/>
      <c r="Q121" s="20"/>
      <c r="R121" s="20"/>
      <c r="S121" s="20"/>
      <c r="T121" s="20"/>
      <c r="U121" s="20"/>
      <c r="V121" s="20"/>
      <c r="W121" s="20"/>
      <c r="X121" s="20"/>
      <c r="Y121" s="20"/>
      <c r="Z121" s="20"/>
    </row>
    <row r="122">
      <c r="A122" s="20"/>
      <c r="B122" s="20"/>
      <c r="C122" s="20"/>
      <c r="D122" s="20"/>
      <c r="E122" s="20"/>
      <c r="F122" s="19"/>
      <c r="G122" s="20"/>
      <c r="H122" s="20"/>
      <c r="I122" s="20"/>
      <c r="J122" s="20"/>
      <c r="K122" s="20"/>
      <c r="L122" s="20"/>
      <c r="M122" s="20"/>
      <c r="N122" s="20"/>
      <c r="O122" s="20"/>
      <c r="P122" s="20"/>
      <c r="Q122" s="20"/>
      <c r="R122" s="20"/>
      <c r="S122" s="20"/>
      <c r="T122" s="20"/>
      <c r="U122" s="20"/>
      <c r="V122" s="20"/>
      <c r="W122" s="20"/>
      <c r="X122" s="20"/>
      <c r="Y122" s="20"/>
      <c r="Z122" s="20"/>
    </row>
    <row r="123">
      <c r="A123" s="20"/>
      <c r="B123" s="20"/>
      <c r="C123" s="20"/>
      <c r="D123" s="20"/>
      <c r="E123" s="20"/>
      <c r="F123" s="19"/>
      <c r="G123" s="20"/>
      <c r="H123" s="20"/>
      <c r="I123" s="20"/>
      <c r="J123" s="20"/>
      <c r="K123" s="20"/>
      <c r="L123" s="20"/>
      <c r="M123" s="20"/>
      <c r="N123" s="20"/>
      <c r="O123" s="20"/>
      <c r="P123" s="20"/>
      <c r="Q123" s="20"/>
      <c r="R123" s="20"/>
      <c r="S123" s="20"/>
      <c r="T123" s="20"/>
      <c r="U123" s="20"/>
      <c r="V123" s="20"/>
      <c r="W123" s="20"/>
      <c r="X123" s="20"/>
      <c r="Y123" s="20"/>
      <c r="Z123" s="20"/>
    </row>
    <row r="124">
      <c r="A124" s="20"/>
      <c r="B124" s="20"/>
      <c r="C124" s="20"/>
      <c r="D124" s="20"/>
      <c r="E124" s="20"/>
      <c r="F124" s="19"/>
      <c r="G124" s="20"/>
      <c r="H124" s="20"/>
      <c r="I124" s="20"/>
      <c r="J124" s="20"/>
      <c r="K124" s="20"/>
      <c r="L124" s="20"/>
      <c r="M124" s="20"/>
      <c r="N124" s="20"/>
      <c r="O124" s="20"/>
      <c r="P124" s="20"/>
      <c r="Q124" s="20"/>
      <c r="R124" s="20"/>
      <c r="S124" s="20"/>
      <c r="T124" s="20"/>
      <c r="U124" s="20"/>
      <c r="V124" s="20"/>
      <c r="W124" s="20"/>
      <c r="X124" s="20"/>
      <c r="Y124" s="20"/>
      <c r="Z124" s="20"/>
    </row>
    <row r="125">
      <c r="A125" s="20"/>
      <c r="B125" s="20"/>
      <c r="C125" s="20"/>
      <c r="D125" s="20"/>
      <c r="E125" s="20"/>
      <c r="F125" s="19"/>
      <c r="G125" s="20"/>
      <c r="H125" s="20"/>
      <c r="I125" s="20"/>
      <c r="J125" s="20"/>
      <c r="K125" s="20"/>
      <c r="L125" s="20"/>
      <c r="M125" s="20"/>
      <c r="N125" s="20"/>
      <c r="O125" s="20"/>
      <c r="P125" s="20"/>
      <c r="Q125" s="20"/>
      <c r="R125" s="20"/>
      <c r="S125" s="20"/>
      <c r="T125" s="20"/>
      <c r="U125" s="20"/>
      <c r="V125" s="20"/>
      <c r="W125" s="20"/>
      <c r="X125" s="20"/>
      <c r="Y125" s="20"/>
      <c r="Z125" s="20"/>
    </row>
    <row r="126">
      <c r="A126" s="20"/>
      <c r="B126" s="20"/>
      <c r="C126" s="20"/>
      <c r="D126" s="20"/>
      <c r="E126" s="20"/>
      <c r="F126" s="19"/>
      <c r="G126" s="20"/>
      <c r="H126" s="20"/>
      <c r="I126" s="20"/>
      <c r="J126" s="20"/>
      <c r="K126" s="20"/>
      <c r="L126" s="20"/>
      <c r="M126" s="20"/>
      <c r="N126" s="20"/>
      <c r="O126" s="20"/>
      <c r="P126" s="20"/>
      <c r="Q126" s="20"/>
      <c r="R126" s="20"/>
      <c r="S126" s="20"/>
      <c r="T126" s="20"/>
      <c r="U126" s="20"/>
      <c r="V126" s="20"/>
      <c r="W126" s="20"/>
      <c r="X126" s="20"/>
      <c r="Y126" s="20"/>
      <c r="Z126" s="20"/>
    </row>
    <row r="127">
      <c r="A127" s="20"/>
      <c r="B127" s="20"/>
      <c r="C127" s="20"/>
      <c r="D127" s="20"/>
      <c r="E127" s="20"/>
      <c r="F127" s="19"/>
      <c r="G127" s="20"/>
      <c r="H127" s="20"/>
      <c r="I127" s="20"/>
      <c r="J127" s="20"/>
      <c r="K127" s="20"/>
      <c r="L127" s="20"/>
      <c r="M127" s="20"/>
      <c r="N127" s="20"/>
      <c r="O127" s="20"/>
      <c r="P127" s="20"/>
      <c r="Q127" s="20"/>
      <c r="R127" s="20"/>
      <c r="S127" s="20"/>
      <c r="T127" s="20"/>
      <c r="U127" s="20"/>
      <c r="V127" s="20"/>
      <c r="W127" s="20"/>
      <c r="X127" s="20"/>
      <c r="Y127" s="20"/>
      <c r="Z127" s="20"/>
    </row>
    <row r="128">
      <c r="A128" s="20"/>
      <c r="B128" s="20"/>
      <c r="C128" s="20"/>
      <c r="D128" s="20"/>
      <c r="E128" s="20"/>
      <c r="F128" s="19"/>
      <c r="G128" s="20"/>
      <c r="H128" s="20"/>
      <c r="I128" s="20"/>
      <c r="J128" s="20"/>
      <c r="K128" s="20"/>
      <c r="L128" s="20"/>
      <c r="M128" s="20"/>
      <c r="N128" s="20"/>
      <c r="O128" s="20"/>
      <c r="P128" s="20"/>
      <c r="Q128" s="20"/>
      <c r="R128" s="20"/>
      <c r="S128" s="20"/>
      <c r="T128" s="20"/>
      <c r="U128" s="20"/>
      <c r="V128" s="20"/>
      <c r="W128" s="20"/>
      <c r="X128" s="20"/>
      <c r="Y128" s="20"/>
      <c r="Z128" s="20"/>
    </row>
    <row r="129">
      <c r="A129" s="20"/>
      <c r="B129" s="20"/>
      <c r="C129" s="20"/>
      <c r="D129" s="20"/>
      <c r="E129" s="20"/>
      <c r="F129" s="19"/>
      <c r="G129" s="20"/>
      <c r="H129" s="20"/>
      <c r="I129" s="20"/>
      <c r="J129" s="20"/>
      <c r="K129" s="20"/>
      <c r="L129" s="20"/>
      <c r="M129" s="20"/>
      <c r="N129" s="20"/>
      <c r="O129" s="20"/>
      <c r="P129" s="20"/>
      <c r="Q129" s="20"/>
      <c r="R129" s="20"/>
      <c r="S129" s="20"/>
      <c r="T129" s="20"/>
      <c r="U129" s="20"/>
      <c r="V129" s="20"/>
      <c r="W129" s="20"/>
      <c r="X129" s="20"/>
      <c r="Y129" s="20"/>
      <c r="Z129" s="20"/>
    </row>
    <row r="130">
      <c r="A130" s="20"/>
      <c r="B130" s="20"/>
      <c r="C130" s="20"/>
      <c r="D130" s="20"/>
      <c r="E130" s="20"/>
      <c r="F130" s="19"/>
      <c r="G130" s="20"/>
      <c r="H130" s="20"/>
      <c r="I130" s="20"/>
      <c r="J130" s="20"/>
      <c r="K130" s="20"/>
      <c r="L130" s="20"/>
      <c r="M130" s="20"/>
      <c r="N130" s="20"/>
      <c r="O130" s="20"/>
      <c r="P130" s="20"/>
      <c r="Q130" s="20"/>
      <c r="R130" s="20"/>
      <c r="S130" s="20"/>
      <c r="T130" s="20"/>
      <c r="U130" s="20"/>
      <c r="V130" s="20"/>
      <c r="W130" s="20"/>
      <c r="X130" s="20"/>
      <c r="Y130" s="20"/>
      <c r="Z130" s="20"/>
    </row>
    <row r="131">
      <c r="A131" s="20"/>
      <c r="B131" s="20"/>
      <c r="C131" s="20"/>
      <c r="D131" s="20"/>
      <c r="E131" s="20"/>
      <c r="F131" s="19"/>
      <c r="G131" s="20"/>
      <c r="H131" s="20"/>
      <c r="I131" s="20"/>
      <c r="J131" s="20"/>
      <c r="K131" s="20"/>
      <c r="L131" s="20"/>
      <c r="M131" s="20"/>
      <c r="N131" s="20"/>
      <c r="O131" s="20"/>
      <c r="P131" s="20"/>
      <c r="Q131" s="20"/>
      <c r="R131" s="20"/>
      <c r="S131" s="20"/>
      <c r="T131" s="20"/>
      <c r="U131" s="20"/>
      <c r="V131" s="20"/>
      <c r="W131" s="20"/>
      <c r="X131" s="20"/>
      <c r="Y131" s="20"/>
      <c r="Z131" s="20"/>
    </row>
    <row r="13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sheetData>
  <drawing r:id="rId1"/>
</worksheet>
</file>