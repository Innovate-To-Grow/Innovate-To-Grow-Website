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1-01-Spring-I2G-WEB" sheetId="1" r:id="rId5"/>
    <sheet state="visible" name="student names test" sheetId="2" r:id="rId6"/>
    <sheet state="visible" name="2021-01-Spring-I2G-WEB-Testing" sheetId="3" r:id="rId7"/>
  </sheets>
  <definedNames/>
  <calcPr/>
</workbook>
</file>

<file path=xl/sharedStrings.xml><?xml version="1.0" encoding="utf-8"?>
<sst xmlns="http://schemas.openxmlformats.org/spreadsheetml/2006/main" count="1097" uniqueCount="526">
  <si>
    <t>Track</t>
  </si>
  <si>
    <t>Year-Semester</t>
  </si>
  <si>
    <t>Class</t>
  </si>
  <si>
    <t>Team#</t>
  </si>
  <si>
    <t>Team Name</t>
  </si>
  <si>
    <t>Project Title</t>
  </si>
  <si>
    <t>Organization</t>
  </si>
  <si>
    <t>Industry</t>
  </si>
  <si>
    <t>Abstract</t>
  </si>
  <si>
    <t>Student Names</t>
  </si>
  <si>
    <t>Buttons</t>
  </si>
  <si>
    <t>Schedule</t>
  </si>
  <si>
    <t>Name:  Title</t>
  </si>
  <si>
    <t>2021-01-Spring-CAP</t>
  </si>
  <si>
    <t>CAP</t>
  </si>
  <si>
    <t>CAP01</t>
  </si>
  <si>
    <t>Windrow</t>
  </si>
  <si>
    <t>Automated Compost Turner</t>
  </si>
  <si>
    <t>Merced College Ag Operations</t>
  </si>
  <si>
    <t>Agriculture</t>
  </si>
  <si>
    <t>The Department of Agriculture Operations at Merced College has taken notice of organic waste being sent to the landfills throughout the Merced community. With no access to a compact compost turner, the department currently has little ways of recycling this organic waste. The Windrow Capstone team at UC Merced has come together to provide the design of a transportable automated compost turner that will limit this waste. The design replicates similar industrial type windrow compost turners but at approximately 40% more compact than typical turners. With a U shape chassis, a motor powered auger, and watering system, our design achieves autonomous irrigation and auger speed control through the use of an Arduino sensor system to provide quality compost with less human interactions. Through extensive stress analysis on the system and sensor data collection, the Windrow Capstone team produced a design for a compact automated compost turner for Agriculture Operations at Merced College.</t>
  </si>
  <si>
    <t>Lucas Lopez, Rafael Rodriguez, Valentin Marquez, Natalie Cardona, Lucio Moreno</t>
  </si>
  <si>
    <t>&lt;input type="button" style="width:35px;
height:35px; color: #E5E5E5; background-color: #002856" onmouseover="this.style.color='#DAA900'" onmouseout="this.style.color='#E5E5E5'" value=&amp;#8681&gt;</t>
  </si>
  <si>
    <t>Team: Windrow  -  Project: Automated Compost Turner</t>
  </si>
  <si>
    <t>CAP02</t>
  </si>
  <si>
    <t>Tomato Recovery Team</t>
  </si>
  <si>
    <t>Capturing Tomatoes from Rock Removal System</t>
  </si>
  <si>
    <t>The Morning Star Company</t>
  </si>
  <si>
    <t>Food Processing</t>
  </si>
  <si>
    <t>In the process of separating Material-Other-than-Tomato, primarily rocks, from tomato loads there were plenty of good tomatoes being filtered into the disposal belt, causing a loss in profit in tomato production. A new tank filtration system was designed to serve as a secondary filtering phase to conserve most of the tomatoes that are brought in from the farmers. The new device serves to bring the tomatoes afloat and rocks to sink using water flow and belts to carry each to its separate destinations.</t>
  </si>
  <si>
    <t>Alfredo Solis, Jesus Padilla, Simon Vergara, Anthony Mongan Sulak, Salvador Lopez</t>
  </si>
  <si>
    <t>Team: Tomato Recovery Team  -  Project: Capturing Tomatoes from Rock Removal System</t>
  </si>
  <si>
    <t>CAP03</t>
  </si>
  <si>
    <t>Tomato Feeder MOT Removal</t>
  </si>
  <si>
    <t>Removing Sand and Silt from Tomato Flume</t>
  </si>
  <si>
    <t>We designed a concept for the Morning Star Company to assist in the removal of rocks, sediment, heavy materials, and material other than tomatoes (MOT). The current entry point of the flume system has issues causing buildups and stoppages which disrupts production and adds to the loss of tomatoes. Our team has a design consisting of a slight flume reconstruction, as well as including a paddle-drag chain, and a conveyor belt system. This design is expected to maximize the removal of MOT which will improve production.</t>
  </si>
  <si>
    <t>Thani Nuru, Valerie Barron, Sarah Pagano, Miranda Thomas, Lizet Ortega</t>
  </si>
  <si>
    <t>Team: Tomato Feeder MOT Removal  -  Project: Removing Sand and Silt from Tomato Flume</t>
  </si>
  <si>
    <t>CAP04</t>
  </si>
  <si>
    <t>MOT Busters</t>
  </si>
  <si>
    <t>Removing Light Materials-Other-Than-Tomatoes (MOT) from the Tomato Flume Transport System</t>
  </si>
  <si>
    <t>In addition to tomatoes, harvesters will pick up other materials including remnants of previous crops such as cotton stalks, volunteer melons and others. Tomato vines also are a common but unwelcome presence in tomato loads. Morning Star has a number of systems in place to remove these materials, but wanted to improve and innovate the removal of the lighter-density materials such as cotton stalks, wood, corn cobs, melons, and tomato vines. Our solution to this problem is a rotating drum with extending and retracting rods that pick up and dispose of higher buoyancy MOT’s to the reject channel.</t>
  </si>
  <si>
    <t>Ethan Chua, Julio Vazquez, Josue Nieto, Denise Rosas, Nicholas Carreon</t>
  </si>
  <si>
    <t>Team: MOT Busters  -  Project: Removing Light Materials-Other-Than-Tomatoes (MOT) from the Tomato Flume Transport System</t>
  </si>
  <si>
    <t>CAP05</t>
  </si>
  <si>
    <t>Tomato-Tomato</t>
  </si>
  <si>
    <t>Reducing Finisher Screen Damage by Better Preparation of Tomato Pulp</t>
  </si>
  <si>
    <t>During the tomato pulping process, there has been significant damage to the finisher devices, specifically the finisher screens, creating a high cost for replacing screens as reported by the client, The Morningstar Company. Material other than tomato (MOT) such as tomato vines, cotton stock, drip tape and rocks are found in the flume with the tomatoes and the finishers causing damage. A device was designed by our team to efficiently  reduce the amount of damage by reducing the amount of MOT in the finisher, more specifically, cotton stocks. The design of the device efficiently removes the cotton stocks from the flume and disposes of it without obstructing the flow of tomatoes or getting rid of them. By removing the cotton stocks, the most abundant MOT, it allows for reduction in finisher screen damage resulting in a decrease of finisher screen expenses.</t>
  </si>
  <si>
    <t>William Perez, Juan Gomez, Luis Avalos, Caleb Young, Efren Rodriguez</t>
  </si>
  <si>
    <t>Team: Tomato-Tomato  -  Project: Reducing Finisher Screen Damage by Better Preparation of Tomato Pulp</t>
  </si>
  <si>
    <t>CAP06</t>
  </si>
  <si>
    <t>Tomato Town Droppers</t>
  </si>
  <si>
    <t>Tomato Harvester Self-Cleaning Kit</t>
  </si>
  <si>
    <t>We present an automated air system for the Morning Star Company that is designed to be integrated on a harvester to clean and disinfect. During operation, the harvester gets covered with dirt build up that needs to get removed. The device aims to improve product lifetime, cleaning efficiency, and reduce the spread of pathogens. The integrated design of the system will release automated bursts of air when in use this will be followed by a coverage of a diluted Clorox-water solution that will sanitize the surface in contact. A series of tests performed on nozzles showcases which nozzle provides the highest dirt removal efficiency.</t>
  </si>
  <si>
    <t>Marco Medina, Kevin Lemus, Harinder Sidhu, Kyle Earle, Noe Ayala</t>
  </si>
  <si>
    <t>Team: Tomato Town Droppers  -  Project: Tomato Harvester Self-Cleaning Kit</t>
  </si>
  <si>
    <t>CAP07</t>
  </si>
  <si>
    <t>Pomodoro Salato</t>
  </si>
  <si>
    <t>Controlling Sodium Levels in Topping Juice</t>
  </si>
  <si>
    <t>The team worked on this project for The Morning Star Company, the world’s largest production scale operation solely dedicated to tomatoes.  The Morning Star operates out of three factories which processes over 40% of national markets tomato products.  We were tasked with reviewing and analyzing the current byproduct recovery process which yields an undesirable salty tomato topping juice. This salinated yield is caused by caustic peelers and processing of tomatoes which impacts the quality of the product. Our team needed to find an alternative method to control the salinity of the topping juice and this method would take into consideration the function of controlling these salt/sodium levels.  The solution our group decided on utilizing two methods of filtration to process the tomato juice It was important that the solution was more cost effective than the established recovery process.</t>
  </si>
  <si>
    <t>Noel Fernandez, Xyre Windelle Quijana, Olatunbosun Durojaiye, Jeremiah Tower, Akasha Ashraf</t>
  </si>
  <si>
    <t>Team: Pomodoro Salato  -  Project: Controlling Sodium Levels in Topping Juice</t>
  </si>
  <si>
    <t>CAP08</t>
  </si>
  <si>
    <t>Team Roast</t>
  </si>
  <si>
    <t>Small Scale Vegetable Roasting</t>
  </si>
  <si>
    <t>Sensient Natural Ingredients</t>
  </si>
  <si>
    <t>Sensient Natural Ingredients (SNI), a major supplier of dehydrated onion, garlic and vegetables to the food industry, utilizes large-scale, commercial dryers for its high-volume manufacturing operations. SNI’s product offerings include roasted vegetables which, at present, require the inefficient interruption and adjustment of the high-capacity lines for this added process. The Project Capstone Team at UC Merced designed a small-scale roasting unit able to produce a range of through-put volumes without the need to interrupt the high-capacity line, for SNI’s consideration. The design consisted of a rectangular frame with centrifugal fans facing the belt’s surface, installed at center. Resistive heat coils were utilized to allow for variable temperature control, an adjustable conveyor belt to accommodate varying line speeds and product depths, and centrifugal fans with adjustable CFM and RPM. The resistive coils, placed bilaterally, achieved uniform convection heating. Based on extensive thermal analysis, the Capstone Team concluded that the arrangement of components achieves uniform and efficient heating cycles.</t>
  </si>
  <si>
    <t>Deniz Akpinaroglu, Christian Ulloa, Syndee Villa, Sandra Chacon, Skye Rummer</t>
  </si>
  <si>
    <t>Team: Team Roast  -  Project: Small Scale Vegetable Roasting</t>
  </si>
  <si>
    <t>CAP09</t>
  </si>
  <si>
    <t>Getting a Grip</t>
  </si>
  <si>
    <t>Agriculture Grasping</t>
  </si>
  <si>
    <t>Milano Technical Group</t>
  </si>
  <si>
    <t>We are working with Milano Technical Group, a company which designs solutions to agricultural engineering problems. Our project with Milano Technical Group is to design an end effector which will interface with Milano technical Group’s Cartesian Robot System. Our end effector is designed to be a grasping device which assists with the packaging of clamshells of fruit by efficiently scooping them off of the delivery conveyor belt and dropping them into boxes for shipping. The end effector will use a sonar sensor in order to detect packages. When packages are detected the end effector will signal the Cartesian Robot System to move to the dropoff zone and release the package. The end effector will engage and dis-engage by an actuated rotation of the end effector prongs. After the package is released the Cartesian Robot System will be signaled to move back to the conveyor belt.</t>
  </si>
  <si>
    <t>Richard Dominguez, Joseph Bello, Julissa Aviles-Aleman, ian Scott, Renee Helfert</t>
  </si>
  <si>
    <t>Team: Getting a Grip  -  Project: Agriculture Grasping</t>
  </si>
  <si>
    <t>CAP10</t>
  </si>
  <si>
    <t>Simple Made Difficult</t>
  </si>
  <si>
    <t>Vehicle Door Open/Closing Test Device</t>
  </si>
  <si>
    <t>Waymo</t>
  </si>
  <si>
    <t>Transportation</t>
  </si>
  <si>
    <t>Waymo is a self-driving technology company with a mission to make it safe and easy for people and things to get where they’re going. Waymo uses various sensors throughout the vehicle that need to be tested to ensure safety and reliability for the lifetime of the vehicle. We built a  prototype system that can perform long-term shock and vibration testing of the sensors mounted on the truck by repeatedly opening and closing the trunk. The test device uses a  winch system powered by brushless motors with position, velocity, and torque feedback control.  The electronics interfaces with a laptop where technicians can input parameters for the test sequence.</t>
  </si>
  <si>
    <t>Alexander Figueroa, Carlos Montano, Eric Preciado, Kiran Raj, Andy Ngo</t>
  </si>
  <si>
    <t>Team: Simple Made Difficult  -  Project: Vehicle Door Open/Closing Test Device</t>
  </si>
  <si>
    <t>CAP11</t>
  </si>
  <si>
    <t>Squirrel'd Away</t>
  </si>
  <si>
    <t>Down the Squirrel Hole</t>
  </si>
  <si>
    <t>Merced City College (MCC) has a squirrel infestation problem that is causing significant damages to the crop production and livestock health. This infestation has led to an estimated $180,000 annual loss due to their presence. Our team analyzed and tested the viability of a peppermint oil-based deterrent spray to determine its safety and effectiveness for future utilization at this location. Our Environmental Impact Assessment (EIA) includes a thorough analysis of the standard conditions on the farm along with the potential interactions of the deterrent spray with the existing flora and fauna that inhabit this area with detailed testing procedures and preliminary testing results.</t>
  </si>
  <si>
    <t>Josue De Simon, Nayeli Basulto, Matthew Deeming, Steven Arreola</t>
  </si>
  <si>
    <t>Team: Squirrel'd Away  -  Project: Down the Squirrel Hole</t>
  </si>
  <si>
    <t>CAP12</t>
  </si>
  <si>
    <t>Patient Assistant Logger</t>
  </si>
  <si>
    <t>Patient logger reporting</t>
  </si>
  <si>
    <t>Fresno Institute of Neuroscience</t>
  </si>
  <si>
    <t>Health Care</t>
  </si>
  <si>
    <t>The Fresno Institute of Neuroscience helps patients of a variety of different backgrounds suffering from neurological disorders. In order to assist in diagnosing and treating patients, we created a sensor and patient logging device that can record the patient's position, environment, and pain experience. We utilized pre-existing sensor modules and Arduino components to create two devices with custom housing, one for the positional/environmental data, and one for the patient’s pain experience. Both devices are capable of collecting data over a set period of time (up to 72 hours), recorded on a microSD card for exportation. When the data is collected, it is analyzed through examining the trends within it, making correlations between both devices’ data.</t>
  </si>
  <si>
    <t>Truman Chan, Karen Badajoz, Karim Nava, Peter Stein, John Tello</t>
  </si>
  <si>
    <t>Team: Patient Assistant Logger  -  Project: Patient logger reporting</t>
  </si>
  <si>
    <t>CAP13</t>
  </si>
  <si>
    <t>Cow Bound</t>
  </si>
  <si>
    <t>Virtual Livestock Fence</t>
  </si>
  <si>
    <t>California Ag Solutions</t>
  </si>
  <si>
    <t>Conventional livestock fencing costs $2-$10 per linear foot and can be limiting when trying to implement rotational grazing practices to promote soil health. California Ag Solutions has tasked us to develop a virtual fencing solution to implement rotational grazing without the need for conventional fencing. Our team developed a smart collar solution that tracks livestock using GPS and relays their location to a centralized base station using radio signals. Using behavioral modification strategies, cattle will be trained to remain within the boundaries specified by our smart collars. Future work will integrate our hardware solution with software to promote rotational grazing.</t>
  </si>
  <si>
    <t>Neel Patel, Habibatu Mboka, Jacob Nesslage, Francisco Michel, Enrique Lopez Santoyo</t>
  </si>
  <si>
    <t>Team: Cow Bound  -  Project: Virtual Livestock Fence</t>
  </si>
  <si>
    <t>CAP14</t>
  </si>
  <si>
    <t>EcoHub Design</t>
  </si>
  <si>
    <t>Sustainable Transit Facility Design</t>
  </si>
  <si>
    <t>BART</t>
  </si>
  <si>
    <t>With an understanding that buildings generate nearly 40% of all annual global GHG emissions, BART plans to build its Transit Operations Facility (TOF), using the industry’s best sustainable practices. The proposed TOF building will house the central train control center at the Lake Merritt BART Station, in accordance with the Leadership in Energy and Environmental Design (LEED) certification program. Eco Hub has assessed energy, water, and air quality conditions to deliver recommendations that will achieve the highest number of points possible in the LEED New Construction rating system. Our plan includes a rooftop solar PV, HVAC, and green roof system in conjunction with water efficient indoor water appliances.</t>
  </si>
  <si>
    <t>Luis Guzman Wug, Laura Barbosa, Chen-Chi Liu, Egheose Iyorah, David Garcia</t>
  </si>
  <si>
    <t>Team: EcoHub Design  -  Project: Sustainable Transit Facility Design</t>
  </si>
  <si>
    <t>CAP15</t>
  </si>
  <si>
    <t>Burning Bad</t>
  </si>
  <si>
    <t>Biochar Oxidation</t>
  </si>
  <si>
    <t>Corigin Solutions</t>
  </si>
  <si>
    <t>Materials</t>
  </si>
  <si>
    <t>Corigin creates a biochar soil amendment &amp; livestock feed additive, Corichar, that is spontaneously combustible at room temperature due to exothermic oxidation. This requires heavy and expensive containers and increases packaging and freight costs. Our objective was to reduce the oxidation rates enough to avoid autoignition for several weeks, allowing reduction of packaging costs. We proposed to achieve this by mixing the Corichar with one or more of several mixing agents. Preliminary experimentation by Corigin indicated positive results from this method. We tested this by applying UN classification procedures (Test N.4) to determine whether the mixed Corichar is a class 4.2 substance.</t>
  </si>
  <si>
    <t>Robert Coop, Anthony Rodriguez, Anthony Spear, Johanna Araiza, Gabriel Zepeda</t>
  </si>
  <si>
    <t>Team: Burning Bad  -  Project: Biochar Oxidation</t>
  </si>
  <si>
    <t>CAP16</t>
  </si>
  <si>
    <t>U-Power</t>
  </si>
  <si>
    <t>Renewable Smart Power Brick Phase 2</t>
  </si>
  <si>
    <t>Sweep Energy</t>
  </si>
  <si>
    <t>Energy</t>
  </si>
  <si>
    <t>Sweep Energy, a company that develops Internet Of Things (IoT) technology, recruited our team for their Renewable Smart Power Brick Phase 2 project. Our team was asked to improve on a preceding capstone team’s design of a hybrid power storage and generation device that would supply power at set intervals to Sweep Energy’s IoT USB devices. We enhanced the previous design by removing the cone concentrator solar collector and opting for a flat plate solar cell module for more efficient solar collection, sizing, and manufacturing. Our final deliverable is a prototype of our Renewable Smart Power Brick with tests of the new design.</t>
  </si>
  <si>
    <t>James Bautista, Roberto Castillo, Ryan Wong, Munim Mir, Gabriel Llamas</t>
  </si>
  <si>
    <t>Team: U-Power  -  Project: Renewable Smart Power Brick Phase 2</t>
  </si>
  <si>
    <t>CAP17</t>
  </si>
  <si>
    <t>A-Team</t>
  </si>
  <si>
    <t>Tubular Drag Conveyor Cleaning System</t>
  </si>
  <si>
    <t>Blue Diamond Growers</t>
  </si>
  <si>
    <t>Blue Diamond Growers, is a corporation that specializes in the production of almond based products. They use a tubular Conveyor belt to move almonds throughout their facility. A problem arises from the pucks that push the almonds as there is a buildup of residue oil on the edges of the puck. The current method of removing the residue is inefficient and time-consuming, thus the goal of this project is to make a more efficient cleaning solution. Our solution is a boxed air knife system that will blow off the residue and works in tandem with the tubular conveyor belt design.</t>
  </si>
  <si>
    <t>Amar Mann, Aries Pacudan, Anthony Vasquez, Adam Rhetta, Ahmed Osman</t>
  </si>
  <si>
    <t>Team: A-Team  -  Project: Tubular Drag Conveyor Cleaning System</t>
  </si>
  <si>
    <t>CAP18</t>
  </si>
  <si>
    <t>Algae Busters</t>
  </si>
  <si>
    <t>Clean Dairy Water Trough Design</t>
  </si>
  <si>
    <t>Diamond J Dairy</t>
  </si>
  <si>
    <t>Diamond J Dairy uses cement troughs that store the cows drinking water. However, over time the cement becomes porous and algae begins to grow, causing below optimal drinking water and difficulty in cleaning. Our design solution aims to reduce the amount of algae growing in the troughs by utilizing plasticized PVC as a liner coating. We have installed the liner material over a preexisting trough and secured it with various fasteners. Our solution will reduce the amount of algae growing on the walls of the trough and make cleaning easier for Diamond J Dairy’s workers.</t>
  </si>
  <si>
    <t>Christopher Maravilla, Jose Erevia, Francisco Camacho, Jenniffer Oroxon, Paulo Sandoval</t>
  </si>
  <si>
    <t>Team: Algae Busters  -  Project: Clean Dairy Water Trough Design</t>
  </si>
  <si>
    <t>CAP19</t>
  </si>
  <si>
    <t>Dust Exhausters</t>
  </si>
  <si>
    <t>Dust Control Utilizing Fluid Dynamics</t>
  </si>
  <si>
    <t>Dust generated by tractor tires can be harmful to human health when in large concentrations. In collaboration with Milano Technical Group Inc. our group has designed a concept to assist in eliminating large amounts of dust from becoming airborne. The product based on the design will use the air of the tractor exhaust as a free energy source, a fan to serve as a suction mechanism for the dust, and a cyclone separator that will mitigate the amount of dust released into the surrounding environment.</t>
  </si>
  <si>
    <t>Michael Souza, Jose Garcia-Esparza, Julianna Porraz, Ever Carbajal, Brian Wong</t>
  </si>
  <si>
    <t>Team: Dust Exhausters  -  Project: Dust Control Utilizing Fluid Dynamics</t>
  </si>
  <si>
    <t>CAP20</t>
  </si>
  <si>
    <t>Lightweight</t>
  </si>
  <si>
    <t>Ballast Lift Assist</t>
  </si>
  <si>
    <t>Waymo is a self-driving technology company with a mission to make it easier and safe to for people and things to get where they’re need to be. Waymo uses sand-filled ballast dummies in order to test vehicles with a corresponding weight similar to that of a human being. The ballast dummies consist of 125-150 lbs of sand and are not easy to move, which is where our design comes into play. We have developed a protoype in order to help Waymo Employees insert and remove sand ballast dummies from their vehicle. The model is a redesigned dolly that will pick the dummy up to move from point A to point B then will move the dummy from a verticle position to horizontal position using a electronic winch. Once horizontal, the dummy will be able to slide into and out of the vehicle at ease.</t>
  </si>
  <si>
    <t>Aaron Padilla, Ivan Ramirez, Elwood Macmurray-Morales, Mizrrain Lara Nava, Adrian Huizar</t>
  </si>
  <si>
    <t>Team: Lightweight  -  Project: Ballast Lift Assist</t>
  </si>
  <si>
    <t>CAP21</t>
  </si>
  <si>
    <t>Who Caught Roger Rabbit</t>
  </si>
  <si>
    <t>As Merced College continues to prosper in agriculture, rodents (squirrels, rabbits, gophers, etc.) are damaging irrigation lines and processes. Moreover, crops are increasing the population of these rodents by allowing them to have a constant accessible food supply. To address this issue, an apparatus designed around a strobe light was developed which included several parts such as: a solar panel, a battery, PVC pipes, and copper wiring. The displacement of rodents was assumed; therefore, a cage was utilized in order to relocate the rodents to a more beneficial habitat. Furthermore, an ArcGis web app was developed to keep track of the rodent population by employing the client’s observations. The combination of these approaches is expected to affect rodent population considerably.</t>
  </si>
  <si>
    <t>Fernando Roman, Deanicia Marie Delizo, Arianna Tariqi, Jared Chatas, Chenpreet Sandhu</t>
  </si>
  <si>
    <t>Team: Who Caught Roger Rabbit  -  Project: Down the Squirrel Hole</t>
  </si>
  <si>
    <t>CAP22</t>
  </si>
  <si>
    <t>PLR</t>
  </si>
  <si>
    <t>The PLR team worked to create a system which records sensors and feedback data for patients suffering from chronic pain or other neurologic conditions. The team worked alongside Dr. Mark Stecker from the Fresno Institute of Neuroscience. The company is mainly involved in providing care to patients with neurologic problems as well as is involved in research and education. Patients with chronic pain or other neurologic conditions frequently note that their symptoms vary with environmental conditions. This includes heat, light, body position, and level of activity. It would be useful for the patient and their physician to know how these factors influence their main symptoms such as pain, fatigue, and/or weakness. This might allow the patient and their physician to build a treatment plan that mitigates these environmental factors. By using a combination of sensors (accelerometer, gyroscope, temperature, etc.) along with Arduino boards, the patient can input the name and amount of medication they took that day. In addition, patients will be able to input the pain they might experience and the activities they participated in. A journal log will then be recorded concurrently as the sensor data allowing to build a patient-specific report.  Working alongside a software team at the University of California, Merced, we are building the file to create a system in which data will be downloaded to generate symptoms vs time graph and symptoms as a function of sensor readings. The recording of the data will come from small sensors with custom housing that will be placed on a patient. The data is collected over a set period of time (up to 72 hours) and recorded on a microSD card for exportation from the device. Once exported, the data can be analyzed by examining the trends within it; making correlations from the sensor data to the feedback from the input device. Allowing patients and physicians to build an improved treatment plan.</t>
  </si>
  <si>
    <t>Jahzel Roman-Torres, Felipe Ramirez, Francisco Mascorro Montes, Emmy Zepeda</t>
  </si>
  <si>
    <t>Team: PLR  -  Project: Patient logger reporting</t>
  </si>
  <si>
    <t>CAP23</t>
  </si>
  <si>
    <t>Virtual Barriers</t>
  </si>
  <si>
    <t>California Ag Solutions strives to provide California farmers with technology to efficiently grow crops and care for livestock. Livestock handlers need to rotate grazing areas to manage feed available and prevent overgrazing. Our team's solution consists of collars installed with a speaker used to emit negative stimulus to negate unwanted movement, and vibrations to instill positive reinforcement to assist cows to move towards the desired area. Hubs will be installed onto pre existing structures, such as fencing posts, that will be used as a communication base for the collars to relay information to the app-based interface used to create the virtual barrier.</t>
  </si>
  <si>
    <t>Luis Teran Salazar, Marco Melendez, Nina Ledang, Joshua Giammichele, Oscar Morales</t>
  </si>
  <si>
    <t>Team: Virtual Barriers  -  Project: Virtual Livestock Fence</t>
  </si>
  <si>
    <t>CAP24</t>
  </si>
  <si>
    <t>Next Step Bobcats</t>
  </si>
  <si>
    <t>Next Step Bobcats has been assigned to work with Bay Area Rapid Transit (BART) to develop recommendations to meet the highest standard in the Leadership in Energy and Environmental Design (LEED) certification program for the proposed Transit Operations Facility (TOF) building at the Lake Merritt Plaza station in Oakland, CA. This project covers topics on energy efficiency, water efficiency, and sustainability for obtaining the highest LEED certification. Our team’s recommendations include a system analysis on LED lights, the HVAC system and its sensors, solar panels, an extensive green roof, and indoor water use reduction. An economic, risk, and sensitivity analysis along with the potential LEED points will be included in our results.</t>
  </si>
  <si>
    <t>Shaun Abu, Steven Perkins, Jason Matthew Miguel, Miguel Gongora Melara, Sara Pantoja</t>
  </si>
  <si>
    <t>Team: Next Step Bobcats  -  Project: Sustainable Transit Facility Design</t>
  </si>
  <si>
    <t>CAP25</t>
  </si>
  <si>
    <t>Biochar</t>
  </si>
  <si>
    <t>Corigin Solutions aids farmers by producing carbon-rich products from almond shells, such as Biochar. The objectives of our design were to provide an air tight packaging for biochar  that will be able to reduce weight while maximizing strength when compared to the currently utilized steel drums. We expect to decrease heating and possible combustion by extracting the air before sealing them. Utilizing an interior  polyethylene bag to contain the biochar, an exterior polypropylene bag for support during handling. We performed standard ASTM testing for plastic materials, tested the heat sealers capabilities, and performed a functionality test at Corigin’s facility.</t>
  </si>
  <si>
    <t>Karina Solorio, Joseph Avalos, Shawn Sjamsudin, Romson Abat, Francisco Olmos</t>
  </si>
  <si>
    <t>Team: Biochar  -  Project: Biochar Oxidation</t>
  </si>
  <si>
    <t>CAP26</t>
  </si>
  <si>
    <t>Rough Riders</t>
  </si>
  <si>
    <t>Adjustable Mountain Bike Seat</t>
  </si>
  <si>
    <t>The Pi Shop</t>
  </si>
  <si>
    <t>Sports</t>
  </si>
  <si>
    <t>Bicycle seats have changed very little in the past 150 years, however, bicycling has changed significantly. Due to this, riders must position themselves outside of the normal seating area which is particularly true in non-paved surfaced cycling (i.e. mountain or gravel biking). This means that riders frequently place themselves behind, in front of, and/or below the seat which can lead to an eventual collision with the seat and injury, minor or major, to the abdomen, groin, or back. The Pi Shop, a non-profit product incubator located in Fresno, realized the shortcomings of modern bicycle seats and gave us, the Rough Riders, an opportunity to find a solution. We created one rapid prototype out of foam, wood, a cargo rack, and plenty of duct tape to showcase at a mountain biking event. We received varying feedback, but we learned that one size does not fit all when it comes to this attachment. We then created a CAD model of an adjustable seating attachment that can be quickly modified to meet varying needs meaning testing and prototyping could be done rapidly. This model effectively mitigates collision with the back of the bike seat while also guiding and supporting the rider so they can maneuver freely in varying biking situations.</t>
  </si>
  <si>
    <t>Derek Edenchukwu, Izcalli Rios-Aguirre, Abraham Zurita, Christopher Ramirez, Daniel Cruz</t>
  </si>
  <si>
    <t>Team: Rough Riders  -  Project: Adjustable Mountain Bike Seat</t>
  </si>
  <si>
    <t>CAP27</t>
  </si>
  <si>
    <t>Keg lifters</t>
  </si>
  <si>
    <t>Cornelius Keg Storage Ergonomic Improvement</t>
  </si>
  <si>
    <t>E&amp;J Gallo Winery</t>
  </si>
  <si>
    <t>E &amp; J Gallo’s research facility currently moves Cornelius kegs around a cold room by hand to perform their daily tasks. Furthermore, lifting and moving the kegs has led to strains and injuries within the workplace. The purpose of our project is to minimize the risk of injury by designing an ergonomic device to lift and move kegs within the cold storage room and around the research lab. Our design uses a dolly that incorporates a pneumatic lift, the kegs are attached to the lift using clevis hooks and the lift will be controlled by an electronic switch.</t>
  </si>
  <si>
    <t>Emmanuel Magdaleno, John Leiga, Matthew Davis, Enrique Lopez, Carlos Benavente</t>
  </si>
  <si>
    <t>Team: Keg lifters  -  Project: Cornelius Keg Storage Ergonomic Improvement</t>
  </si>
  <si>
    <t>CAP28</t>
  </si>
  <si>
    <t>The Flow Co.</t>
  </si>
  <si>
    <t>Mesh Network Leak Detection in Drip Lines/Emission Devices</t>
  </si>
  <si>
    <t>Farm Data Systems</t>
  </si>
  <si>
    <t>Farm Data Systems, Inc are your local authority on automated irrigation control and data communication networks. Leak detection is only one of the many challenges they tackle in their 400 acre almond and grape lab. The current state of leak detection lacks a high resolution and timely method of resolving the irregular flow and nonuniform water distribution that these leaks induce. We propose a solution that utilizes a tangential turbine design to measure and record irregular flow rates for rapid leak detection. Each sensor takes its individual flow measurement and compares it to the others, and will update the user from anywhere in the world. Each sensor comes paired with a unique ID so that crop growers can easily locate where discrepancies are being transmitted from. These systems reduce water usage by 5-10%, saving money and the environment.</t>
  </si>
  <si>
    <t>Christopher Rodriguez, Antonio Pina, Jacob Stehle, John Makkouk, Julian Gonzalez</t>
  </si>
  <si>
    <t>Team: The Flow Co.  -  Project: Mesh Network Leak Detection in Drip Lines/Emission Devices</t>
  </si>
  <si>
    <t>CAP29</t>
  </si>
  <si>
    <t>Pellet Containment</t>
  </si>
  <si>
    <t>Pellet containment and handling</t>
  </si>
  <si>
    <t>Jatco</t>
  </si>
  <si>
    <t>Jatco, a plastic injection molding company, needs a system that increases material accountability throughout their manufacturing process by transporting, tracking, and quantifying reusable plastic material. Our team’s solution consists of weighing, conveying, and distinguishing the plastic materials that our system transports from the workstations to the central grinding area, while recording material information into a database.</t>
  </si>
  <si>
    <t>Johnson Yee, Luis Cruz, Sean Johnson, Jorge Rodriguez Alvarado, Marisol Vidauri-Sandoval</t>
  </si>
  <si>
    <t>Team: Pellet Containment  -  Project: Pellet containment and handling</t>
  </si>
  <si>
    <t>CAP30</t>
  </si>
  <si>
    <t>Accel Solutions</t>
  </si>
  <si>
    <t>Test Bench for Sensors &amp; Harnesses</t>
  </si>
  <si>
    <t>Waymo Co. is an autonomous driving technology development company that utilizes high-precision accelerometers to test their vehicle's hardware. Over time, these accelerometers will need to be re-calibrated for accuracy. Waymo is in need of a methodology and equipment to calibrate their accelerometers in-house to save money and time. Our team, Accel Solutions, has developed a tabletop method using the computing power of a Raspberry Pi with Python code, a vibration table, and a fixturing plate design to develop a calibration procedure for Waymo to implement.</t>
  </si>
  <si>
    <t>Luis Angulo, John Francis Mijares, Federico Del Castillo Carnero, Josue Figueroa, Theodore Ude</t>
  </si>
  <si>
    <t>Team: Accel Solutions  -  Project: Test Bench for Sensors &amp; Harnesses</t>
  </si>
  <si>
    <t>CAP31</t>
  </si>
  <si>
    <t>Hay There</t>
  </si>
  <si>
    <t>Feeding the Animals</t>
  </si>
  <si>
    <t>Merced College farm currently faces hay spoilage, bale loading strains, and twine litter. Hay feeders, an aluminum hay wagon, and twine cans were designed and modified by our team to manage these issues on the farm. The feeders should reduce moisture exposure and contamination. Making the hay wagon durable and stable should reduce the stain put on the workers, and the twine cans should reduce waste on the farm.</t>
  </si>
  <si>
    <t>Jesus Caballero, Daniela Martinez, Alexander Woodside, Katie Haitema, Jorge Ayala</t>
  </si>
  <si>
    <t>Team: Hay There  -  Project: Feeding the Animals</t>
  </si>
  <si>
    <t>2021-01-Spring-CSE</t>
  </si>
  <si>
    <t>CSE</t>
  </si>
  <si>
    <t>CSE01</t>
  </si>
  <si>
    <t>#1 Team</t>
  </si>
  <si>
    <t>Cardboard Box to Cloud</t>
  </si>
  <si>
    <t>Cisco</t>
  </si>
  <si>
    <t>Networking</t>
  </si>
  <si>
    <t>Cisco designs and sells networking technology. Cisco’s clients expect purchased hardware to function right out of the cardboard box. The server setup process can be difficult and messy; without guidance, a server can be inoperable for weeks at worst. Our web app guides technicians through the installation process step by step by providing wiring diagrams, diagnosing connections, and root-causing server communication errors.</t>
  </si>
  <si>
    <t>Nathan Ross, Andrew Wong, Daniel Maciel Manzo, Jacob Gilmartin, Jamal  Bills</t>
  </si>
  <si>
    <t>Team: #1 Team  -  Project: Cardboard Box to Cloud</t>
  </si>
  <si>
    <t>CSE02</t>
  </si>
  <si>
    <t>B2C</t>
  </si>
  <si>
    <t>Cisco sells network hardware and solutions, but to use the hardware Cisco's clients need to convert the hardware into a topology designed by an engineer and this step is very error prone due to human error occurring from the technician. Errors from the technician can cause delays and are hard to solve. Our solution helps alleviate this problem by converting the topology into step by step instructions and periodic testing to ensure that the technician's chance of error is significantly reduced.</t>
  </si>
  <si>
    <t>Carl Kenneth Martin, Busher Bridi, Christian Quinonez, Kevin Matei, Kumaran Akilan</t>
  </si>
  <si>
    <t>Team: B2C  -  Project: Cardboard Box to Cloud</t>
  </si>
  <si>
    <t>CSE03</t>
  </si>
  <si>
    <t>BOXerBois</t>
  </si>
  <si>
    <t>Cisco Systems develops, manufactures, and sells networking hardware. Since Cisco sells the hardware they manufacture, they are also the ones that set it up for clients. Setting up server racks is difficult and messy - often prone to errors. Our application, designed in the Ionic framework, is a progressive web app, available both as a web app and mobile app. The application provides the onsite technician step-by-step instructions to reduce errors before they occur. It also tests port connectivity to stop them from leaving with an incorrect configuration.</t>
  </si>
  <si>
    <t>James Nguyen, Andy Zhang, Jason Zhu, Brandon Escobar, Armaan Kapoor</t>
  </si>
  <si>
    <t>Team: BOXerBois  -  Project: Cardboard Box to Cloud</t>
  </si>
  <si>
    <t>CSE04</t>
  </si>
  <si>
    <t>Aggy</t>
  </si>
  <si>
    <t>Pest Control Reporting</t>
  </si>
  <si>
    <t>Agrecom</t>
  </si>
  <si>
    <t>Agrecom is dedicated to resolving the pest control dilemma at residential and commercial levels with innovative solutions that successfully establish long-term control. When servicing a client, the deployed technician optimally receives a map with the respective bait stations. Continuously, the technician visits every station to typify individual pest-related activities. Subsequently, every station’s data is stored in USB-drives, organized in spreadsheets, and ultimately summarized as a readable report sent to the client days later. To address the report-generation’s redundancy, we developed an application that automizes report-generation via a technician-oriented interface, a centralized database, and QR codes to track individual station’s activity.</t>
  </si>
  <si>
    <t>Luis Garcia-Velasquez, Christian Baronia, Hubert Le, Bykema  Mobley, Jesus Fragoso</t>
  </si>
  <si>
    <t>Team: Aggy  -  Project: Pest Control Reporting</t>
  </si>
  <si>
    <t>CSE05</t>
  </si>
  <si>
    <t>Verminators</t>
  </si>
  <si>
    <t>Agrecom provides pest control services to clients in agricultural, residential and commercial sectors, and uses a variety of documentation methods to keep track of bait usage and pest activity. Currently, this involves the usage of pen-and-paper reporting methods that are transferred between computer and paper several times before storage. Our team has developed an app and supporting database that provides a way to fill out and store these reports digitally, and prints this information to be filed physically or given to clients.</t>
  </si>
  <si>
    <t>Eduardo Raygoza, Christopher Achiles, John Villalta, Mrudhun Arivalagan, Chris Ahrens</t>
  </si>
  <si>
    <t>Team: Verminators  -  Project: Pest Control Reporting</t>
  </si>
  <si>
    <t>CSE06</t>
  </si>
  <si>
    <t>r/HydroHomies</t>
  </si>
  <si>
    <t>Water Treatment Monitoring</t>
  </si>
  <si>
    <t>Agrecom is a water treatment facility that is in need of an interface for its clients and administrator. Our completed task is to develop a client and admin portal that allows for convenient access to data derived from sensors through a third-party API called HOBO link. Admin portal has the ability to add clients and sensors. While on the client portal, clients are able to view their data. Our application is completed and deployed.</t>
  </si>
  <si>
    <t>Eric Morris, Eshant Prakash, Manvir Dhillon, Angel  Snavely, Wesley Chan</t>
  </si>
  <si>
    <t>Team: r/HydroHomies  -  Project: Water Treatment Monitoring</t>
  </si>
  <si>
    <t>CSE07</t>
  </si>
  <si>
    <t>Water Boys</t>
  </si>
  <si>
    <t>Agrecom is a water treatment facility who currently uses a third party site to receive and transmit their clients’ water sensor data. The current process is all done manually and involves recording the data by hand and then relaying that information to their clients, as only the Agrecom team has access to this site. The project team has created an online web portal that connects to the already existing API to show clients their sensor data in an efficient and accurate manner in real time without having to go through Agrecom to access this data.</t>
  </si>
  <si>
    <t>Ian Lopez Chavez, Nampal Singh, Harmanjeet Singh, Huy Vu, Tarandeep Singh</t>
  </si>
  <si>
    <t>Team: Water Boys  -  Project: Water Treatment Monitoring</t>
  </si>
  <si>
    <t>CSE08</t>
  </si>
  <si>
    <t>RobotWatch</t>
  </si>
  <si>
    <t>Service Reminder Application for Industrial and Mobile Robots</t>
  </si>
  <si>
    <t>Omron</t>
  </si>
  <si>
    <t>Software</t>
  </si>
  <si>
    <t>Omron Robotics and Safety Technologies is an industry leader in manufacturing control equipment, advanced robotics, automation technologies, and electrical components.  They hope to leave a lasting effect in bettering society by improving the lives of all individuals through the benefits of robotics.  As with all physical devices with automation, maintenance is required.  To ensure that Omron can service the robots, the RobotWatch team delivered an Android application that notifies the user of the severity of the maintenance needed for robot upkeep.  Additional improvements also include the ability of the user to input robot data and get a corresponding notification.</t>
  </si>
  <si>
    <t>Clifford Lee, Bruce Duong, Gilberto Aramburo, Isaiah Acosta, Jordan Montano</t>
  </si>
  <si>
    <t>Team: RobotWatch  -  Project: Service Reminder Application for Industrial and Mobile Robots</t>
  </si>
  <si>
    <t>CSE09</t>
  </si>
  <si>
    <t>Pit Stop</t>
  </si>
  <si>
    <t>Omron Robotics and Safety Technologies, Inc. (ORT) is a technology company developing cutting edge robotic and safety technology and products. In addition to technology development, ORT also manufactures robots for Industrial Automation applications. Our service reminder application will provide ORT a platform where their technicians can review the maintenance status of these robots and be reminded when robots require upcoming maintenance via notification alerts.</t>
  </si>
  <si>
    <t>Eric Chao, Patrick Cruz, Paulo Alberto Sousa, Rene Jaimes, Anand Sivaram</t>
  </si>
  <si>
    <t>Team: Pit Stop  -  Project: Service Reminder Application for Industrial and Mobile Robots</t>
  </si>
  <si>
    <t>CSE10</t>
  </si>
  <si>
    <t>At Your Service</t>
  </si>
  <si>
    <t>Omron Robotics and Safety Technologies design industrial and mobile robots. With any machine, proper service is required too keep said machine running properly. Our project will make tracking and performing maintenance more efficient by providing an intuitive iOS application that provides statistics on individual robots and their parts, maintenance reminders, and robot documentation for the service team at Omron.</t>
  </si>
  <si>
    <t>Morgan Trembley, Roberto Cordero, Thomas Moua, Enrique Florencio, Darren Correa</t>
  </si>
  <si>
    <t>Team: At Your Service  -  Project: Service Reminder Application for Industrial and Mobile Robots</t>
  </si>
  <si>
    <t>CSE11</t>
  </si>
  <si>
    <t>Agri Tab</t>
  </si>
  <si>
    <t>Customizable Views of Ag-gregated Data</t>
  </si>
  <si>
    <t>Veracruz Ventures</t>
  </si>
  <si>
    <t>Veracruz Ventures is working to create a platform that combines multiple views of agricultural data from different platforms. The team developed a web platform to integrate multiple sources of data and display it in a tabular form that is customizable to the user. This will make it easier for farmers to monitor data in a centralized location.</t>
  </si>
  <si>
    <t>Annemarie Porter, Alberc Ej Salcedo, Sargune Kalsi, Daniel Ye, Francesco Gnerre</t>
  </si>
  <si>
    <t>Team: Agri Tab  -  Project: Customizable Views of Ag-gregated Data</t>
  </si>
  <si>
    <t>CSE12</t>
  </si>
  <si>
    <t>BLART (BListeringly fAst Rendered Tables)</t>
  </si>
  <si>
    <t>Veracruz Ventures is an Ag-tech company that is trying to make the lives of Farmers simple with respect to the large amounts of data retrieved from multiple sensors and hardware located on their land. Their problem is one of having multiple sources of incoming information, but nowhere to view it all in one concise location. Our solution is a dynamically rendered table that allows the farmer to select topics of their choice from any imported databases and display only those topics on screen in a clean and searchable table.</t>
  </si>
  <si>
    <t>Aaron Cuevas, Bernadette Ortiz, Philip Felizarta, Tyler Brittain, John Villalvazo</t>
  </si>
  <si>
    <t>Team: BLART (BListeringly fAst Rendered Tables)  -  Project: Customizable Views of Ag-gregated Data</t>
  </si>
  <si>
    <t>CSE13</t>
  </si>
  <si>
    <t>DataFarm</t>
  </si>
  <si>
    <t>Veracruz Ventures aims to take multiple data sources and make it easier for farmers to access. The problem that we currently face is that there are too many sources to search through for relevant agricultural data and no one place which contains all of the desired data and ways to filter out data we do not need. Our team has addressed this by bringing together data from sources such as Agworld and Arable. Additionally, we have included tools to improve readability such as adding filters and a more comprehensible UI.</t>
  </si>
  <si>
    <t>Vibhiskanda Ganapathy, Zachary Lebrilla, Uchenna Nworgu, Andrew Duong, Adithya Parvatharajan</t>
  </si>
  <si>
    <t>Team: DataFarm  -  Project: Customizable Views of Ag-gregated Data</t>
  </si>
  <si>
    <t>CSE14</t>
  </si>
  <si>
    <t>Volunteer Hero</t>
  </si>
  <si>
    <t>UWMC's Volunteer Here</t>
  </si>
  <si>
    <t>United Way of Merced County</t>
  </si>
  <si>
    <t>Non-Profit</t>
  </si>
  <si>
    <t>United Way of Merced County is the support structure for many nonprofit programs, connecting volunteers to opportunities within the community. Since the needs of the Merced community have increased, nonprofits continue to struggle to find appropriate volunteers for their programs because of the lack of public reach. We have developed a mobile application that eases the process to find volunteers by connecting nonprofit organizations with members of the Merced community.</t>
  </si>
  <si>
    <t>Jason Ferry, Anthony Sainez, Fernando Mendoza, Vincent Mac, Ulises Hernandez</t>
  </si>
  <si>
    <t>Team: Volunteer Hero  -  Project: UWMC's Volunteer Here</t>
  </si>
  <si>
    <t>CSE15</t>
  </si>
  <si>
    <t>Discover Help</t>
  </si>
  <si>
    <t>United Way of Merced County is a provider responsible for connecting many community events to the Merced population. Each year, many programs lack the ability to reach out to the public about volunteer events. They need an alternative way to spread awareness without spending too many financial resources. We have developed an app that aids United Way of Merced County with connecting volunteers to nonprofits.</t>
  </si>
  <si>
    <t>Jonathan Arevalo, Joshua Ngalima, Emmanuel Ngalima, James Engstrand, John Renteria</t>
  </si>
  <si>
    <t>Team: Discover Help  -  Project: UWMC's Volunteer Here</t>
  </si>
  <si>
    <t>CSE16</t>
  </si>
  <si>
    <t>I2V</t>
  </si>
  <si>
    <t>United Way of Merced County is a nonprofit organization that helps connect organizations, community groups and individuals to the county of Merced. Each year, there is a deficit in organizing volunteers in an efficient manner for volunteer work. United Way of Merced County wanted an alternative way of gathering volunteers, that is more organized and easier than their current methods. We have developed our app in a way to aid United Way of Merced County to easily gather volunteers and get them involved with a nonprofit organization.</t>
  </si>
  <si>
    <t>Gabriel Irizarry Torres, Gary Sun, Josue Gialis, Leah Walker, Eivanne Eser</t>
  </si>
  <si>
    <t>Team: I2V  -  Project: UWMC's Volunteer Here</t>
  </si>
  <si>
    <t>CSE17</t>
  </si>
  <si>
    <t>Bart Central Valley Express</t>
  </si>
  <si>
    <t>Virtual Substation</t>
  </si>
  <si>
    <t>Training is a crucial aspect for maintaining a secure and productive work environment but comes at a monetary cost. Bay Area Rapid Transit (BART) attempts to solve this issue by petitioning a web-driven application to give constant access to their substation technicians for more training time at a reduced cost. BART values the safety of their technicians and will like to give constant access for training to their technicians. We designed a simulation of the Alternating Currents portion of the CO2 Panel with a modular approach that serves as a platform for future efforts. The CO2 Panel allows the manipulation of current flow through the primary and redundancy modules which permits the substation the handling of issues and keeping the substation operational.</t>
  </si>
  <si>
    <t>Fernando Diego Chino, Irma Gonzalez Padilla, Austin Chan, Gerardo Rodriguez, Adrian Sanchez Magana</t>
  </si>
  <si>
    <t>Team: Bart Central Valley Express  -  Project: Virtual Substation</t>
  </si>
  <si>
    <t>CSE18</t>
  </si>
  <si>
    <t>Over 9000 Amps</t>
  </si>
  <si>
    <t>BART trains its new engineers and maintenance staff on proprietary control panel configurations. However, to offer on-site staff training on the equipment it is often necessary to either impact revenue operations or do the training late at night. The main objective was to create an application that can simulate selected parts of the control panel functionality so that a new engineer can get familiarized with the panel before in-person on-site training. This project implements a browser-based application that simulates the main panel, supports alarm simulations, and local/remote commands. Additional enhancements include the implementation of an event notification panel, where a user can acknowledge and dismiss alarms and events.</t>
  </si>
  <si>
    <t>Jordan Benoit, Baudelio Perez, Tianyu Gao, Ricardo Sanchez-Macias, Michael Ngo</t>
  </si>
  <si>
    <t>Team: Over 9000 Amps  -  Project: Virtual Substation</t>
  </si>
  <si>
    <t>CSE19</t>
  </si>
  <si>
    <t>Battery Guys</t>
  </si>
  <si>
    <t>Automated Battery Monitoring for Life Safety Assets</t>
  </si>
  <si>
    <t>Once upon a time, Bay Area Rapid Transit (BART) engineers were tasked with visiting stations and manually monitoring battery cells’ health. Our objective was to simplify this task that took a few hours to complete and make it doable in a few minutes from a computer screen. Our project involved pulling and processing data from the BART intranet and making it remotely available in an intuitive and graphical manner.</t>
  </si>
  <si>
    <t>Brendan Blasius, Uche Ezeokoli, Juan Torres Esquivel, Brandon Salazar</t>
  </si>
  <si>
    <t>Team: Battery Guys  -  Project: Automated Battery Monitoring for Life Safety Assets</t>
  </si>
  <si>
    <t>CSE20</t>
  </si>
  <si>
    <t>Batteryzilla</t>
  </si>
  <si>
    <t>Bay Area Rapid Transit (BART) is a public transportation agency located in the San Francisco Bay Area in California and relies on electricity for daily operations. In order to ensure redundancy in the event of power loss, BART has battery backups for life safety assets. Importantly, maintenance of these batteries is crucial to maintain power during an outage. We developed an application that will allow BART to remotely monitor the batteries at all stations. Important battery parameters for maintenance such as temperature and voltage will be collected, then displayed onto an interactive dashboard for BART's employees.</t>
  </si>
  <si>
    <t>Howard Yuan, Diana Palafox, Nicholas Chin, Martin Vazquez Orozco, Ma. Franchesca Lopez</t>
  </si>
  <si>
    <t>Team: Batteryzilla  -  Project: Automated Battery Monitoring for Life Safety Assets</t>
  </si>
  <si>
    <t>CSE21</t>
  </si>
  <si>
    <t>Spark De Triomphe</t>
  </si>
  <si>
    <t>Bay Area Rapid Transit (BART) is a public agency in charge of controlling, maintaining, and operating the public train system located in San Francisco Bay Area. A problem of BART is that their engineers need to manually check the batteries that they deem problematic, meaning loss of man time and manpower. Our application automates this process which allows BART engineers to use an interface that provides the battery’s statistics from one centralized software component, saving them dozens of hours, and allowing their engineers to dedicate more time to other tasks.</t>
  </si>
  <si>
    <t>Jose Zarate, John Muro, Salvador Rodriguez, Ean Camacho-Escobedo</t>
  </si>
  <si>
    <t>Team: Spark De Triomphe  -  Project: Automated Battery Monitoring for Life Safety Assets</t>
  </si>
  <si>
    <t>CSE22</t>
  </si>
  <si>
    <t>Team GGs</t>
  </si>
  <si>
    <t>Patient logger environment</t>
  </si>
  <si>
    <t>Patients with chronic pain or other neurologic conditions frequently note that their symptoms vary with environmental conditions. This includes heat and light but also body position and level of activity. It would be useful for the patient and their physician to know how these factors influence their main symptoms such as pain, fatigue, or weakness. This might allow the patient and their physician to build a treatment plan that mitigates these environmental factors. We were able to log the patients' information and view their data with graphs and have the medical professionals able to interact with the app as well as the patients with a different version of the app.</t>
  </si>
  <si>
    <t>David Dominguez, Jonathan Contreras, Karthik Gnanakumar, Kennedy Nguyen, Michael Issa</t>
  </si>
  <si>
    <t>Team: Team GGs  -  Project: Patient logger environment</t>
  </si>
  <si>
    <t>CSE23</t>
  </si>
  <si>
    <t>PatientLog</t>
  </si>
  <si>
    <t>Elders with a serious problem of chronic pain and neurological conditions note that their symptoms vary due to environmental conditions. Heat, light, and body positions are one of the many symptoms that cause patients with chronic pain to feel weak, fatigue, or pain. Our project strives to connect patients and physicians from the comfort of their home, staying safe during this pandemic, and bettering the patient’s life by building a treatment plan that will mitigate these environmental factors. We are able to do so by allowing the patient to record their symptoms and pain level, get notified of when to take their medicine, and graph the data received from the sensors for the clinic to record.</t>
  </si>
  <si>
    <t>Zong Lee, Saishrithik Sareddy, Tristen Trias, Emmanuel Durago, Emanuel Estrada</t>
  </si>
  <si>
    <t>Team: PatientLog  -  Project: Patient logger environment</t>
  </si>
  <si>
    <t>CSE24</t>
  </si>
  <si>
    <t>Glide Away</t>
  </si>
  <si>
    <t>Docker Based On-Premises Modbus/Bacnet Server</t>
  </si>
  <si>
    <t>Sweep Energy develops IoT hardware and software technologies for use in commercial/industrial settings. Using their Sweep API (an API that allows the facilitation of reading metric data from different devices to create time-series aggregations of all data collected) it is now easier to bridge the gap between using cloud based monitoring solutions for time-series data. Our solution allows a user to easily connect their data with the facility operations that Sweep uses to seamlessly add/track modbus devices, view individual device data, and ensure the information on our platform matches information on Sweeps own facility operation platform.</t>
  </si>
  <si>
    <t>Nobuhiro Fukaya, Adrian Darian, Manjot Singh, Faith Blue, Lan Do</t>
  </si>
  <si>
    <t>Team: Glide Away  -  Project: Docker Based On-Premises Modbus/Bacnet Server</t>
  </si>
  <si>
    <t>CSE25</t>
  </si>
  <si>
    <t>Docker Crew</t>
  </si>
  <si>
    <t>With their new Sweep API, Sweep Energy offers a cloud-based data storage platform to companies and industrial facilities seeking to modernize their equipment monitoring infrastructure. However, utilizing this platform can prove challenging for companies operating older standard monitoring devices without built-in support for internet protocol. Our project attempted to facilitate the link between such industrial monitoring devices and Sweep Energy's API service. Our team developed a containerized and easy-to-use web application interface that the client can install on their premises to collect and push time-series sensory information from their existing industrial monitoring devices to the Sweep API.</t>
  </si>
  <si>
    <t>Jakob Potosme, Spencer Tang, Gustavo Canela, Malia Bowman, Wyssanie Chomsin</t>
  </si>
  <si>
    <t>Team: Docker Crew  -  Project: Docker Based On-Premises Modbus/Bacnet Server</t>
  </si>
  <si>
    <t>CSE26</t>
  </si>
  <si>
    <t>Sweep Store</t>
  </si>
  <si>
    <t>Secure Realtime DB Import Desktop App</t>
  </si>
  <si>
    <t>Sweep Energy designs and manufactures industrial wireless meters and software for real-time equipment monitoring. With their recent launch of the Sweep API, a cloud based data retention and analytics system, the need for an easy-to-use tool to import data becomes imperative. Our team has partnered with Sweep Energy to develop a web based application that would allow anyone to be able to easily import their valuable corporate data into the cloud. This application uses Sweep API as an aid to modify uploaded data according to the user’s preference. We have focused on creating a user-friendly web based application that doesn’t include the difficulties other applications may have with compatibility or formatting issues.</t>
  </si>
  <si>
    <t>Cristian Galvan, Annisa Fahira, Andres Calvillo Aguilar, Andy Alvarenga, Ernesto Gutierrez</t>
  </si>
  <si>
    <t>Team: Sweep Store  -  Project: Secure Realtime DB Import Desktop App</t>
  </si>
  <si>
    <t>CSE27</t>
  </si>
  <si>
    <t>Proton Import</t>
  </si>
  <si>
    <t>Sweep Energy develops IOT (Internet of Things) technologies for industrial and commercial settings. Currently, there is no proper interface to import data to a format required by the Sweep API, limiting interest in cloud-based services like those provided by Sweep Energy. We utilized the Sweep API and Realtime Websocket API to create a desktop app with a user interface that allows the user to import data and convert it to the same format as the Sweep API.</t>
  </si>
  <si>
    <t>Hoang Nguyen, Harsangeet Sandhu, Andrew Nguyen, David Fabian, David Ng</t>
  </si>
  <si>
    <t>Team: Proton Import  -  Project: Secure Realtime DB Import Desktop App</t>
  </si>
  <si>
    <t>CSE28</t>
  </si>
  <si>
    <t>Italian Grey Wolves</t>
  </si>
  <si>
    <t>Database front-end app</t>
  </si>
  <si>
    <t>ISSNAF</t>
  </si>
  <si>
    <t>Italian Scientists &amp; Scholars in North America Foundation is a non profit organization whose mission is to connect, empower and celebrate the Italian Intellectual Diaspora in North America. Our team was committed to helping the organization manage its data and making searching for information convenient and accessible. Our project delivered a user-friendly frontend web application that empowers admins and viewers to manage a database of members’ profiles and the organizations they’re affiliated with. Our fluent user interface allows for easy access to all the information to help the Italian Scientists and Scholars in North America Foundation continue the mission they represent.</t>
  </si>
  <si>
    <t>Cristine Penero, Alvin Collier, Uriel Montes, Jaime Rivera Vazquez, Katharina Ng</t>
  </si>
  <si>
    <t>Team: Italian Grey Wolves  -  Project: Database front-end app</t>
  </si>
  <si>
    <t>CSE29</t>
  </si>
  <si>
    <t>DataStack</t>
  </si>
  <si>
    <t>Italian Scientists &amp; Scholars in North America Foundation is a non-profit organization that Connects, Empowering, Celebrating the Italian Intellectual Diaspora in North America.  Currently they are storing information about members in a MySql database, making it extremely inconvenient and time consuming to access and manage data. We developed a solution that displays the information through a React application that will make accessing and reading data easier for both users and admins. Our solution will not only create a better experience searching the database, but also become an effective tool for admins to manage the data as well.</t>
  </si>
  <si>
    <t>Sydney Cripe, Jairo Carreon, Rogelio Aguilar, Jesus Martinez-De Santos, Ryan Valadez</t>
  </si>
  <si>
    <t>Team: DataStack  -  Project: Database front-end app</t>
  </si>
  <si>
    <t>CSE30</t>
  </si>
  <si>
    <t>Wings</t>
  </si>
  <si>
    <t>ISSNAF, the Italian Scholars and Scientists in North America Foundation, is a not-for-profit organization whose mission is to connect, empower and celebrate the Italian Intellectual Diaspora in North America, including more than 3000 scholars, researchers, and technologists in North America. Currently their database is a MYSQL database and only a few members can find information and manage the data. We developed a solution that displays the information in a PHP website accessible for both admin and user. Developing in PHP, allows the website to have simple interface, while being able to process large amounts of data for all ISSNAF members to access and allow admin to maintain the database.</t>
  </si>
  <si>
    <t>Alfonso Nevarez, Yingshi Liu, Pedro Torres, Ankit Sompura, Benito Hernandez</t>
  </si>
  <si>
    <t>Team: Wings  -  Project: Database front-end app</t>
  </si>
  <si>
    <t>2021-01-Spring-EngSL</t>
  </si>
  <si>
    <t>EngSL</t>
  </si>
  <si>
    <t>EngSL1</t>
  </si>
  <si>
    <t>Permafrost</t>
  </si>
  <si>
    <t>Fresno Discovery Center</t>
  </si>
  <si>
    <t>Fresno Discovery Center strives to ignite curiosity and imagination in the youth of the Central Valley by providing a hands-on approach to STEAM learning. In partnership with Fresno Discovery Center, the Thawing Permafrost Engineering Service Learning team is creating an educational exhibit to teach children at the Discover Center about the effects of climate change on permafrost. Through this engaging exhibition, parents and children will be encouraged to take steps toward environmental conservation. The Thawing Permafrost project is expected to be delivered in May 2021. </t>
  </si>
  <si>
    <t>Enrique Aguilar, Nayeli Basulto, Nina Bullock, Ambrose Liu, Alexndra Lopez, Sarah Padilla, Ivan Palacios, Bryan Powell, Christopher Rodriguez, Sean Saki, Peter Sou, Pedro Torres, Lucas Tran, Mark Twomey, Sreeda Vemuri, Jacob Gilmartin</t>
  </si>
  <si>
    <t>Team: Permafrost  -  Project: Permafrost</t>
  </si>
  <si>
    <t>EngSL2</t>
  </si>
  <si>
    <t>Connecting Communities</t>
  </si>
  <si>
    <t>Healthy House</t>
  </si>
  <si>
    <t>Healthy House works to improve access to healthcare for the multi-ethnic communities in Merced County. In recent studies, as many as 25% of later in life women report physical and mental health symptoms related to isolation.  In collaboration with Healthy House, the Project Protect Engineering Service Learning team is developing a system to aid these women in reestablishing community connections. Through this system, local community organizations will be able to more efficiently support these valued members of their community. The Reconnecting Communities project is expected to be delivered in April 2021.  </t>
  </si>
  <si>
    <t>Joshua Phelps, Guadalupe Singh, Barbara G. Uribe Montes, Jeanette Adame, Francisco Lira, Joselyn Vasquez, Sawyer Ingersoll, Katherine Deras, Ralph Trejo, Sean Saki</t>
  </si>
  <si>
    <t>Team: Connecting Communities  -  Project: Connecting Communities</t>
  </si>
  <si>
    <t xml:space="preserve">Lucas Lopez    Rafael Rodriguez    Valentin Marquez    Natalie Cardona    Lucio Moreno                                   </t>
  </si>
  <si>
    <t>Alfredo Solis    Jesus Padilla    Simon Vergara    Anthony Mongan Sulak    Salvador Lopez</t>
  </si>
  <si>
    <t>Thani Nuru    Valerie Barron    Sarah Pagano    Miranda Thomas    Lizet Ortega</t>
  </si>
  <si>
    <t>Ethan Chua    Julio Vazquez    Josue Nieto    Denise Rosas    Nicholas Carreon</t>
  </si>
  <si>
    <t>William Perez    Juan Gomez    Luis Avalos    Caleb Young    Efren Rodriguez</t>
  </si>
  <si>
    <t>Marco Medina    Kevin Lemus    Harinder Sidhu    Kyle Earle    Noe Ayala</t>
  </si>
  <si>
    <t>Noel Fernandez    Xyre Windelle Quijana    Olatunbosun Durojaiye    Jeremiah Tower    Akasha Ashraf</t>
  </si>
  <si>
    <t>Deniz Akpinaroglu    Christian Ulloa    Syndee Villa    Sandra Chacon    Skye Rummer</t>
  </si>
  <si>
    <t>Richard Dominguez    Joseph Bello    Julissa Aviles-Aleman    ian Scott    Renee Helfert</t>
  </si>
  <si>
    <t>Alexander Figueroa    Carlos Montano    Eric Preciado    Kiran Raj    Andy Ngo</t>
  </si>
  <si>
    <t>Josue De Simon    Nayeli Basulto    Matthew Deeming    Steven Arreola</t>
  </si>
  <si>
    <t>Truman Chan    Karen Badajoz    Karim Nava    Peter Stein    John Tello</t>
  </si>
  <si>
    <t>Neel Patel    Habibatu Mboka    Jacob Nesslage    Francisco Michel    Enrique Lopez Santoyo</t>
  </si>
  <si>
    <t>Luis Guzman Wug    Laura Barbosa    Chen-Chi Liu    Egheose Iyorah    David Garcia</t>
  </si>
  <si>
    <t>Robert Coop    Anthony Rodriguez    Anthony Spear    Johanna Araiza    Gabriel Zepeda</t>
  </si>
  <si>
    <t>James Bautista    Roberto Castillo    Ryan Wong    Munim Mir    Gabriel Llamas</t>
  </si>
  <si>
    <t>Amar Mann    Aries Pacudan    Anthony Vasquez    Adam Rhetta    Ahmed Osman</t>
  </si>
  <si>
    <t>Christopher Maravilla    Jose Erevia    Francisco Camacho    Jenniffer Oroxon    Paulo Sandoval</t>
  </si>
  <si>
    <t>Michael Souza    Jose Garcia-Esparza    Julianna Porraz    Ever Carbajal    Brian Wong</t>
  </si>
  <si>
    <t>Aaron Padilla    Ivan Ramirez    Elwood Macmurray-Morales    Mizrrain Lara Nava    Adrian Huizar</t>
  </si>
  <si>
    <t>Fernando Roman    Deanicia Marie Delizo    Arianna Tariqi    Jared Chatas    Chenpreet Sandhu</t>
  </si>
  <si>
    <t>Jahzel Roman-Torres    Felipe Ramirez    Francisco Mascorro Montes    Emmy Zepeda</t>
  </si>
  <si>
    <t>Luis Teran Salazar    Marco Melendez    Nina Ledang    Joshua Giammichele    Oscar Morales</t>
  </si>
  <si>
    <t>Shaun Abu    Steven Perkins    Jason Matthew Miguel    Miguel Gongora Melara    Sara Pantoja</t>
  </si>
  <si>
    <t>Karina Solorio    Joseph Avalos    Shawn Sjamsudin    Romson Abat    Francisco Olmos</t>
  </si>
  <si>
    <t>Derek Edenchukwu    Izcalli Rios-Aguirre    Abraham Zurita    Christopher Ramirez    Daniel Cruz</t>
  </si>
  <si>
    <t>Emmanuel Magdaleno    John Leiga    Matthew Davis    Enrique Lopez    Carlos Benavente</t>
  </si>
  <si>
    <t>Christopher Rodriguez    Antonio Pina    Jacob Stehle    John Makkouk    Julian Gonzalez</t>
  </si>
  <si>
    <t>Johnson Yee    Luis Cruz    Sean Johnson    Jorge Rodriguez Alvarado    Marisol Vidauri-Sandoval</t>
  </si>
  <si>
    <t>Luis Angulo    John Francis Mijares    Federico Del Castillo Carnero    Josue Figueroa    Theodore Ude</t>
  </si>
  <si>
    <t>Jesus Caballero    Daniela Martinez    Alexander Woodside    Katie Haitema    Jorge Ayala</t>
  </si>
  <si>
    <t>Nathan Ross    Andrew Wong    Daniel Maciel Manzo    Jacob Gilmartin    Jamal  Bills</t>
  </si>
  <si>
    <t>Carl Kenneth Martin    Busher Bridi    Christian Quinonez    Kevin Matei    Kumaran Akilan</t>
  </si>
  <si>
    <t>James Nguyen    Andy Zhang    Jason Zhu    Brandon Escobar    Armaan Kapoor</t>
  </si>
  <si>
    <t>Luis Garcia-Velasquez    Christian Baronia    Hubert Le    Bykema  Mobley    Jesus Fragoso</t>
  </si>
  <si>
    <t>Eduardo Raygoza    Christopher Achiles    John Villalta    Mrudhun Arivalagan    Chris Ahrens</t>
  </si>
  <si>
    <t>Eric Morris    Eshant Prakash    Manvir Dhillon    Angel  Snavely    Wesley Chan</t>
  </si>
  <si>
    <t>Ian Lopez Chavez    Nampal Singh    Harmanjeet Singh    Huy Vu    Tarandeep Singh</t>
  </si>
  <si>
    <t>Clifford Lee    Bruce Duong    Gilberto Aramburo    Isaiah Acosta    Jordan Montano</t>
  </si>
  <si>
    <t>Eric Chao    Patrick Cruz    Paulo Alberto Sousa    Rene Jaimes    Anand Sivaram</t>
  </si>
  <si>
    <t>Morgan Trembley    Roberto Cordero    Thomas Moua    Enrique Florencio    Darren Correa</t>
  </si>
  <si>
    <t>Annemarie Porter    Alberc Ej Salcedo    Sargune Kalsi    Daniel Ye    Francesco Gnerre</t>
  </si>
  <si>
    <t>Aaron Cuevas    Bernadette Ortiz    Philip Felizarta    Tyler Brittain    John Villalvazo</t>
  </si>
  <si>
    <t>Vibhiskanda Ganapathy    Zachary Lebrilla    Uchenna Nworgu    Andrew Duong    Adithya Parvatharajan</t>
  </si>
  <si>
    <t>Jason Ferry    Anthony Sainez    Fernando Mendoza    Vincent Mac    Ulises Hernandez</t>
  </si>
  <si>
    <t>Jonathan Arevalo    Joshua Ngalima    Emmanuel Ngalima    James Engstrand    John Renteria</t>
  </si>
  <si>
    <t>Gabriel Irizarry Torres    Gary Sun    Josue Gialis    Leah Walker    Eivanne Eser</t>
  </si>
  <si>
    <t>Fernando Diego Chino    Irma Gonzalez Padilla    Austin Chan    Gerardo Rodriguez    Adrian Sanchez Magana</t>
  </si>
  <si>
    <t>Jordan Benoit    Baudelio Perez    Tianyu Gao    Ricardo Sanchez-Macias    Michael Ngo</t>
  </si>
  <si>
    <t>Brendan Blasius    Uche Ezeokoli    Juan Torres Esquivel    Brandon Salazar</t>
  </si>
  <si>
    <t>Howard Yuan    Diana Palafox    Nicholas Chin    Martin Vazquez Orozco    Ma. Franchesca Lopez</t>
  </si>
  <si>
    <t>Jose Zarate    John Muro    Salvador Rodriguez    Ean Camacho-Escobedo</t>
  </si>
  <si>
    <t>David Dominguez    Jonathan Contreras    Karthik Gnanakumar    Kennedy Nguyen    Michael Issa</t>
  </si>
  <si>
    <t>Zong Lee    Saishrithik Sareddy    Tristen Trias    Emmanuel Durago    Emanuel Estrada</t>
  </si>
  <si>
    <t>Nobuhiro Fukaya    Adrian Darian    Manjot Singh    Faith Blue    Lan Do</t>
  </si>
  <si>
    <t>Jakob Potosme    Spencer Tang    Gustavo Canela    Malia Bowman    Wyssanie Chomsin</t>
  </si>
  <si>
    <t>Cristian Galvan    Annisa Fahira    Andres Calvillo Aguilar    Andy Alvarenga    Ernesto Gutierrez</t>
  </si>
  <si>
    <t>Hoang Nguyen    Harsangeet Sandhu    Andrew Nguyen    David Fabian    David Ng</t>
  </si>
  <si>
    <t>Cristine Penero    Alvin Collier    Uriel Montes    Jaime Rivera Vazquez    Katharina Ng</t>
  </si>
  <si>
    <t>Sydney Cripe    Jairo Carreon    Rogelio Aguilar    Jesus Martinez-De Santos    Ryan Valadez</t>
  </si>
  <si>
    <t>Alfonso Nevarez    Yingshi Liu    Pedro Torres    Ankit Sompura    Benito Hernandez</t>
  </si>
  <si>
    <t xml:space="preserve">Enrique Aguilar    Nayeli Basulto    Nina Bullock    Ambrose Liu    Alexndra Lopez    Sarah Padilla    Ivan Palacios    Bryan Powell    Christopher Rodriguez    Sean Saki    Peter Sou    Pedro Torres    Lucas Tran    Mark Twomey    Sreeda Vemuri    Jacob Gilmartin      </t>
  </si>
  <si>
    <t>Joshua Phelps    Guadalupe Singh    Barbara G. Uribe Montes    Jeanette Adame    Francisco Lira    Joselyn Vasquez    Sawyer Ingersoll    Katherine Deras    Ralph Trejo    Sean Saki</t>
  </si>
  <si>
    <t xml:space="preserve">Project Title </t>
  </si>
  <si>
    <t>Pallet containment and handling</t>
  </si>
  <si>
    <t>2020-08-Fall-CSE</t>
  </si>
  <si>
    <t>Demetryst</t>
  </si>
  <si>
    <t>Ag-Gregation and Best Practices Sharing</t>
  </si>
  <si>
    <t>There are many AgTech web services that are not easily accessed together even though their data is all important to a grower. The team created a platform that would integrate multiple web services as well as an interface that would allow growers to share their farming practices with each other.</t>
  </si>
  <si>
    <t>Bryce Keeton, Camille Vo, Phu Luc, Yamini Pattan</t>
  </si>
  <si>
    <t xml:space="preserve">&lt;input type="button" style="background-color:#21B327;width:35px;
height:35px;" value=&amp;#8594&gt;
</t>
  </si>
  <si>
    <t>Farmbook</t>
  </si>
  <si>
    <t>Currently the farming industry lacks a platform that integrates multiple chains of farming services/techniques. The Farmbook team created a farm analytic website that integrates datasets from some of Veracruz Ventures AgTech web services. This website attempts to consolidate that information into one easy site for the farmer's use.</t>
  </si>
  <si>
    <t>Audie Mar Santos, Ilsia Gonzalez, Kieran Dela Virgen, Turner Dean</t>
  </si>
  <si>
    <t>Mace</t>
  </si>
  <si>
    <t>Warehouse Product Geo-tagging</t>
  </si>
  <si>
    <t>The Morning Star Geotagging Project is a web service which allows them to "geotag" their cargo, that is to save its GPS location to the cloud.  The Morning Star Packing Company can use this in their warehouse's open environment, saving costs on infrastructure.</t>
  </si>
  <si>
    <t>Abel Alamillo, Erick Uriostegui, Jaeha Hwang, Kevin Zheng</t>
  </si>
  <si>
    <t>Red Star Inventory</t>
  </si>
  <si>
    <t>Morning Star stores and ships out containers from their warehouse through a tracking system with barcodes. However, their scanners are only able to receive 88% of the scanned containers. The main objective was to create an application that allows employees to scan and store into an inventory management system. This project incorporates a mobile application that allows employees of Morning Star to efficiently scan barcodes of the containers, input the accurate rows and columns, and allow administrators to search for location.</t>
  </si>
  <si>
    <t>Jesus Vera, James Wei, Puneet Pal Kaur, Rene Cueva Salas</t>
  </si>
  <si>
    <t>Morningstars</t>
  </si>
  <si>
    <t>Morning Star has a large storage area and has issues with lost containers. The team developed a scanning application for android that allows onsite scanning of barcodes and allows GPS tags to be attached to scanned data. This is paired with a user input section, and row, allowing them to locate containers more reliably in their storage area.</t>
  </si>
  <si>
    <t>Alan Bohannon, Ada Pluguez, Hacsibe Ayon Rivera, Winnie Crumpton</t>
  </si>
  <si>
    <t>T-21 Pathfinder</t>
  </si>
  <si>
    <t>KiDs Tracker</t>
  </si>
  <si>
    <t>Valley Children's Hospital</t>
  </si>
  <si>
    <t>Down syndrome continues to be the most common chromosomal disorder and requires specific guidelines and recommendations that not all healthcare providers may be familiar with. For this reason, it is important for parents to be aware of these recommendations so they may advocate for their child and ensure proper tests and milestones are met within their respective time frame. To facilitate the access to information for the parents, the team created an android application that outlines healthcare guidelines and provides appointment recommendations based on the health information of the patient.</t>
  </si>
  <si>
    <t>Brian Matamet Salas, Darshan Bulsara, Eduardo Flores, Pearce Kinney, Travis Vo</t>
  </si>
  <si>
    <t>Helping Hands</t>
  </si>
  <si>
    <t>Down syndrome, also referred to as Trisomy 21, is the most common chromosomal genetic disorder in the United States.  Approximately 6,000 babies are born with Down syndrome every year in the US.  Individuals with Down syndrome have health problems that commonly affect growth, intellectual ability, the heart, eyes, ears.  Routine checkups and regular monitoring can help prevent complications.  This application is designed to help parents advocate for their children with respect to the proper recommendations and timely interventions in order to minimize the risk of associated morbidity.</t>
  </si>
  <si>
    <t>Barbara Uribe Montes, Christopher Gomez-Selio, Daniel Toriz Valdovinos, Necole Goodman, Nelly Lopez</t>
  </si>
  <si>
    <t>Smiling Friends</t>
  </si>
  <si>
    <t>Securing home networks against IoT devices</t>
  </si>
  <si>
    <t>Cisco's goal for the team was to find a way to secure user's devices from malicious IOT devices. The team found a solution to this problem by hosting a local VPN in front of router to encrypt our data from all other devices on the network.</t>
  </si>
  <si>
    <t>Guangyu Li, Ivy Nguyen, Nathan Blais, Orion Johnson</t>
  </si>
  <si>
    <t>Cisco²</t>
  </si>
  <si>
    <t>In order to shield the average household network from IoT based attacks, Cisco has devised a solution to encrypt all traffic of certain devices. This is achieved by utilizing a VPN protocol known as Wireguard. This protocol is a UDP based solution that uses state of the art cryptography. In tandem, a Raspberry Pi is used to handle traffic of all devices connected via Wireguard. In esscence, the solution can be modeled after a VIP room at a network facility. Users can select specific devices that they want to be secured, while leaving the rest of the network blind to their traffic.</t>
  </si>
  <si>
    <t>Cristian Ortiz, Emmanuel Vargas, Joshua Ta, Karina Perez</t>
  </si>
  <si>
    <t>DVR²</t>
  </si>
  <si>
    <t>Easy to use software for household/businesses looking to privatize their network's data usage. A VPN protocol called Wireguard,  allows us to encrypt the client's on the local network. The team designed to be a plug and play software: you install it on an external device that runs Linux and then press the Setup button which will install everything it requires. Finally, push the start button and your network is secured.</t>
  </si>
  <si>
    <t>David Nguyen, Raman Bakoz, Roderick Buo, Vincent Stanford</t>
  </si>
  <si>
    <t>2020-08-Fall-CAP</t>
  </si>
  <si>
    <t>HALLs Carts</t>
  </si>
  <si>
    <t>Irrigation Efficiency</t>
  </si>
  <si>
    <t>California Transplants</t>
  </si>
  <si>
    <t>The team designed a cart for the California Transplants nursery to optimize labor and streamline efficiency by making it more compact and easier to travel in between greenhouses as well as having the ability to operate forty-six acres of greenhouses without losing major water loss or adding extra labor time to use. The cart will have retractable wings to increase maneuverability as well as running on a program that can control the speed depending on the section one assigns it to, reducing water waste and saving labor work by around 1 hour per person.</t>
  </si>
  <si>
    <t>Armando Hernandez Flores, Humberto Sandoval, Luis Mendoza Silva, Luis Valenzuela</t>
  </si>
  <si>
    <t>Reuse of End-of-Life Plastics</t>
  </si>
  <si>
    <t>Reuse of End-of-Life Mixed Plastics</t>
  </si>
  <si>
    <t>Jatco Incorporated is an injection molding company in Modesto, California and is facing the current problem of the disposition of plastic products post-consumer use. The team designed an automated RFID and conveyor sorting system that will identify and sort recycled plastic products. This will allow Jatco Incorporated to recieve used plastic products from their customers, identify the product, and sort it based on the material composition. Once the plastic products are sorted by material, Jatco Incorporated will be able to regrind the plastic and mix it in with their virgin plastic to create new products made from recycled materials. This minimizes the waste of and maximizes the use of end-of-life-mixed-plastics.</t>
  </si>
  <si>
    <t>Angelica Pineda, Ashley St. Marie, Linda Erazo, Martin Ghattas</t>
  </si>
  <si>
    <t>G.A.S.S. Engineering</t>
  </si>
  <si>
    <t>Jatco Incorporated has a vision of zero waste in their plastics manufacturing process and for their end-of-life plastic products to avoid landfill post-consumer use. For the client to achieve this, the team focused on the injection process of RFID tags into one of their plastic products. With the team's proposed solution, the RFIDs will be embedded into the plastic products with information encoded into them, so that Jatco Incorporated can receive the products back from the consumers. These products will then be identified and sorted by material, to be regrinded and reused in a cost-effective and efficient manner.</t>
  </si>
  <si>
    <t>Aritz Guereca, Giovanni Rosas, Sergio Mendez- gutierrez, Steven Soe</t>
  </si>
  <si>
    <t>Purple Dream</t>
  </si>
  <si>
    <t>Carbon Fiber Foot Brace</t>
  </si>
  <si>
    <t>The Pi Shop is a product business incubator in the Central Valley, California. The client has asked for a solution to alleviate foot pain caused by plantar fasciitis and rheumatoid arthritis. The team has provided a potential solution using the biomechanics of the foot, and the fundamental concepts of component design in the form of an orthotic insole.</t>
  </si>
  <si>
    <t>Jose Duran Juache, Jacob Ortega, Julia Truong, Oscar Orozco, Thuya Lwin</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</si>
</sst>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9.0"/>
      <color rgb="FF000000"/>
      <name val="Arial"/>
    </font>
    <font>
      <b/>
      <sz val="9.0"/>
      <color rgb="FFEFEFEF"/>
      <name val="Arial"/>
    </font>
    <font>
      <b/>
      <sz val="9.0"/>
      <color theme="1"/>
      <name val="Arial"/>
    </font>
    <font>
      <sz val="9.0"/>
      <color theme="1"/>
      <name val="Arial"/>
    </font>
    <font>
      <sz val="9.0"/>
      <color rgb="FF000000"/>
      <name val="Arial"/>
    </font>
    <font>
      <sz val="7.0"/>
      <color rgb="FF000000"/>
      <name val="Arial"/>
    </font>
    <font>
      <sz val="7.0"/>
      <color theme="1"/>
      <name val="Arial"/>
      <scheme val="minor"/>
    </font>
    <font>
      <color theme="1"/>
      <name val="Arial"/>
      <scheme val="minor"/>
    </font>
  </fonts>
  <fills count="5">
    <fill>
      <patternFill patternType="none"/>
    </fill>
    <fill>
      <patternFill patternType="lightGray"/>
    </fill>
    <fill>
      <patternFill patternType="solid">
        <fgColor rgb="FFCCCCCC"/>
        <bgColor rgb="FFCCCCCC"/>
      </patternFill>
    </fill>
    <fill>
      <patternFill patternType="solid">
        <fgColor rgb="FF666666"/>
        <bgColor rgb="FF666666"/>
      </patternFill>
    </fill>
    <fill>
      <patternFill patternType="solid">
        <fgColor rgb="FFFFFFFF"/>
        <bgColor rgb="FFFFFFFF"/>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0"/>
    </xf>
    <xf borderId="0" fillId="2" fontId="1" numFmtId="0" xfId="0" applyAlignment="1" applyFont="1">
      <alignment horizontal="left" shrinkToFit="0" vertical="center" wrapText="0"/>
    </xf>
    <xf borderId="0" fillId="3" fontId="2" numFmtId="0" xfId="0" applyAlignment="1" applyFill="1" applyFont="1">
      <alignment horizontal="left" readingOrder="0" shrinkToFit="0" vertical="center" wrapText="0"/>
    </xf>
    <xf borderId="0" fillId="3" fontId="2" numFmtId="0" xfId="0" applyAlignment="1" applyFont="1">
      <alignment horizontal="left" shrinkToFit="0" vertical="center" wrapText="0"/>
    </xf>
    <xf borderId="0" fillId="0" fontId="3" numFmtId="0" xfId="0" applyAlignment="1" applyFont="1">
      <alignment horizontal="left" readingOrder="0" vertical="center"/>
    </xf>
    <xf borderId="0" fillId="0" fontId="4" numFmtId="0" xfId="0" applyAlignment="1" applyFont="1">
      <alignment horizontal="left" vertical="center"/>
    </xf>
    <xf borderId="0" fillId="0" fontId="5" numFmtId="0" xfId="0" applyAlignment="1" applyFont="1">
      <alignment horizontal="left" readingOrder="0" shrinkToFit="0" vertical="center" wrapText="0"/>
    </xf>
    <xf borderId="0" fillId="4" fontId="5" numFmtId="0" xfId="0" applyAlignment="1" applyFill="1" applyFont="1">
      <alignment horizontal="left" readingOrder="0" shrinkToFit="0" vertical="center" wrapText="0"/>
    </xf>
    <xf borderId="0" fillId="0" fontId="4" numFmtId="0" xfId="0" applyAlignment="1" applyFont="1">
      <alignment horizontal="left" readingOrder="0" vertical="center"/>
    </xf>
    <xf borderId="0" fillId="4" fontId="4" numFmtId="0" xfId="0" applyAlignment="1" applyFont="1">
      <alignment horizontal="left" readingOrder="0" shrinkToFit="0" vertical="center" wrapText="0"/>
    </xf>
    <xf borderId="0" fillId="0" fontId="6" numFmtId="0" xfId="0" applyAlignment="1" applyFont="1">
      <alignment readingOrder="0" vertical="center"/>
    </xf>
    <xf borderId="0" fillId="0" fontId="7" numFmtId="0" xfId="0" applyAlignment="1" applyFont="1">
      <alignment readingOrder="0" vertical="center"/>
    </xf>
    <xf borderId="0" fillId="0" fontId="7" numFmtId="0" xfId="0" applyAlignment="1" applyFont="1">
      <alignment vertical="center"/>
    </xf>
    <xf borderId="0" fillId="0" fontId="7" numFmtId="0" xfId="0" applyAlignment="1" applyFont="1">
      <alignment readingOrder="0" vertical="center"/>
    </xf>
    <xf borderId="0" fillId="0" fontId="8" numFmtId="0" xfId="0" applyAlignment="1" applyFont="1">
      <alignment vertical="center"/>
    </xf>
    <xf borderId="0" fillId="4" fontId="5" numFmtId="0" xfId="0" applyAlignment="1" applyFont="1">
      <alignment readingOrder="0" shrinkToFit="0" vertical="center" wrapText="0"/>
    </xf>
    <xf borderId="0" fillId="0" fontId="5" numFmtId="0" xfId="0" applyAlignment="1" applyFont="1">
      <alignment readingOrder="0" shrinkToFit="0" vertical="center" wrapText="0"/>
    </xf>
    <xf borderId="0" fillId="4" fontId="4" numFmtId="0" xfId="0" applyAlignment="1" applyFont="1">
      <alignment horizontal="left" shrinkToFit="0" vertical="center" wrapText="0"/>
    </xf>
    <xf borderId="0" fillId="4" fontId="5" numFmtId="0" xfId="0" applyAlignment="1" applyFont="1">
      <alignment shrinkToFit="0" vertical="center" wrapText="0"/>
    </xf>
    <xf borderId="0" fillId="0" fontId="5" numFmtId="0" xfId="0" applyAlignment="1" applyFont="1">
      <alignment shrinkToFit="0" vertical="center" wrapText="0"/>
    </xf>
    <xf borderId="0" fillId="4" fontId="5" numFmtId="1" xfId="0" applyAlignment="1" applyFont="1" applyNumberFormat="1">
      <alignmen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6.13"/>
    <col customWidth="1" min="3" max="3" width="6.0"/>
    <col customWidth="1" min="4" max="4" width="7.38"/>
    <col customWidth="1" min="5" max="5" width="17.88"/>
    <col customWidth="1" min="6" max="6" width="30.88"/>
    <col customWidth="1" min="7" max="7" width="23.25"/>
    <col customWidth="1" min="8" max="8" width="19.0"/>
    <col customWidth="1" min="9" max="9" width="32.5"/>
    <col customWidth="1" min="10" max="10" width="66.75"/>
  </cols>
  <sheetData>
    <row r="1" ht="18.75" customHeight="1">
      <c r="A1" s="1" t="s">
        <v>0</v>
      </c>
      <c r="B1" s="1" t="s">
        <v>1</v>
      </c>
      <c r="C1" s="1" t="s">
        <v>2</v>
      </c>
      <c r="D1" s="2" t="s">
        <v>3</v>
      </c>
      <c r="E1" s="2" t="s">
        <v>4</v>
      </c>
      <c r="F1" s="1" t="s">
        <v>5</v>
      </c>
      <c r="G1" s="1" t="s">
        <v>6</v>
      </c>
      <c r="H1" s="1" t="s">
        <v>7</v>
      </c>
      <c r="I1" s="3" t="s">
        <v>8</v>
      </c>
      <c r="J1" s="3" t="s">
        <v>9</v>
      </c>
      <c r="K1" s="4" t="s">
        <v>10</v>
      </c>
      <c r="L1" s="5" t="s">
        <v>11</v>
      </c>
      <c r="M1" s="5" t="s">
        <v>12</v>
      </c>
      <c r="N1" s="6"/>
      <c r="O1" s="6"/>
      <c r="P1" s="6"/>
      <c r="Q1" s="6"/>
      <c r="R1" s="6"/>
      <c r="S1" s="6"/>
      <c r="T1" s="6"/>
      <c r="U1" s="6"/>
      <c r="V1" s="6"/>
      <c r="W1" s="6"/>
      <c r="X1" s="6"/>
      <c r="Y1" s="6"/>
      <c r="Z1" s="6"/>
    </row>
    <row r="2" ht="18.75" customHeight="1">
      <c r="A2" s="7">
        <v>1.0</v>
      </c>
      <c r="B2" s="8" t="s">
        <v>13</v>
      </c>
      <c r="C2" s="8" t="s">
        <v>14</v>
      </c>
      <c r="D2" s="7" t="s">
        <v>15</v>
      </c>
      <c r="E2" s="9" t="s">
        <v>16</v>
      </c>
      <c r="F2" s="7" t="s">
        <v>17</v>
      </c>
      <c r="G2" s="7" t="s">
        <v>18</v>
      </c>
      <c r="H2" s="9" t="s">
        <v>19</v>
      </c>
      <c r="I2" s="9" t="s">
        <v>20</v>
      </c>
      <c r="J2" s="7" t="s">
        <v>21</v>
      </c>
      <c r="K2" s="10" t="s">
        <v>22</v>
      </c>
      <c r="L2" s="9"/>
      <c r="M2" s="9" t="s">
        <v>23</v>
      </c>
      <c r="N2" s="6"/>
      <c r="O2" s="6"/>
      <c r="P2" s="6"/>
      <c r="Q2" s="6"/>
      <c r="R2" s="6"/>
      <c r="S2" s="6"/>
      <c r="T2" s="6"/>
      <c r="U2" s="6"/>
      <c r="V2" s="6"/>
      <c r="W2" s="6"/>
      <c r="X2" s="6"/>
      <c r="Y2" s="6"/>
      <c r="Z2" s="6"/>
    </row>
    <row r="3" ht="18.75" customHeight="1">
      <c r="A3" s="7">
        <v>5.0</v>
      </c>
      <c r="B3" s="8" t="s">
        <v>13</v>
      </c>
      <c r="C3" s="8" t="s">
        <v>14</v>
      </c>
      <c r="D3" s="8" t="s">
        <v>24</v>
      </c>
      <c r="E3" s="9" t="s">
        <v>25</v>
      </c>
      <c r="F3" s="7" t="s">
        <v>26</v>
      </c>
      <c r="G3" s="7" t="s">
        <v>27</v>
      </c>
      <c r="H3" s="9" t="s">
        <v>28</v>
      </c>
      <c r="I3" s="9" t="s">
        <v>29</v>
      </c>
      <c r="J3" s="7" t="s">
        <v>30</v>
      </c>
      <c r="K3" s="10" t="s">
        <v>22</v>
      </c>
      <c r="L3" s="9"/>
      <c r="M3" s="9" t="s">
        <v>31</v>
      </c>
      <c r="N3" s="6"/>
      <c r="O3" s="6"/>
      <c r="P3" s="6"/>
      <c r="Q3" s="6"/>
      <c r="R3" s="6"/>
      <c r="S3" s="6"/>
      <c r="T3" s="6"/>
      <c r="U3" s="6"/>
      <c r="V3" s="6"/>
      <c r="W3" s="6"/>
      <c r="X3" s="6"/>
      <c r="Y3" s="6"/>
      <c r="Z3" s="6"/>
    </row>
    <row r="4" ht="18.75" customHeight="1">
      <c r="A4" s="7">
        <v>5.0</v>
      </c>
      <c r="B4" s="8" t="s">
        <v>13</v>
      </c>
      <c r="C4" s="8" t="s">
        <v>14</v>
      </c>
      <c r="D4" s="8" t="s">
        <v>32</v>
      </c>
      <c r="E4" s="9" t="s">
        <v>33</v>
      </c>
      <c r="F4" s="7" t="s">
        <v>34</v>
      </c>
      <c r="G4" s="7" t="s">
        <v>27</v>
      </c>
      <c r="H4" s="9" t="s">
        <v>28</v>
      </c>
      <c r="I4" s="9" t="s">
        <v>35</v>
      </c>
      <c r="J4" s="7" t="s">
        <v>36</v>
      </c>
      <c r="K4" s="10" t="s">
        <v>22</v>
      </c>
      <c r="L4" s="9"/>
      <c r="M4" s="9" t="s">
        <v>37</v>
      </c>
      <c r="N4" s="6"/>
      <c r="O4" s="6"/>
      <c r="P4" s="6"/>
      <c r="Q4" s="6"/>
      <c r="R4" s="6"/>
      <c r="S4" s="6"/>
      <c r="T4" s="6"/>
      <c r="U4" s="6"/>
      <c r="V4" s="6"/>
      <c r="W4" s="6"/>
      <c r="X4" s="6"/>
      <c r="Y4" s="6"/>
      <c r="Z4" s="6"/>
    </row>
    <row r="5" ht="18.75" customHeight="1">
      <c r="A5" s="7">
        <v>5.0</v>
      </c>
      <c r="B5" s="8" t="s">
        <v>13</v>
      </c>
      <c r="C5" s="8" t="s">
        <v>14</v>
      </c>
      <c r="D5" s="7" t="s">
        <v>38</v>
      </c>
      <c r="E5" s="9" t="s">
        <v>39</v>
      </c>
      <c r="F5" s="7" t="s">
        <v>40</v>
      </c>
      <c r="G5" s="7" t="s">
        <v>27</v>
      </c>
      <c r="H5" s="9" t="s">
        <v>28</v>
      </c>
      <c r="I5" s="9" t="s">
        <v>41</v>
      </c>
      <c r="J5" s="7" t="s">
        <v>42</v>
      </c>
      <c r="K5" s="10" t="s">
        <v>22</v>
      </c>
      <c r="L5" s="6"/>
      <c r="M5" s="9" t="s">
        <v>43</v>
      </c>
      <c r="N5" s="6"/>
      <c r="O5" s="6"/>
      <c r="P5" s="6"/>
      <c r="Q5" s="6"/>
      <c r="R5" s="6"/>
      <c r="S5" s="6"/>
      <c r="T5" s="6"/>
      <c r="U5" s="6"/>
      <c r="V5" s="6"/>
      <c r="W5" s="6"/>
      <c r="X5" s="6"/>
      <c r="Y5" s="6"/>
      <c r="Z5" s="6"/>
    </row>
    <row r="6" ht="18.75" customHeight="1">
      <c r="A6" s="7">
        <v>5.0</v>
      </c>
      <c r="B6" s="8" t="s">
        <v>13</v>
      </c>
      <c r="C6" s="8" t="s">
        <v>14</v>
      </c>
      <c r="D6" s="7" t="s">
        <v>44</v>
      </c>
      <c r="E6" s="9" t="s">
        <v>45</v>
      </c>
      <c r="F6" s="7" t="s">
        <v>46</v>
      </c>
      <c r="G6" s="7" t="s">
        <v>27</v>
      </c>
      <c r="H6" s="9" t="s">
        <v>28</v>
      </c>
      <c r="I6" s="9" t="s">
        <v>47</v>
      </c>
      <c r="J6" s="7" t="s">
        <v>48</v>
      </c>
      <c r="K6" s="10" t="s">
        <v>22</v>
      </c>
      <c r="L6" s="6"/>
      <c r="M6" s="9" t="s">
        <v>49</v>
      </c>
      <c r="N6" s="6"/>
      <c r="O6" s="6"/>
      <c r="P6" s="6"/>
      <c r="Q6" s="6"/>
      <c r="R6" s="6"/>
      <c r="S6" s="6"/>
      <c r="T6" s="6"/>
      <c r="U6" s="6"/>
      <c r="V6" s="6"/>
      <c r="W6" s="6"/>
      <c r="X6" s="6"/>
      <c r="Y6" s="6"/>
      <c r="Z6" s="6"/>
    </row>
    <row r="7" ht="18.75" customHeight="1">
      <c r="A7" s="7">
        <v>5.0</v>
      </c>
      <c r="B7" s="8" t="s">
        <v>13</v>
      </c>
      <c r="C7" s="8" t="s">
        <v>14</v>
      </c>
      <c r="D7" s="7" t="s">
        <v>50</v>
      </c>
      <c r="E7" s="9" t="s">
        <v>51</v>
      </c>
      <c r="F7" s="7" t="s">
        <v>52</v>
      </c>
      <c r="G7" s="7" t="s">
        <v>27</v>
      </c>
      <c r="H7" s="9" t="s">
        <v>28</v>
      </c>
      <c r="I7" s="9" t="s">
        <v>53</v>
      </c>
      <c r="J7" s="7" t="s">
        <v>54</v>
      </c>
      <c r="K7" s="10" t="s">
        <v>22</v>
      </c>
      <c r="L7" s="6"/>
      <c r="M7" s="9" t="s">
        <v>55</v>
      </c>
      <c r="N7" s="6"/>
      <c r="O7" s="6"/>
      <c r="P7" s="6"/>
      <c r="Q7" s="6"/>
      <c r="R7" s="6"/>
      <c r="S7" s="6"/>
      <c r="T7" s="6"/>
      <c r="U7" s="6"/>
      <c r="V7" s="6"/>
      <c r="W7" s="6"/>
      <c r="X7" s="6"/>
      <c r="Y7" s="6"/>
      <c r="Z7" s="6"/>
    </row>
    <row r="8" ht="18.75" customHeight="1">
      <c r="A8" s="7">
        <v>5.0</v>
      </c>
      <c r="B8" s="8" t="s">
        <v>13</v>
      </c>
      <c r="C8" s="8" t="s">
        <v>14</v>
      </c>
      <c r="D8" s="7" t="s">
        <v>56</v>
      </c>
      <c r="E8" s="9" t="s">
        <v>57</v>
      </c>
      <c r="F8" s="7" t="s">
        <v>58</v>
      </c>
      <c r="G8" s="7" t="s">
        <v>27</v>
      </c>
      <c r="H8" s="9" t="s">
        <v>28</v>
      </c>
      <c r="I8" s="9" t="s">
        <v>59</v>
      </c>
      <c r="J8" s="7" t="s">
        <v>60</v>
      </c>
      <c r="K8" s="10" t="s">
        <v>22</v>
      </c>
      <c r="L8" s="6"/>
      <c r="M8" s="9" t="s">
        <v>61</v>
      </c>
      <c r="N8" s="6"/>
      <c r="O8" s="6"/>
      <c r="P8" s="6"/>
      <c r="Q8" s="6"/>
      <c r="R8" s="6"/>
      <c r="S8" s="6"/>
      <c r="T8" s="6"/>
      <c r="U8" s="6"/>
      <c r="V8" s="6"/>
      <c r="W8" s="6"/>
      <c r="X8" s="6"/>
      <c r="Y8" s="6"/>
      <c r="Z8" s="6"/>
    </row>
    <row r="9" ht="18.75" customHeight="1">
      <c r="A9" s="7">
        <v>4.0</v>
      </c>
      <c r="B9" s="8" t="s">
        <v>13</v>
      </c>
      <c r="C9" s="8" t="s">
        <v>14</v>
      </c>
      <c r="D9" s="7" t="s">
        <v>62</v>
      </c>
      <c r="E9" s="9" t="s">
        <v>63</v>
      </c>
      <c r="F9" s="7" t="s">
        <v>64</v>
      </c>
      <c r="G9" s="7" t="s">
        <v>65</v>
      </c>
      <c r="H9" s="9" t="s">
        <v>28</v>
      </c>
      <c r="I9" s="9" t="s">
        <v>66</v>
      </c>
      <c r="J9" s="7" t="s">
        <v>67</v>
      </c>
      <c r="K9" s="10" t="s">
        <v>22</v>
      </c>
      <c r="L9" s="6"/>
      <c r="M9" s="9" t="s">
        <v>68</v>
      </c>
      <c r="N9" s="6"/>
      <c r="O9" s="6"/>
      <c r="P9" s="6"/>
      <c r="Q9" s="6"/>
      <c r="R9" s="6"/>
      <c r="S9" s="6"/>
      <c r="T9" s="6"/>
      <c r="U9" s="6"/>
      <c r="V9" s="6"/>
      <c r="W9" s="6"/>
      <c r="X9" s="6"/>
      <c r="Y9" s="6"/>
      <c r="Z9" s="6"/>
    </row>
    <row r="10" ht="18.75" customHeight="1">
      <c r="A10" s="7">
        <v>2.0</v>
      </c>
      <c r="B10" s="8" t="s">
        <v>13</v>
      </c>
      <c r="C10" s="8" t="s">
        <v>14</v>
      </c>
      <c r="D10" s="7" t="s">
        <v>69</v>
      </c>
      <c r="E10" s="9" t="s">
        <v>70</v>
      </c>
      <c r="F10" s="7" t="s">
        <v>71</v>
      </c>
      <c r="G10" s="7" t="s">
        <v>72</v>
      </c>
      <c r="H10" s="9" t="s">
        <v>19</v>
      </c>
      <c r="I10" s="9" t="s">
        <v>73</v>
      </c>
      <c r="J10" s="7" t="s">
        <v>74</v>
      </c>
      <c r="K10" s="10" t="s">
        <v>22</v>
      </c>
      <c r="L10" s="6"/>
      <c r="M10" s="9" t="s">
        <v>75</v>
      </c>
      <c r="N10" s="6"/>
      <c r="O10" s="6"/>
      <c r="P10" s="6"/>
      <c r="Q10" s="6"/>
      <c r="R10" s="6"/>
      <c r="S10" s="6"/>
      <c r="T10" s="6"/>
      <c r="U10" s="6"/>
      <c r="V10" s="6"/>
      <c r="W10" s="6"/>
      <c r="X10" s="6"/>
      <c r="Y10" s="6"/>
      <c r="Z10" s="6"/>
    </row>
    <row r="11" ht="18.75" customHeight="1">
      <c r="A11" s="7">
        <v>6.0</v>
      </c>
      <c r="B11" s="8" t="s">
        <v>13</v>
      </c>
      <c r="C11" s="8" t="s">
        <v>14</v>
      </c>
      <c r="D11" s="7" t="s">
        <v>76</v>
      </c>
      <c r="E11" s="9" t="s">
        <v>77</v>
      </c>
      <c r="F11" s="7" t="s">
        <v>78</v>
      </c>
      <c r="G11" s="7" t="s">
        <v>79</v>
      </c>
      <c r="H11" s="9" t="s">
        <v>80</v>
      </c>
      <c r="I11" s="9" t="s">
        <v>81</v>
      </c>
      <c r="J11" s="7" t="s">
        <v>82</v>
      </c>
      <c r="K11" s="10" t="s">
        <v>22</v>
      </c>
      <c r="L11" s="6"/>
      <c r="M11" s="9" t="s">
        <v>83</v>
      </c>
      <c r="N11" s="6"/>
      <c r="O11" s="6"/>
      <c r="P11" s="6"/>
      <c r="Q11" s="6"/>
      <c r="R11" s="6"/>
      <c r="S11" s="6"/>
      <c r="T11" s="6"/>
      <c r="U11" s="6"/>
      <c r="V11" s="6"/>
      <c r="W11" s="6"/>
      <c r="X11" s="6"/>
      <c r="Y11" s="6"/>
      <c r="Z11" s="6"/>
    </row>
    <row r="12" ht="18.75" customHeight="1">
      <c r="A12" s="7">
        <v>1.0</v>
      </c>
      <c r="B12" s="8" t="s">
        <v>13</v>
      </c>
      <c r="C12" s="8" t="s">
        <v>14</v>
      </c>
      <c r="D12" s="7" t="s">
        <v>84</v>
      </c>
      <c r="E12" s="9" t="s">
        <v>85</v>
      </c>
      <c r="F12" s="7" t="s">
        <v>86</v>
      </c>
      <c r="G12" s="7" t="s">
        <v>18</v>
      </c>
      <c r="H12" s="9" t="s">
        <v>19</v>
      </c>
      <c r="I12" s="9" t="s">
        <v>87</v>
      </c>
      <c r="J12" s="7" t="s">
        <v>88</v>
      </c>
      <c r="K12" s="10" t="s">
        <v>22</v>
      </c>
      <c r="L12" s="6"/>
      <c r="M12" s="9" t="s">
        <v>89</v>
      </c>
      <c r="N12" s="6"/>
      <c r="O12" s="6"/>
      <c r="P12" s="6"/>
      <c r="Q12" s="6"/>
      <c r="R12" s="6"/>
      <c r="S12" s="6"/>
      <c r="T12" s="6"/>
      <c r="U12" s="6"/>
      <c r="V12" s="6"/>
      <c r="W12" s="6"/>
      <c r="X12" s="6"/>
      <c r="Y12" s="6"/>
      <c r="Z12" s="6"/>
    </row>
    <row r="13" ht="18.75" customHeight="1">
      <c r="A13" s="7">
        <v>4.0</v>
      </c>
      <c r="B13" s="8" t="s">
        <v>13</v>
      </c>
      <c r="C13" s="8" t="s">
        <v>14</v>
      </c>
      <c r="D13" s="7" t="s">
        <v>90</v>
      </c>
      <c r="E13" s="9" t="s">
        <v>91</v>
      </c>
      <c r="F13" s="7" t="s">
        <v>92</v>
      </c>
      <c r="G13" s="7" t="s">
        <v>93</v>
      </c>
      <c r="H13" s="9" t="s">
        <v>94</v>
      </c>
      <c r="I13" s="9" t="s">
        <v>95</v>
      </c>
      <c r="J13" s="7" t="s">
        <v>96</v>
      </c>
      <c r="K13" s="10" t="s">
        <v>22</v>
      </c>
      <c r="L13" s="6"/>
      <c r="M13" s="9" t="s">
        <v>97</v>
      </c>
      <c r="N13" s="6"/>
      <c r="O13" s="6"/>
      <c r="P13" s="6"/>
      <c r="Q13" s="6"/>
      <c r="R13" s="6"/>
      <c r="S13" s="6"/>
      <c r="T13" s="6"/>
      <c r="U13" s="6"/>
      <c r="V13" s="6"/>
      <c r="W13" s="6"/>
      <c r="X13" s="6"/>
      <c r="Y13" s="6"/>
      <c r="Z13" s="6"/>
    </row>
    <row r="14" ht="18.75" customHeight="1">
      <c r="A14" s="7">
        <v>2.0</v>
      </c>
      <c r="B14" s="8" t="s">
        <v>13</v>
      </c>
      <c r="C14" s="8" t="s">
        <v>14</v>
      </c>
      <c r="D14" s="7" t="s">
        <v>98</v>
      </c>
      <c r="E14" s="9" t="s">
        <v>99</v>
      </c>
      <c r="F14" s="7" t="s">
        <v>100</v>
      </c>
      <c r="G14" s="7" t="s">
        <v>101</v>
      </c>
      <c r="H14" s="9" t="s">
        <v>19</v>
      </c>
      <c r="I14" s="9" t="s">
        <v>102</v>
      </c>
      <c r="J14" s="7" t="s">
        <v>103</v>
      </c>
      <c r="K14" s="10" t="s">
        <v>22</v>
      </c>
      <c r="L14" s="6"/>
      <c r="M14" s="9" t="s">
        <v>104</v>
      </c>
      <c r="N14" s="6"/>
      <c r="O14" s="6"/>
      <c r="P14" s="6"/>
      <c r="Q14" s="6"/>
      <c r="R14" s="6"/>
      <c r="S14" s="6"/>
      <c r="T14" s="6"/>
      <c r="U14" s="6"/>
      <c r="V14" s="6"/>
      <c r="W14" s="6"/>
      <c r="X14" s="6"/>
      <c r="Y14" s="6"/>
      <c r="Z14" s="6"/>
    </row>
    <row r="15" ht="18.75" customHeight="1">
      <c r="A15" s="7">
        <v>6.0</v>
      </c>
      <c r="B15" s="8" t="s">
        <v>13</v>
      </c>
      <c r="C15" s="8" t="s">
        <v>14</v>
      </c>
      <c r="D15" s="7" t="s">
        <v>105</v>
      </c>
      <c r="E15" s="9" t="s">
        <v>106</v>
      </c>
      <c r="F15" s="7" t="s">
        <v>107</v>
      </c>
      <c r="G15" s="7" t="s">
        <v>108</v>
      </c>
      <c r="H15" s="9" t="s">
        <v>80</v>
      </c>
      <c r="I15" s="9" t="s">
        <v>109</v>
      </c>
      <c r="J15" s="7" t="s">
        <v>110</v>
      </c>
      <c r="K15" s="10" t="s">
        <v>22</v>
      </c>
      <c r="L15" s="6"/>
      <c r="M15" s="9" t="s">
        <v>111</v>
      </c>
      <c r="N15" s="6"/>
      <c r="O15" s="6"/>
      <c r="P15" s="6"/>
      <c r="Q15" s="6"/>
      <c r="R15" s="6"/>
      <c r="S15" s="6"/>
      <c r="T15" s="6"/>
      <c r="U15" s="6"/>
      <c r="V15" s="6"/>
      <c r="W15" s="6"/>
      <c r="X15" s="6"/>
      <c r="Y15" s="6"/>
      <c r="Z15" s="6"/>
    </row>
    <row r="16" ht="18.75" customHeight="1">
      <c r="A16" s="7">
        <v>3.0</v>
      </c>
      <c r="B16" s="8" t="s">
        <v>13</v>
      </c>
      <c r="C16" s="8" t="s">
        <v>14</v>
      </c>
      <c r="D16" s="7" t="s">
        <v>112</v>
      </c>
      <c r="E16" s="9" t="s">
        <v>113</v>
      </c>
      <c r="F16" s="7" t="s">
        <v>114</v>
      </c>
      <c r="G16" s="7" t="s">
        <v>115</v>
      </c>
      <c r="H16" s="9" t="s">
        <v>116</v>
      </c>
      <c r="I16" s="9" t="s">
        <v>117</v>
      </c>
      <c r="J16" s="7" t="s">
        <v>118</v>
      </c>
      <c r="K16" s="10" t="s">
        <v>22</v>
      </c>
      <c r="L16" s="6"/>
      <c r="M16" s="9" t="s">
        <v>119</v>
      </c>
      <c r="N16" s="6"/>
      <c r="O16" s="6"/>
      <c r="P16" s="6"/>
      <c r="Q16" s="6"/>
      <c r="R16" s="6"/>
      <c r="S16" s="6"/>
      <c r="T16" s="6"/>
      <c r="U16" s="6"/>
      <c r="V16" s="6"/>
      <c r="W16" s="6"/>
      <c r="X16" s="6"/>
      <c r="Y16" s="6"/>
      <c r="Z16" s="6"/>
    </row>
    <row r="17" ht="18.75" customHeight="1">
      <c r="A17" s="7">
        <v>3.0</v>
      </c>
      <c r="B17" s="8" t="s">
        <v>13</v>
      </c>
      <c r="C17" s="8" t="s">
        <v>14</v>
      </c>
      <c r="D17" s="7" t="s">
        <v>120</v>
      </c>
      <c r="E17" s="9" t="s">
        <v>121</v>
      </c>
      <c r="F17" s="7" t="s">
        <v>122</v>
      </c>
      <c r="G17" s="7" t="s">
        <v>123</v>
      </c>
      <c r="H17" s="9" t="s">
        <v>124</v>
      </c>
      <c r="I17" s="9" t="s">
        <v>125</v>
      </c>
      <c r="J17" s="7" t="s">
        <v>126</v>
      </c>
      <c r="K17" s="10" t="s">
        <v>22</v>
      </c>
      <c r="L17" s="6"/>
      <c r="M17" s="9" t="s">
        <v>127</v>
      </c>
      <c r="N17" s="6"/>
      <c r="O17" s="6"/>
      <c r="P17" s="6"/>
      <c r="Q17" s="6"/>
      <c r="R17" s="6"/>
      <c r="S17" s="6"/>
      <c r="T17" s="6"/>
      <c r="U17" s="6"/>
      <c r="V17" s="6"/>
      <c r="W17" s="6"/>
      <c r="X17" s="6"/>
      <c r="Y17" s="6"/>
      <c r="Z17" s="6"/>
    </row>
    <row r="18" ht="18.75" customHeight="1">
      <c r="A18" s="7">
        <v>3.0</v>
      </c>
      <c r="B18" s="8" t="s">
        <v>13</v>
      </c>
      <c r="C18" s="8" t="s">
        <v>14</v>
      </c>
      <c r="D18" s="7" t="s">
        <v>128</v>
      </c>
      <c r="E18" s="9" t="s">
        <v>129</v>
      </c>
      <c r="F18" s="7" t="s">
        <v>130</v>
      </c>
      <c r="G18" s="7" t="s">
        <v>131</v>
      </c>
      <c r="H18" s="9" t="s">
        <v>28</v>
      </c>
      <c r="I18" s="9" t="s">
        <v>132</v>
      </c>
      <c r="J18" s="7" t="s">
        <v>133</v>
      </c>
      <c r="K18" s="10" t="s">
        <v>22</v>
      </c>
      <c r="L18" s="6"/>
      <c r="M18" s="9" t="s">
        <v>134</v>
      </c>
      <c r="N18" s="6"/>
      <c r="O18" s="6"/>
      <c r="P18" s="6"/>
      <c r="Q18" s="6"/>
      <c r="R18" s="6"/>
      <c r="S18" s="6"/>
      <c r="T18" s="6"/>
      <c r="U18" s="6"/>
      <c r="V18" s="6"/>
      <c r="W18" s="6"/>
      <c r="X18" s="6"/>
      <c r="Y18" s="6"/>
      <c r="Z18" s="6"/>
    </row>
    <row r="19" ht="18.75" customHeight="1">
      <c r="A19" s="7">
        <v>1.0</v>
      </c>
      <c r="B19" s="8" t="s">
        <v>13</v>
      </c>
      <c r="C19" s="8" t="s">
        <v>14</v>
      </c>
      <c r="D19" s="7" t="s">
        <v>135</v>
      </c>
      <c r="E19" s="9" t="s">
        <v>136</v>
      </c>
      <c r="F19" s="7" t="s">
        <v>137</v>
      </c>
      <c r="G19" s="7" t="s">
        <v>138</v>
      </c>
      <c r="H19" s="9" t="s">
        <v>19</v>
      </c>
      <c r="I19" s="9" t="s">
        <v>139</v>
      </c>
      <c r="J19" s="7" t="s">
        <v>140</v>
      </c>
      <c r="K19" s="10" t="s">
        <v>22</v>
      </c>
      <c r="L19" s="6"/>
      <c r="M19" s="9" t="s">
        <v>141</v>
      </c>
      <c r="N19" s="6"/>
      <c r="O19" s="6"/>
      <c r="P19" s="6"/>
      <c r="Q19" s="6"/>
      <c r="R19" s="6"/>
      <c r="S19" s="6"/>
      <c r="T19" s="6"/>
      <c r="U19" s="6"/>
      <c r="V19" s="6"/>
      <c r="W19" s="6"/>
      <c r="X19" s="6"/>
      <c r="Y19" s="6"/>
      <c r="Z19" s="6"/>
    </row>
    <row r="20" ht="18.75" customHeight="1">
      <c r="A20" s="7">
        <v>2.0</v>
      </c>
      <c r="B20" s="8" t="s">
        <v>13</v>
      </c>
      <c r="C20" s="8" t="s">
        <v>14</v>
      </c>
      <c r="D20" s="7" t="s">
        <v>142</v>
      </c>
      <c r="E20" s="9" t="s">
        <v>143</v>
      </c>
      <c r="F20" s="7" t="s">
        <v>144</v>
      </c>
      <c r="G20" s="7" t="s">
        <v>72</v>
      </c>
      <c r="H20" s="9" t="s">
        <v>19</v>
      </c>
      <c r="I20" s="9" t="s">
        <v>145</v>
      </c>
      <c r="J20" s="7" t="s">
        <v>146</v>
      </c>
      <c r="K20" s="10" t="s">
        <v>22</v>
      </c>
      <c r="L20" s="6"/>
      <c r="M20" s="9" t="s">
        <v>147</v>
      </c>
      <c r="N20" s="6"/>
      <c r="O20" s="6"/>
      <c r="P20" s="6"/>
      <c r="Q20" s="6"/>
      <c r="R20" s="6"/>
      <c r="S20" s="6"/>
      <c r="T20" s="6"/>
      <c r="U20" s="6"/>
      <c r="V20" s="6"/>
      <c r="W20" s="6"/>
      <c r="X20" s="6"/>
      <c r="Y20" s="6"/>
      <c r="Z20" s="6"/>
    </row>
    <row r="21" ht="18.75" customHeight="1">
      <c r="A21" s="7">
        <v>6.0</v>
      </c>
      <c r="B21" s="8" t="s">
        <v>13</v>
      </c>
      <c r="C21" s="8" t="s">
        <v>14</v>
      </c>
      <c r="D21" s="7" t="s">
        <v>148</v>
      </c>
      <c r="E21" s="9" t="s">
        <v>149</v>
      </c>
      <c r="F21" s="7" t="s">
        <v>150</v>
      </c>
      <c r="G21" s="7" t="s">
        <v>79</v>
      </c>
      <c r="H21" s="9" t="s">
        <v>80</v>
      </c>
      <c r="I21" s="9" t="s">
        <v>151</v>
      </c>
      <c r="J21" s="7" t="s">
        <v>152</v>
      </c>
      <c r="K21" s="10" t="s">
        <v>22</v>
      </c>
      <c r="L21" s="6"/>
      <c r="M21" s="9" t="s">
        <v>153</v>
      </c>
      <c r="N21" s="6"/>
      <c r="O21" s="6"/>
      <c r="P21" s="6"/>
      <c r="Q21" s="6"/>
      <c r="R21" s="6"/>
      <c r="S21" s="6"/>
      <c r="T21" s="6"/>
      <c r="U21" s="6"/>
      <c r="V21" s="6"/>
      <c r="W21" s="6"/>
      <c r="X21" s="6"/>
      <c r="Y21" s="6"/>
      <c r="Z21" s="6"/>
    </row>
    <row r="22" ht="18.75" customHeight="1">
      <c r="A22" s="7">
        <v>1.0</v>
      </c>
      <c r="B22" s="8" t="s">
        <v>13</v>
      </c>
      <c r="C22" s="8" t="s">
        <v>14</v>
      </c>
      <c r="D22" s="7" t="s">
        <v>154</v>
      </c>
      <c r="E22" s="9" t="s">
        <v>155</v>
      </c>
      <c r="F22" s="7" t="s">
        <v>86</v>
      </c>
      <c r="G22" s="7" t="s">
        <v>18</v>
      </c>
      <c r="H22" s="9" t="s">
        <v>19</v>
      </c>
      <c r="I22" s="9" t="s">
        <v>156</v>
      </c>
      <c r="J22" s="7" t="s">
        <v>157</v>
      </c>
      <c r="K22" s="10" t="s">
        <v>22</v>
      </c>
      <c r="L22" s="6"/>
      <c r="M22" s="9" t="s">
        <v>158</v>
      </c>
      <c r="N22" s="6"/>
      <c r="O22" s="6"/>
      <c r="P22" s="6"/>
      <c r="Q22" s="6"/>
      <c r="R22" s="6"/>
      <c r="S22" s="6"/>
      <c r="T22" s="6"/>
      <c r="U22" s="6"/>
      <c r="V22" s="6"/>
      <c r="W22" s="6"/>
      <c r="X22" s="6"/>
      <c r="Y22" s="6"/>
      <c r="Z22" s="6"/>
    </row>
    <row r="23" ht="18.75" customHeight="1">
      <c r="A23" s="7">
        <v>4.0</v>
      </c>
      <c r="B23" s="8" t="s">
        <v>13</v>
      </c>
      <c r="C23" s="8" t="s">
        <v>14</v>
      </c>
      <c r="D23" s="7" t="s">
        <v>159</v>
      </c>
      <c r="E23" s="9" t="s">
        <v>160</v>
      </c>
      <c r="F23" s="7" t="s">
        <v>92</v>
      </c>
      <c r="G23" s="7" t="s">
        <v>93</v>
      </c>
      <c r="H23" s="9" t="s">
        <v>94</v>
      </c>
      <c r="I23" s="9" t="s">
        <v>161</v>
      </c>
      <c r="J23" s="7" t="s">
        <v>162</v>
      </c>
      <c r="K23" s="10" t="s">
        <v>22</v>
      </c>
      <c r="L23" s="6"/>
      <c r="M23" s="9" t="s">
        <v>163</v>
      </c>
      <c r="N23" s="6"/>
      <c r="O23" s="6"/>
      <c r="P23" s="6"/>
      <c r="Q23" s="6"/>
      <c r="R23" s="6"/>
      <c r="S23" s="6"/>
      <c r="T23" s="6"/>
      <c r="U23" s="6"/>
      <c r="V23" s="6"/>
      <c r="W23" s="6"/>
      <c r="X23" s="6"/>
      <c r="Y23" s="6"/>
      <c r="Z23" s="6"/>
    </row>
    <row r="24" ht="18.75" customHeight="1">
      <c r="A24" s="7">
        <v>2.0</v>
      </c>
      <c r="B24" s="8" t="s">
        <v>13</v>
      </c>
      <c r="C24" s="8" t="s">
        <v>14</v>
      </c>
      <c r="D24" s="7" t="s">
        <v>164</v>
      </c>
      <c r="E24" s="9" t="s">
        <v>165</v>
      </c>
      <c r="F24" s="7" t="s">
        <v>100</v>
      </c>
      <c r="G24" s="7" t="s">
        <v>101</v>
      </c>
      <c r="H24" s="9" t="s">
        <v>19</v>
      </c>
      <c r="I24" s="9" t="s">
        <v>166</v>
      </c>
      <c r="J24" s="7" t="s">
        <v>167</v>
      </c>
      <c r="K24" s="10" t="s">
        <v>22</v>
      </c>
      <c r="L24" s="6"/>
      <c r="M24" s="9" t="s">
        <v>168</v>
      </c>
      <c r="N24" s="6"/>
      <c r="O24" s="6"/>
      <c r="P24" s="6"/>
      <c r="Q24" s="6"/>
      <c r="R24" s="6"/>
      <c r="S24" s="6"/>
      <c r="T24" s="6"/>
      <c r="U24" s="6"/>
      <c r="V24" s="6"/>
      <c r="W24" s="6"/>
      <c r="X24" s="6"/>
      <c r="Y24" s="6"/>
      <c r="Z24" s="6"/>
    </row>
    <row r="25" ht="18.75" customHeight="1">
      <c r="A25" s="7">
        <v>6.0</v>
      </c>
      <c r="B25" s="8" t="s">
        <v>13</v>
      </c>
      <c r="C25" s="8" t="s">
        <v>14</v>
      </c>
      <c r="D25" s="7" t="s">
        <v>169</v>
      </c>
      <c r="E25" s="9" t="s">
        <v>170</v>
      </c>
      <c r="F25" s="7" t="s">
        <v>107</v>
      </c>
      <c r="G25" s="7" t="s">
        <v>108</v>
      </c>
      <c r="H25" s="9" t="s">
        <v>80</v>
      </c>
      <c r="I25" s="9" t="s">
        <v>171</v>
      </c>
      <c r="J25" s="7" t="s">
        <v>172</v>
      </c>
      <c r="K25" s="10" t="s">
        <v>22</v>
      </c>
      <c r="L25" s="6"/>
      <c r="M25" s="9" t="s">
        <v>173</v>
      </c>
      <c r="N25" s="6"/>
      <c r="O25" s="6"/>
      <c r="P25" s="6"/>
      <c r="Q25" s="6"/>
      <c r="R25" s="6"/>
      <c r="S25" s="6"/>
      <c r="T25" s="6"/>
      <c r="U25" s="6"/>
      <c r="V25" s="6"/>
      <c r="W25" s="6"/>
      <c r="X25" s="6"/>
      <c r="Y25" s="6"/>
      <c r="Z25" s="6"/>
    </row>
    <row r="26" ht="18.75" customHeight="1">
      <c r="A26" s="7">
        <v>3.0</v>
      </c>
      <c r="B26" s="8" t="s">
        <v>13</v>
      </c>
      <c r="C26" s="8" t="s">
        <v>14</v>
      </c>
      <c r="D26" s="7" t="s">
        <v>174</v>
      </c>
      <c r="E26" s="9" t="s">
        <v>175</v>
      </c>
      <c r="F26" s="7" t="s">
        <v>114</v>
      </c>
      <c r="G26" s="7" t="s">
        <v>115</v>
      </c>
      <c r="H26" s="9" t="s">
        <v>116</v>
      </c>
      <c r="I26" s="9" t="s">
        <v>176</v>
      </c>
      <c r="J26" s="7" t="s">
        <v>177</v>
      </c>
      <c r="K26" s="10" t="s">
        <v>22</v>
      </c>
      <c r="L26" s="6"/>
      <c r="M26" s="9" t="s">
        <v>178</v>
      </c>
      <c r="N26" s="6"/>
      <c r="O26" s="6"/>
      <c r="P26" s="6"/>
      <c r="Q26" s="6"/>
      <c r="R26" s="6"/>
      <c r="S26" s="6"/>
      <c r="T26" s="6"/>
      <c r="U26" s="6"/>
      <c r="V26" s="6"/>
      <c r="W26" s="6"/>
      <c r="X26" s="6"/>
      <c r="Y26" s="6"/>
      <c r="Z26" s="6"/>
    </row>
    <row r="27" ht="18.75" customHeight="1">
      <c r="A27" s="7">
        <v>6.0</v>
      </c>
      <c r="B27" s="8" t="s">
        <v>13</v>
      </c>
      <c r="C27" s="8" t="s">
        <v>14</v>
      </c>
      <c r="D27" s="7" t="s">
        <v>179</v>
      </c>
      <c r="E27" s="9" t="s">
        <v>180</v>
      </c>
      <c r="F27" s="7" t="s">
        <v>181</v>
      </c>
      <c r="G27" s="7" t="s">
        <v>182</v>
      </c>
      <c r="H27" s="9" t="s">
        <v>183</v>
      </c>
      <c r="I27" s="9" t="s">
        <v>184</v>
      </c>
      <c r="J27" s="7" t="s">
        <v>185</v>
      </c>
      <c r="K27" s="10" t="s">
        <v>22</v>
      </c>
      <c r="L27" s="6"/>
      <c r="M27" s="9" t="s">
        <v>186</v>
      </c>
      <c r="N27" s="6"/>
      <c r="O27" s="6"/>
      <c r="P27" s="6"/>
      <c r="Q27" s="6"/>
      <c r="R27" s="6"/>
      <c r="S27" s="6"/>
      <c r="T27" s="6"/>
      <c r="U27" s="6"/>
      <c r="V27" s="6"/>
      <c r="W27" s="6"/>
      <c r="X27" s="6"/>
      <c r="Y27" s="6"/>
      <c r="Z27" s="6"/>
    </row>
    <row r="28" ht="18.75" customHeight="1">
      <c r="A28" s="7">
        <v>4.0</v>
      </c>
      <c r="B28" s="8" t="s">
        <v>13</v>
      </c>
      <c r="C28" s="8" t="s">
        <v>14</v>
      </c>
      <c r="D28" s="7" t="s">
        <v>187</v>
      </c>
      <c r="E28" s="9" t="s">
        <v>188</v>
      </c>
      <c r="F28" s="7" t="s">
        <v>189</v>
      </c>
      <c r="G28" s="7" t="s">
        <v>190</v>
      </c>
      <c r="H28" s="9" t="s">
        <v>28</v>
      </c>
      <c r="I28" s="9" t="s">
        <v>191</v>
      </c>
      <c r="J28" s="7" t="s">
        <v>192</v>
      </c>
      <c r="K28" s="10" t="s">
        <v>22</v>
      </c>
      <c r="L28" s="6"/>
      <c r="M28" s="9" t="s">
        <v>193</v>
      </c>
      <c r="N28" s="6"/>
      <c r="O28" s="6"/>
      <c r="P28" s="6"/>
      <c r="Q28" s="6"/>
      <c r="R28" s="6"/>
      <c r="S28" s="6"/>
      <c r="T28" s="6"/>
      <c r="U28" s="6"/>
      <c r="V28" s="6"/>
      <c r="W28" s="6"/>
      <c r="X28" s="6"/>
      <c r="Y28" s="6"/>
      <c r="Z28" s="6"/>
    </row>
    <row r="29" ht="18.75" customHeight="1">
      <c r="A29" s="7">
        <v>2.0</v>
      </c>
      <c r="B29" s="8" t="s">
        <v>13</v>
      </c>
      <c r="C29" s="8" t="s">
        <v>14</v>
      </c>
      <c r="D29" s="7" t="s">
        <v>194</v>
      </c>
      <c r="E29" s="9" t="s">
        <v>195</v>
      </c>
      <c r="F29" s="7" t="s">
        <v>196</v>
      </c>
      <c r="G29" s="7" t="s">
        <v>197</v>
      </c>
      <c r="H29" s="9" t="s">
        <v>19</v>
      </c>
      <c r="I29" s="9" t="s">
        <v>198</v>
      </c>
      <c r="J29" s="7" t="s">
        <v>199</v>
      </c>
      <c r="K29" s="10" t="s">
        <v>22</v>
      </c>
      <c r="L29" s="6"/>
      <c r="M29" s="9" t="s">
        <v>200</v>
      </c>
      <c r="N29" s="6"/>
      <c r="O29" s="6"/>
      <c r="P29" s="6"/>
      <c r="Q29" s="6"/>
      <c r="R29" s="6"/>
      <c r="S29" s="6"/>
      <c r="T29" s="6"/>
      <c r="U29" s="6"/>
      <c r="V29" s="6"/>
      <c r="W29" s="6"/>
      <c r="X29" s="6"/>
      <c r="Y29" s="6"/>
      <c r="Z29" s="6"/>
    </row>
    <row r="30" ht="18.75" customHeight="1">
      <c r="A30" s="7">
        <v>3.0</v>
      </c>
      <c r="B30" s="8" t="s">
        <v>13</v>
      </c>
      <c r="C30" s="8" t="s">
        <v>14</v>
      </c>
      <c r="D30" s="7" t="s">
        <v>201</v>
      </c>
      <c r="E30" s="9" t="s">
        <v>202</v>
      </c>
      <c r="F30" s="7" t="s">
        <v>203</v>
      </c>
      <c r="G30" s="7" t="s">
        <v>204</v>
      </c>
      <c r="H30" s="9" t="s">
        <v>116</v>
      </c>
      <c r="I30" s="9" t="s">
        <v>205</v>
      </c>
      <c r="J30" s="7" t="s">
        <v>206</v>
      </c>
      <c r="K30" s="10" t="s">
        <v>22</v>
      </c>
      <c r="L30" s="6"/>
      <c r="M30" s="9" t="s">
        <v>207</v>
      </c>
      <c r="N30" s="6"/>
      <c r="O30" s="6"/>
      <c r="P30" s="6"/>
      <c r="Q30" s="6"/>
      <c r="R30" s="6"/>
      <c r="S30" s="6"/>
      <c r="T30" s="6"/>
      <c r="U30" s="6"/>
      <c r="V30" s="6"/>
      <c r="W30" s="6"/>
      <c r="X30" s="6"/>
      <c r="Y30" s="6"/>
      <c r="Z30" s="6"/>
    </row>
    <row r="31" ht="18.75" customHeight="1">
      <c r="A31" s="7">
        <v>6.0</v>
      </c>
      <c r="B31" s="8" t="s">
        <v>13</v>
      </c>
      <c r="C31" s="8" t="s">
        <v>14</v>
      </c>
      <c r="D31" s="8" t="s">
        <v>208</v>
      </c>
      <c r="E31" s="9" t="s">
        <v>209</v>
      </c>
      <c r="F31" s="7" t="s">
        <v>210</v>
      </c>
      <c r="G31" s="7" t="s">
        <v>79</v>
      </c>
      <c r="H31" s="9" t="s">
        <v>80</v>
      </c>
      <c r="I31" s="9" t="s">
        <v>211</v>
      </c>
      <c r="J31" s="7" t="s">
        <v>212</v>
      </c>
      <c r="K31" s="10" t="s">
        <v>22</v>
      </c>
      <c r="L31" s="6"/>
      <c r="M31" s="9" t="s">
        <v>213</v>
      </c>
      <c r="N31" s="6"/>
      <c r="O31" s="6"/>
      <c r="P31" s="6"/>
      <c r="Q31" s="6"/>
      <c r="R31" s="6"/>
      <c r="S31" s="6"/>
      <c r="T31" s="6"/>
      <c r="U31" s="6"/>
      <c r="V31" s="6"/>
      <c r="W31" s="6"/>
      <c r="X31" s="6"/>
      <c r="Y31" s="6"/>
      <c r="Z31" s="6"/>
    </row>
    <row r="32" ht="18.75" customHeight="1">
      <c r="A32" s="7">
        <v>1.0</v>
      </c>
      <c r="B32" s="8" t="s">
        <v>13</v>
      </c>
      <c r="C32" s="8" t="s">
        <v>14</v>
      </c>
      <c r="D32" s="7" t="s">
        <v>214</v>
      </c>
      <c r="E32" s="9" t="s">
        <v>215</v>
      </c>
      <c r="F32" s="7" t="s">
        <v>216</v>
      </c>
      <c r="G32" s="7" t="s">
        <v>18</v>
      </c>
      <c r="H32" s="9" t="s">
        <v>19</v>
      </c>
      <c r="I32" s="9" t="s">
        <v>217</v>
      </c>
      <c r="J32" s="7" t="s">
        <v>218</v>
      </c>
      <c r="K32" s="10" t="s">
        <v>22</v>
      </c>
      <c r="L32" s="6"/>
      <c r="M32" s="9" t="s">
        <v>219</v>
      </c>
      <c r="N32" s="6"/>
      <c r="O32" s="6"/>
      <c r="P32" s="6"/>
      <c r="Q32" s="6"/>
      <c r="R32" s="6"/>
      <c r="S32" s="6"/>
      <c r="T32" s="6"/>
      <c r="U32" s="6"/>
      <c r="V32" s="6"/>
      <c r="W32" s="6"/>
      <c r="X32" s="6"/>
      <c r="Y32" s="6"/>
      <c r="Z32" s="6"/>
    </row>
    <row r="33" ht="18.75" customHeight="1">
      <c r="A33" s="8">
        <v>11.0</v>
      </c>
      <c r="B33" s="8" t="s">
        <v>220</v>
      </c>
      <c r="C33" s="8" t="s">
        <v>221</v>
      </c>
      <c r="D33" s="7" t="s">
        <v>222</v>
      </c>
      <c r="E33" s="9" t="s">
        <v>223</v>
      </c>
      <c r="F33" s="8" t="s">
        <v>224</v>
      </c>
      <c r="G33" s="7" t="s">
        <v>225</v>
      </c>
      <c r="H33" s="7" t="s">
        <v>226</v>
      </c>
      <c r="I33" s="9" t="s">
        <v>227</v>
      </c>
      <c r="J33" s="7" t="s">
        <v>228</v>
      </c>
      <c r="K33" s="10" t="s">
        <v>22</v>
      </c>
      <c r="L33" s="6"/>
      <c r="M33" s="9" t="s">
        <v>229</v>
      </c>
      <c r="N33" s="6"/>
      <c r="O33" s="6"/>
      <c r="P33" s="6"/>
      <c r="Q33" s="6"/>
      <c r="R33" s="6"/>
      <c r="S33" s="6"/>
      <c r="T33" s="6"/>
      <c r="U33" s="6"/>
      <c r="V33" s="6"/>
      <c r="W33" s="6"/>
      <c r="X33" s="6"/>
      <c r="Y33" s="6"/>
      <c r="Z33" s="6"/>
    </row>
    <row r="34" ht="18.75" customHeight="1">
      <c r="A34" s="8">
        <v>11.0</v>
      </c>
      <c r="B34" s="8" t="s">
        <v>220</v>
      </c>
      <c r="C34" s="8" t="s">
        <v>221</v>
      </c>
      <c r="D34" s="7" t="s">
        <v>230</v>
      </c>
      <c r="E34" s="9" t="s">
        <v>231</v>
      </c>
      <c r="F34" s="8" t="s">
        <v>224</v>
      </c>
      <c r="G34" s="7" t="s">
        <v>225</v>
      </c>
      <c r="H34" s="7" t="s">
        <v>226</v>
      </c>
      <c r="I34" s="9" t="s">
        <v>232</v>
      </c>
      <c r="J34" s="7" t="s">
        <v>233</v>
      </c>
      <c r="K34" s="10" t="s">
        <v>22</v>
      </c>
      <c r="L34" s="6"/>
      <c r="M34" s="9" t="s">
        <v>234</v>
      </c>
      <c r="N34" s="6"/>
      <c r="O34" s="6"/>
      <c r="P34" s="6"/>
      <c r="Q34" s="6"/>
      <c r="R34" s="6"/>
      <c r="S34" s="6"/>
      <c r="T34" s="6"/>
      <c r="U34" s="6"/>
      <c r="V34" s="6"/>
      <c r="W34" s="6"/>
      <c r="X34" s="6"/>
      <c r="Y34" s="6"/>
      <c r="Z34" s="6"/>
    </row>
    <row r="35" ht="18.75" customHeight="1">
      <c r="A35" s="8">
        <v>11.0</v>
      </c>
      <c r="B35" s="8" t="s">
        <v>220</v>
      </c>
      <c r="C35" s="8" t="s">
        <v>221</v>
      </c>
      <c r="D35" s="7" t="s">
        <v>235</v>
      </c>
      <c r="E35" s="9" t="s">
        <v>236</v>
      </c>
      <c r="F35" s="8" t="s">
        <v>224</v>
      </c>
      <c r="G35" s="7" t="s">
        <v>225</v>
      </c>
      <c r="H35" s="7" t="s">
        <v>226</v>
      </c>
      <c r="I35" s="9" t="s">
        <v>237</v>
      </c>
      <c r="J35" s="7" t="s">
        <v>238</v>
      </c>
      <c r="K35" s="10" t="s">
        <v>22</v>
      </c>
      <c r="L35" s="6"/>
      <c r="M35" s="9" t="s">
        <v>239</v>
      </c>
      <c r="N35" s="6"/>
      <c r="O35" s="6"/>
      <c r="P35" s="6"/>
      <c r="Q35" s="6"/>
      <c r="R35" s="6"/>
      <c r="S35" s="6"/>
      <c r="T35" s="6"/>
      <c r="U35" s="6"/>
      <c r="V35" s="6"/>
      <c r="W35" s="6"/>
      <c r="X35" s="6"/>
      <c r="Y35" s="6"/>
      <c r="Z35" s="6"/>
    </row>
    <row r="36" ht="18.75" customHeight="1">
      <c r="A36" s="8">
        <v>9.0</v>
      </c>
      <c r="B36" s="8" t="s">
        <v>220</v>
      </c>
      <c r="C36" s="8" t="s">
        <v>221</v>
      </c>
      <c r="D36" s="7" t="s">
        <v>240</v>
      </c>
      <c r="E36" s="9" t="s">
        <v>241</v>
      </c>
      <c r="F36" s="8" t="s">
        <v>242</v>
      </c>
      <c r="G36" s="7" t="s">
        <v>243</v>
      </c>
      <c r="H36" s="7" t="s">
        <v>28</v>
      </c>
      <c r="I36" s="9" t="s">
        <v>244</v>
      </c>
      <c r="J36" s="7" t="s">
        <v>245</v>
      </c>
      <c r="K36" s="10" t="s">
        <v>22</v>
      </c>
      <c r="L36" s="6"/>
      <c r="M36" s="9" t="s">
        <v>246</v>
      </c>
      <c r="N36" s="6"/>
      <c r="O36" s="6"/>
      <c r="P36" s="6"/>
      <c r="Q36" s="6"/>
      <c r="R36" s="6"/>
      <c r="S36" s="6"/>
      <c r="T36" s="6"/>
      <c r="U36" s="6"/>
      <c r="V36" s="6"/>
      <c r="W36" s="6"/>
      <c r="X36" s="6"/>
      <c r="Y36" s="6"/>
      <c r="Z36" s="6"/>
    </row>
    <row r="37" ht="18.75" customHeight="1">
      <c r="A37" s="8">
        <v>9.0</v>
      </c>
      <c r="B37" s="8" t="s">
        <v>220</v>
      </c>
      <c r="C37" s="8" t="s">
        <v>221</v>
      </c>
      <c r="D37" s="7" t="s">
        <v>247</v>
      </c>
      <c r="E37" s="9" t="s">
        <v>248</v>
      </c>
      <c r="F37" s="8" t="s">
        <v>242</v>
      </c>
      <c r="G37" s="7" t="s">
        <v>243</v>
      </c>
      <c r="H37" s="7" t="s">
        <v>28</v>
      </c>
      <c r="I37" s="9" t="s">
        <v>249</v>
      </c>
      <c r="J37" s="7" t="s">
        <v>250</v>
      </c>
      <c r="K37" s="10" t="s">
        <v>22</v>
      </c>
      <c r="L37" s="6"/>
      <c r="M37" s="9" t="s">
        <v>251</v>
      </c>
      <c r="N37" s="6"/>
      <c r="O37" s="6"/>
      <c r="P37" s="6"/>
      <c r="Q37" s="6"/>
      <c r="R37" s="6"/>
      <c r="S37" s="6"/>
      <c r="T37" s="6"/>
      <c r="U37" s="6"/>
      <c r="V37" s="6"/>
      <c r="W37" s="6"/>
      <c r="X37" s="6"/>
      <c r="Y37" s="6"/>
      <c r="Z37" s="6"/>
    </row>
    <row r="38" ht="18.75" customHeight="1">
      <c r="A38" s="8">
        <v>10.0</v>
      </c>
      <c r="B38" s="8" t="s">
        <v>220</v>
      </c>
      <c r="C38" s="8" t="s">
        <v>221</v>
      </c>
      <c r="D38" s="7" t="s">
        <v>252</v>
      </c>
      <c r="E38" s="9" t="s">
        <v>253</v>
      </c>
      <c r="F38" s="8" t="s">
        <v>254</v>
      </c>
      <c r="G38" s="7" t="s">
        <v>243</v>
      </c>
      <c r="H38" s="7" t="s">
        <v>28</v>
      </c>
      <c r="I38" s="9" t="s">
        <v>255</v>
      </c>
      <c r="J38" s="7" t="s">
        <v>256</v>
      </c>
      <c r="K38" s="10" t="s">
        <v>22</v>
      </c>
      <c r="L38" s="6"/>
      <c r="M38" s="9" t="s">
        <v>257</v>
      </c>
      <c r="N38" s="6"/>
      <c r="O38" s="6"/>
      <c r="P38" s="6"/>
      <c r="Q38" s="6"/>
      <c r="R38" s="6"/>
      <c r="S38" s="6"/>
      <c r="T38" s="6"/>
      <c r="U38" s="6"/>
      <c r="V38" s="6"/>
      <c r="W38" s="6"/>
      <c r="X38" s="6"/>
      <c r="Y38" s="6"/>
      <c r="Z38" s="6"/>
    </row>
    <row r="39" ht="18.75" customHeight="1">
      <c r="A39" s="8">
        <v>10.0</v>
      </c>
      <c r="B39" s="8" t="s">
        <v>220</v>
      </c>
      <c r="C39" s="8" t="s">
        <v>221</v>
      </c>
      <c r="D39" s="7" t="s">
        <v>258</v>
      </c>
      <c r="E39" s="9" t="s">
        <v>259</v>
      </c>
      <c r="F39" s="8" t="s">
        <v>254</v>
      </c>
      <c r="G39" s="7" t="s">
        <v>243</v>
      </c>
      <c r="H39" s="7" t="s">
        <v>28</v>
      </c>
      <c r="I39" s="9" t="s">
        <v>260</v>
      </c>
      <c r="J39" s="7" t="s">
        <v>261</v>
      </c>
      <c r="K39" s="10" t="s">
        <v>22</v>
      </c>
      <c r="L39" s="6"/>
      <c r="M39" s="9" t="s">
        <v>262</v>
      </c>
      <c r="N39" s="6"/>
      <c r="O39" s="6"/>
      <c r="P39" s="6"/>
      <c r="Q39" s="6"/>
      <c r="R39" s="6"/>
      <c r="S39" s="6"/>
      <c r="T39" s="6"/>
      <c r="U39" s="6"/>
      <c r="V39" s="6"/>
      <c r="W39" s="6"/>
      <c r="X39" s="6"/>
      <c r="Y39" s="6"/>
      <c r="Z39" s="6"/>
    </row>
    <row r="40" ht="18.75" customHeight="1">
      <c r="A40" s="8">
        <v>10.0</v>
      </c>
      <c r="B40" s="8" t="s">
        <v>220</v>
      </c>
      <c r="C40" s="8" t="s">
        <v>221</v>
      </c>
      <c r="D40" s="7" t="s">
        <v>263</v>
      </c>
      <c r="E40" s="9" t="s">
        <v>264</v>
      </c>
      <c r="F40" s="8" t="s">
        <v>265</v>
      </c>
      <c r="G40" s="7" t="s">
        <v>266</v>
      </c>
      <c r="H40" s="7" t="s">
        <v>267</v>
      </c>
      <c r="I40" s="9" t="s">
        <v>268</v>
      </c>
      <c r="J40" s="7" t="s">
        <v>269</v>
      </c>
      <c r="K40" s="10" t="s">
        <v>22</v>
      </c>
      <c r="L40" s="6"/>
      <c r="M40" s="9" t="s">
        <v>270</v>
      </c>
      <c r="N40" s="6"/>
      <c r="O40" s="6"/>
      <c r="P40" s="6"/>
      <c r="Q40" s="6"/>
      <c r="R40" s="6"/>
      <c r="S40" s="6"/>
      <c r="T40" s="6"/>
      <c r="U40" s="6"/>
      <c r="V40" s="6"/>
      <c r="W40" s="6"/>
      <c r="X40" s="6"/>
      <c r="Y40" s="6"/>
      <c r="Z40" s="6"/>
    </row>
    <row r="41" ht="18.75" customHeight="1">
      <c r="A41" s="8">
        <v>10.0</v>
      </c>
      <c r="B41" s="8" t="s">
        <v>220</v>
      </c>
      <c r="C41" s="8" t="s">
        <v>221</v>
      </c>
      <c r="D41" s="7" t="s">
        <v>271</v>
      </c>
      <c r="E41" s="9" t="s">
        <v>272</v>
      </c>
      <c r="F41" s="8" t="s">
        <v>265</v>
      </c>
      <c r="G41" s="7" t="s">
        <v>266</v>
      </c>
      <c r="H41" s="7" t="s">
        <v>267</v>
      </c>
      <c r="I41" s="9" t="s">
        <v>273</v>
      </c>
      <c r="J41" s="7" t="s">
        <v>274</v>
      </c>
      <c r="K41" s="10" t="s">
        <v>22</v>
      </c>
      <c r="L41" s="6"/>
      <c r="M41" s="9" t="s">
        <v>275</v>
      </c>
      <c r="N41" s="6"/>
      <c r="O41" s="6"/>
      <c r="P41" s="6"/>
      <c r="Q41" s="6"/>
      <c r="R41" s="6"/>
      <c r="S41" s="6"/>
      <c r="T41" s="6"/>
      <c r="U41" s="6"/>
      <c r="V41" s="6"/>
      <c r="W41" s="6"/>
      <c r="X41" s="6"/>
      <c r="Y41" s="6"/>
      <c r="Z41" s="6"/>
    </row>
    <row r="42" ht="18.75" customHeight="1">
      <c r="A42" s="8">
        <v>10.0</v>
      </c>
      <c r="B42" s="8" t="s">
        <v>220</v>
      </c>
      <c r="C42" s="8" t="s">
        <v>221</v>
      </c>
      <c r="D42" s="7" t="s">
        <v>276</v>
      </c>
      <c r="E42" s="9" t="s">
        <v>277</v>
      </c>
      <c r="F42" s="8" t="s">
        <v>265</v>
      </c>
      <c r="G42" s="7" t="s">
        <v>266</v>
      </c>
      <c r="H42" s="7" t="s">
        <v>267</v>
      </c>
      <c r="I42" s="9" t="s">
        <v>278</v>
      </c>
      <c r="J42" s="7" t="s">
        <v>279</v>
      </c>
      <c r="K42" s="10" t="s">
        <v>22</v>
      </c>
      <c r="L42" s="6"/>
      <c r="M42" s="9" t="s">
        <v>280</v>
      </c>
      <c r="N42" s="6"/>
      <c r="O42" s="6"/>
      <c r="P42" s="6"/>
      <c r="Q42" s="6"/>
      <c r="R42" s="6"/>
      <c r="S42" s="6"/>
      <c r="T42" s="6"/>
      <c r="U42" s="6"/>
      <c r="V42" s="6"/>
      <c r="W42" s="6"/>
      <c r="X42" s="6"/>
      <c r="Y42" s="6"/>
      <c r="Z42" s="6"/>
    </row>
    <row r="43" ht="18.75" customHeight="1">
      <c r="A43" s="8">
        <v>9.0</v>
      </c>
      <c r="B43" s="8" t="s">
        <v>220</v>
      </c>
      <c r="C43" s="8" t="s">
        <v>221</v>
      </c>
      <c r="D43" s="7" t="s">
        <v>281</v>
      </c>
      <c r="E43" s="9" t="s">
        <v>282</v>
      </c>
      <c r="F43" s="7" t="s">
        <v>283</v>
      </c>
      <c r="G43" s="7" t="s">
        <v>284</v>
      </c>
      <c r="H43" s="7" t="s">
        <v>19</v>
      </c>
      <c r="I43" s="9" t="s">
        <v>285</v>
      </c>
      <c r="J43" s="7" t="s">
        <v>286</v>
      </c>
      <c r="K43" s="10" t="s">
        <v>22</v>
      </c>
      <c r="L43" s="6"/>
      <c r="M43" s="9" t="s">
        <v>287</v>
      </c>
      <c r="N43" s="6"/>
      <c r="O43" s="6"/>
      <c r="P43" s="6"/>
      <c r="Q43" s="6"/>
      <c r="R43" s="6"/>
      <c r="S43" s="6"/>
      <c r="T43" s="6"/>
      <c r="U43" s="6"/>
      <c r="V43" s="6"/>
      <c r="W43" s="6"/>
      <c r="X43" s="6"/>
      <c r="Y43" s="6"/>
      <c r="Z43" s="6"/>
    </row>
    <row r="44" ht="18.75" customHeight="1">
      <c r="A44" s="8">
        <v>9.0</v>
      </c>
      <c r="B44" s="8" t="s">
        <v>220</v>
      </c>
      <c r="C44" s="8" t="s">
        <v>221</v>
      </c>
      <c r="D44" s="7" t="s">
        <v>288</v>
      </c>
      <c r="E44" s="9" t="s">
        <v>289</v>
      </c>
      <c r="F44" s="8" t="s">
        <v>283</v>
      </c>
      <c r="G44" s="7" t="s">
        <v>284</v>
      </c>
      <c r="H44" s="7" t="s">
        <v>19</v>
      </c>
      <c r="I44" s="9" t="s">
        <v>290</v>
      </c>
      <c r="J44" s="7" t="s">
        <v>291</v>
      </c>
      <c r="K44" s="10" t="s">
        <v>22</v>
      </c>
      <c r="L44" s="6"/>
      <c r="M44" s="9" t="s">
        <v>292</v>
      </c>
      <c r="N44" s="6"/>
      <c r="O44" s="6"/>
      <c r="P44" s="6"/>
      <c r="Q44" s="6"/>
      <c r="R44" s="6"/>
      <c r="S44" s="6"/>
      <c r="T44" s="6"/>
      <c r="U44" s="6"/>
      <c r="V44" s="6"/>
      <c r="W44" s="6"/>
      <c r="X44" s="6"/>
      <c r="Y44" s="6"/>
      <c r="Z44" s="6"/>
    </row>
    <row r="45" ht="18.75" customHeight="1">
      <c r="A45" s="8">
        <v>9.0</v>
      </c>
      <c r="B45" s="8" t="s">
        <v>220</v>
      </c>
      <c r="C45" s="8" t="s">
        <v>221</v>
      </c>
      <c r="D45" s="7" t="s">
        <v>293</v>
      </c>
      <c r="E45" s="9" t="s">
        <v>294</v>
      </c>
      <c r="F45" s="8" t="s">
        <v>283</v>
      </c>
      <c r="G45" s="7" t="s">
        <v>284</v>
      </c>
      <c r="H45" s="7" t="s">
        <v>19</v>
      </c>
      <c r="I45" s="9" t="s">
        <v>295</v>
      </c>
      <c r="J45" s="7" t="s">
        <v>296</v>
      </c>
      <c r="K45" s="10" t="s">
        <v>22</v>
      </c>
      <c r="L45" s="6"/>
      <c r="M45" s="9" t="s">
        <v>297</v>
      </c>
      <c r="N45" s="6"/>
      <c r="O45" s="6"/>
      <c r="P45" s="6"/>
      <c r="Q45" s="6"/>
      <c r="R45" s="6"/>
      <c r="S45" s="6"/>
      <c r="T45" s="6"/>
      <c r="U45" s="6"/>
      <c r="V45" s="6"/>
      <c r="W45" s="6"/>
      <c r="X45" s="6"/>
      <c r="Y45" s="6"/>
      <c r="Z45" s="6"/>
    </row>
    <row r="46" ht="18.75" customHeight="1">
      <c r="A46" s="8">
        <v>8.0</v>
      </c>
      <c r="B46" s="8" t="s">
        <v>220</v>
      </c>
      <c r="C46" s="8" t="s">
        <v>221</v>
      </c>
      <c r="D46" s="7" t="s">
        <v>298</v>
      </c>
      <c r="E46" s="9" t="s">
        <v>299</v>
      </c>
      <c r="F46" s="7" t="s">
        <v>300</v>
      </c>
      <c r="G46" s="7" t="s">
        <v>301</v>
      </c>
      <c r="H46" s="7" t="s">
        <v>302</v>
      </c>
      <c r="I46" s="9" t="s">
        <v>303</v>
      </c>
      <c r="J46" s="7" t="s">
        <v>304</v>
      </c>
      <c r="K46" s="10" t="s">
        <v>22</v>
      </c>
      <c r="L46" s="6"/>
      <c r="M46" s="9" t="s">
        <v>305</v>
      </c>
      <c r="N46" s="6"/>
      <c r="O46" s="6"/>
      <c r="P46" s="6"/>
      <c r="Q46" s="6"/>
      <c r="R46" s="6"/>
      <c r="S46" s="6"/>
      <c r="T46" s="6"/>
      <c r="U46" s="6"/>
      <c r="V46" s="6"/>
      <c r="W46" s="6"/>
      <c r="X46" s="6"/>
      <c r="Y46" s="6"/>
      <c r="Z46" s="6"/>
    </row>
    <row r="47" ht="18.75" customHeight="1">
      <c r="A47" s="8">
        <v>8.0</v>
      </c>
      <c r="B47" s="8" t="s">
        <v>220</v>
      </c>
      <c r="C47" s="8" t="s">
        <v>221</v>
      </c>
      <c r="D47" s="7" t="s">
        <v>306</v>
      </c>
      <c r="E47" s="9" t="s">
        <v>307</v>
      </c>
      <c r="F47" s="7" t="s">
        <v>300</v>
      </c>
      <c r="G47" s="7" t="s">
        <v>301</v>
      </c>
      <c r="H47" s="7" t="s">
        <v>302</v>
      </c>
      <c r="I47" s="9" t="s">
        <v>308</v>
      </c>
      <c r="J47" s="7" t="s">
        <v>309</v>
      </c>
      <c r="K47" s="10" t="s">
        <v>22</v>
      </c>
      <c r="L47" s="6"/>
      <c r="M47" s="9" t="s">
        <v>310</v>
      </c>
      <c r="N47" s="6"/>
      <c r="O47" s="6"/>
      <c r="P47" s="6"/>
      <c r="Q47" s="6"/>
      <c r="R47" s="6"/>
      <c r="S47" s="6"/>
      <c r="T47" s="6"/>
      <c r="U47" s="6"/>
      <c r="V47" s="6"/>
      <c r="W47" s="6"/>
      <c r="X47" s="6"/>
      <c r="Y47" s="6"/>
      <c r="Z47" s="6"/>
    </row>
    <row r="48" ht="18.75" customHeight="1">
      <c r="A48" s="8">
        <v>8.0</v>
      </c>
      <c r="B48" s="8" t="s">
        <v>220</v>
      </c>
      <c r="C48" s="8" t="s">
        <v>221</v>
      </c>
      <c r="D48" s="7" t="s">
        <v>311</v>
      </c>
      <c r="E48" s="9" t="s">
        <v>312</v>
      </c>
      <c r="F48" s="7" t="s">
        <v>300</v>
      </c>
      <c r="G48" s="7" t="s">
        <v>301</v>
      </c>
      <c r="H48" s="7" t="s">
        <v>302</v>
      </c>
      <c r="I48" s="9" t="s">
        <v>313</v>
      </c>
      <c r="J48" s="7" t="s">
        <v>314</v>
      </c>
      <c r="K48" s="10" t="s">
        <v>22</v>
      </c>
      <c r="L48" s="6"/>
      <c r="M48" s="9" t="s">
        <v>315</v>
      </c>
      <c r="N48" s="6"/>
      <c r="O48" s="6"/>
      <c r="P48" s="6"/>
      <c r="Q48" s="6"/>
      <c r="R48" s="6"/>
      <c r="S48" s="6"/>
      <c r="T48" s="6"/>
      <c r="U48" s="6"/>
      <c r="V48" s="6"/>
      <c r="W48" s="6"/>
      <c r="X48" s="6"/>
      <c r="Y48" s="6"/>
      <c r="Z48" s="6"/>
    </row>
    <row r="49" ht="18.75" customHeight="1">
      <c r="A49" s="8">
        <v>11.0</v>
      </c>
      <c r="B49" s="8" t="s">
        <v>220</v>
      </c>
      <c r="C49" s="8" t="s">
        <v>221</v>
      </c>
      <c r="D49" s="7" t="s">
        <v>316</v>
      </c>
      <c r="E49" s="9" t="s">
        <v>317</v>
      </c>
      <c r="F49" s="8" t="s">
        <v>318</v>
      </c>
      <c r="G49" s="7" t="s">
        <v>108</v>
      </c>
      <c r="H49" s="7" t="s">
        <v>80</v>
      </c>
      <c r="I49" s="9" t="s">
        <v>319</v>
      </c>
      <c r="J49" s="7" t="s">
        <v>320</v>
      </c>
      <c r="K49" s="10" t="s">
        <v>22</v>
      </c>
      <c r="L49" s="6"/>
      <c r="M49" s="9" t="s">
        <v>321</v>
      </c>
      <c r="N49" s="6"/>
      <c r="O49" s="6"/>
      <c r="P49" s="6"/>
      <c r="Q49" s="6"/>
      <c r="R49" s="6"/>
      <c r="S49" s="6"/>
      <c r="T49" s="6"/>
      <c r="U49" s="6"/>
      <c r="V49" s="6"/>
      <c r="W49" s="6"/>
      <c r="X49" s="6"/>
      <c r="Y49" s="6"/>
      <c r="Z49" s="6"/>
    </row>
    <row r="50" ht="18.75" customHeight="1">
      <c r="A50" s="8">
        <v>11.0</v>
      </c>
      <c r="B50" s="8" t="s">
        <v>220</v>
      </c>
      <c r="C50" s="8" t="s">
        <v>221</v>
      </c>
      <c r="D50" s="7" t="s">
        <v>322</v>
      </c>
      <c r="E50" s="9" t="s">
        <v>323</v>
      </c>
      <c r="F50" s="8" t="s">
        <v>318</v>
      </c>
      <c r="G50" s="7" t="s">
        <v>108</v>
      </c>
      <c r="H50" s="7" t="s">
        <v>80</v>
      </c>
      <c r="I50" s="9" t="s">
        <v>324</v>
      </c>
      <c r="J50" s="7" t="s">
        <v>325</v>
      </c>
      <c r="K50" s="10" t="s">
        <v>22</v>
      </c>
      <c r="L50" s="6"/>
      <c r="M50" s="9" t="s">
        <v>326</v>
      </c>
      <c r="N50" s="6"/>
      <c r="O50" s="6"/>
      <c r="P50" s="6"/>
      <c r="Q50" s="6"/>
      <c r="R50" s="6"/>
      <c r="S50" s="6"/>
      <c r="T50" s="6"/>
      <c r="U50" s="6"/>
      <c r="V50" s="6"/>
      <c r="W50" s="6"/>
      <c r="X50" s="6"/>
      <c r="Y50" s="6"/>
      <c r="Z50" s="6"/>
    </row>
    <row r="51" ht="18.75" customHeight="1">
      <c r="A51" s="8">
        <v>10.0</v>
      </c>
      <c r="B51" s="8" t="s">
        <v>220</v>
      </c>
      <c r="C51" s="8" t="s">
        <v>221</v>
      </c>
      <c r="D51" s="7" t="s">
        <v>327</v>
      </c>
      <c r="E51" s="9" t="s">
        <v>328</v>
      </c>
      <c r="F51" s="8" t="s">
        <v>329</v>
      </c>
      <c r="G51" s="7" t="s">
        <v>108</v>
      </c>
      <c r="H51" s="7" t="s">
        <v>80</v>
      </c>
      <c r="I51" s="9" t="s">
        <v>330</v>
      </c>
      <c r="J51" s="7" t="s">
        <v>331</v>
      </c>
      <c r="K51" s="10" t="s">
        <v>22</v>
      </c>
      <c r="L51" s="6"/>
      <c r="M51" s="9" t="s">
        <v>332</v>
      </c>
      <c r="N51" s="6"/>
      <c r="O51" s="6"/>
      <c r="P51" s="6"/>
      <c r="Q51" s="6"/>
      <c r="R51" s="6"/>
      <c r="S51" s="6"/>
      <c r="T51" s="6"/>
      <c r="U51" s="6"/>
      <c r="V51" s="6"/>
      <c r="W51" s="6"/>
      <c r="X51" s="6"/>
      <c r="Y51" s="6"/>
      <c r="Z51" s="6"/>
    </row>
    <row r="52" ht="18.75" customHeight="1">
      <c r="A52" s="8">
        <v>10.0</v>
      </c>
      <c r="B52" s="8" t="s">
        <v>220</v>
      </c>
      <c r="C52" s="8" t="s">
        <v>221</v>
      </c>
      <c r="D52" s="7" t="s">
        <v>333</v>
      </c>
      <c r="E52" s="9" t="s">
        <v>334</v>
      </c>
      <c r="F52" s="8" t="s">
        <v>329</v>
      </c>
      <c r="G52" s="7" t="s">
        <v>108</v>
      </c>
      <c r="H52" s="7" t="s">
        <v>80</v>
      </c>
      <c r="I52" s="9" t="s">
        <v>335</v>
      </c>
      <c r="J52" s="7" t="s">
        <v>336</v>
      </c>
      <c r="K52" s="10" t="s">
        <v>22</v>
      </c>
      <c r="L52" s="6"/>
      <c r="M52" s="9" t="s">
        <v>337</v>
      </c>
      <c r="N52" s="6"/>
      <c r="O52" s="6"/>
      <c r="P52" s="6"/>
      <c r="Q52" s="6"/>
      <c r="R52" s="6"/>
      <c r="S52" s="6"/>
      <c r="T52" s="6"/>
      <c r="U52" s="6"/>
      <c r="V52" s="6"/>
      <c r="W52" s="6"/>
      <c r="X52" s="6"/>
      <c r="Y52" s="6"/>
      <c r="Z52" s="6"/>
    </row>
    <row r="53" ht="18.75" customHeight="1">
      <c r="A53" s="8">
        <v>10.0</v>
      </c>
      <c r="B53" s="8" t="s">
        <v>220</v>
      </c>
      <c r="C53" s="8" t="s">
        <v>221</v>
      </c>
      <c r="D53" s="7" t="s">
        <v>338</v>
      </c>
      <c r="E53" s="9" t="s">
        <v>339</v>
      </c>
      <c r="F53" s="8" t="s">
        <v>329</v>
      </c>
      <c r="G53" s="7" t="s">
        <v>108</v>
      </c>
      <c r="H53" s="7" t="s">
        <v>80</v>
      </c>
      <c r="I53" s="9" t="s">
        <v>340</v>
      </c>
      <c r="J53" s="7" t="s">
        <v>341</v>
      </c>
      <c r="K53" s="10" t="s">
        <v>22</v>
      </c>
      <c r="L53" s="6"/>
      <c r="M53" s="9" t="s">
        <v>342</v>
      </c>
      <c r="N53" s="6"/>
      <c r="O53" s="6"/>
      <c r="P53" s="6"/>
      <c r="Q53" s="6"/>
      <c r="R53" s="6"/>
      <c r="S53" s="6"/>
      <c r="T53" s="6"/>
      <c r="U53" s="6"/>
      <c r="V53" s="6"/>
      <c r="W53" s="6"/>
      <c r="X53" s="6"/>
      <c r="Y53" s="6"/>
      <c r="Z53" s="6"/>
    </row>
    <row r="54" ht="18.75" customHeight="1">
      <c r="A54" s="8">
        <v>9.0</v>
      </c>
      <c r="B54" s="8" t="s">
        <v>220</v>
      </c>
      <c r="C54" s="8" t="s">
        <v>221</v>
      </c>
      <c r="D54" s="7" t="s">
        <v>343</v>
      </c>
      <c r="E54" s="9" t="s">
        <v>344</v>
      </c>
      <c r="F54" s="8" t="s">
        <v>345</v>
      </c>
      <c r="G54" s="7" t="s">
        <v>93</v>
      </c>
      <c r="H54" s="7" t="s">
        <v>94</v>
      </c>
      <c r="I54" s="9" t="s">
        <v>346</v>
      </c>
      <c r="J54" s="7" t="s">
        <v>347</v>
      </c>
      <c r="K54" s="10" t="s">
        <v>22</v>
      </c>
      <c r="L54" s="6"/>
      <c r="M54" s="9" t="s">
        <v>348</v>
      </c>
      <c r="N54" s="6"/>
      <c r="O54" s="6"/>
      <c r="P54" s="6"/>
      <c r="Q54" s="6"/>
      <c r="R54" s="6"/>
      <c r="S54" s="6"/>
      <c r="T54" s="6"/>
      <c r="U54" s="6"/>
      <c r="V54" s="6"/>
      <c r="W54" s="6"/>
      <c r="X54" s="6"/>
      <c r="Y54" s="6"/>
      <c r="Z54" s="6"/>
    </row>
    <row r="55" ht="18.75" customHeight="1">
      <c r="A55" s="8">
        <v>9.0</v>
      </c>
      <c r="B55" s="8" t="s">
        <v>220</v>
      </c>
      <c r="C55" s="8" t="s">
        <v>221</v>
      </c>
      <c r="D55" s="7" t="s">
        <v>349</v>
      </c>
      <c r="E55" s="9" t="s">
        <v>350</v>
      </c>
      <c r="F55" s="8" t="s">
        <v>345</v>
      </c>
      <c r="G55" s="7" t="s">
        <v>93</v>
      </c>
      <c r="H55" s="7" t="s">
        <v>94</v>
      </c>
      <c r="I55" s="9" t="s">
        <v>351</v>
      </c>
      <c r="J55" s="7" t="s">
        <v>352</v>
      </c>
      <c r="K55" s="10" t="s">
        <v>22</v>
      </c>
      <c r="L55" s="6"/>
      <c r="M55" s="9" t="s">
        <v>353</v>
      </c>
      <c r="N55" s="6"/>
      <c r="O55" s="6"/>
      <c r="P55" s="6"/>
      <c r="Q55" s="6"/>
      <c r="R55" s="6"/>
      <c r="S55" s="6"/>
      <c r="T55" s="6"/>
      <c r="U55" s="6"/>
      <c r="V55" s="6"/>
      <c r="W55" s="6"/>
      <c r="X55" s="6"/>
      <c r="Y55" s="6"/>
      <c r="Z55" s="6"/>
    </row>
    <row r="56" ht="18.75" customHeight="1">
      <c r="A56" s="8">
        <v>11.0</v>
      </c>
      <c r="B56" s="8" t="s">
        <v>220</v>
      </c>
      <c r="C56" s="8" t="s">
        <v>221</v>
      </c>
      <c r="D56" s="7" t="s">
        <v>354</v>
      </c>
      <c r="E56" s="9" t="s">
        <v>355</v>
      </c>
      <c r="F56" s="8" t="s">
        <v>356</v>
      </c>
      <c r="G56" s="7" t="s">
        <v>123</v>
      </c>
      <c r="H56" s="7" t="s">
        <v>124</v>
      </c>
      <c r="I56" s="9" t="s">
        <v>357</v>
      </c>
      <c r="J56" s="7" t="s">
        <v>358</v>
      </c>
      <c r="K56" s="10" t="s">
        <v>22</v>
      </c>
      <c r="L56" s="6"/>
      <c r="M56" s="9" t="s">
        <v>359</v>
      </c>
      <c r="N56" s="6"/>
      <c r="O56" s="6"/>
      <c r="P56" s="6"/>
      <c r="Q56" s="6"/>
      <c r="R56" s="6"/>
      <c r="S56" s="6"/>
      <c r="T56" s="6"/>
      <c r="U56" s="6"/>
      <c r="V56" s="6"/>
      <c r="W56" s="6"/>
      <c r="X56" s="6"/>
      <c r="Y56" s="6"/>
      <c r="Z56" s="6"/>
    </row>
    <row r="57" ht="18.75" customHeight="1">
      <c r="A57" s="8">
        <v>11.0</v>
      </c>
      <c r="B57" s="8" t="s">
        <v>220</v>
      </c>
      <c r="C57" s="8" t="s">
        <v>221</v>
      </c>
      <c r="D57" s="7" t="s">
        <v>360</v>
      </c>
      <c r="E57" s="9" t="s">
        <v>361</v>
      </c>
      <c r="F57" s="8" t="s">
        <v>356</v>
      </c>
      <c r="G57" s="7" t="s">
        <v>123</v>
      </c>
      <c r="H57" s="7" t="s">
        <v>124</v>
      </c>
      <c r="I57" s="9" t="s">
        <v>362</v>
      </c>
      <c r="J57" s="7" t="s">
        <v>363</v>
      </c>
      <c r="K57" s="10" t="s">
        <v>22</v>
      </c>
      <c r="L57" s="6"/>
      <c r="M57" s="9" t="s">
        <v>364</v>
      </c>
      <c r="N57" s="6"/>
      <c r="O57" s="6"/>
      <c r="P57" s="6"/>
      <c r="Q57" s="6"/>
      <c r="R57" s="6"/>
      <c r="S57" s="6"/>
      <c r="T57" s="6"/>
      <c r="U57" s="6"/>
      <c r="V57" s="6"/>
      <c r="W57" s="6"/>
      <c r="X57" s="6"/>
      <c r="Y57" s="6"/>
      <c r="Z57" s="6"/>
    </row>
    <row r="58" ht="18.75" customHeight="1">
      <c r="A58" s="8">
        <v>8.0</v>
      </c>
      <c r="B58" s="8" t="s">
        <v>220</v>
      </c>
      <c r="C58" s="8" t="s">
        <v>221</v>
      </c>
      <c r="D58" s="7" t="s">
        <v>365</v>
      </c>
      <c r="E58" s="9" t="s">
        <v>366</v>
      </c>
      <c r="F58" s="7" t="s">
        <v>367</v>
      </c>
      <c r="G58" s="7" t="s">
        <v>123</v>
      </c>
      <c r="H58" s="7" t="s">
        <v>124</v>
      </c>
      <c r="I58" s="9" t="s">
        <v>368</v>
      </c>
      <c r="J58" s="7" t="s">
        <v>369</v>
      </c>
      <c r="K58" s="10" t="s">
        <v>22</v>
      </c>
      <c r="L58" s="6"/>
      <c r="M58" s="9" t="s">
        <v>370</v>
      </c>
      <c r="N58" s="6"/>
      <c r="O58" s="6"/>
      <c r="P58" s="6"/>
      <c r="Q58" s="6"/>
      <c r="R58" s="6"/>
      <c r="S58" s="6"/>
      <c r="T58" s="6"/>
      <c r="U58" s="6"/>
      <c r="V58" s="6"/>
      <c r="W58" s="6"/>
      <c r="X58" s="6"/>
      <c r="Y58" s="6"/>
      <c r="Z58" s="6"/>
    </row>
    <row r="59" ht="18.75" customHeight="1">
      <c r="A59" s="8">
        <v>8.0</v>
      </c>
      <c r="B59" s="8" t="s">
        <v>220</v>
      </c>
      <c r="C59" s="8" t="s">
        <v>221</v>
      </c>
      <c r="D59" s="7" t="s">
        <v>371</v>
      </c>
      <c r="E59" s="9" t="s">
        <v>372</v>
      </c>
      <c r="F59" s="7" t="s">
        <v>367</v>
      </c>
      <c r="G59" s="7" t="s">
        <v>123</v>
      </c>
      <c r="H59" s="7" t="s">
        <v>124</v>
      </c>
      <c r="I59" s="9" t="s">
        <v>373</v>
      </c>
      <c r="J59" s="7" t="s">
        <v>374</v>
      </c>
      <c r="K59" s="10" t="s">
        <v>22</v>
      </c>
      <c r="L59" s="6"/>
      <c r="M59" s="9" t="s">
        <v>375</v>
      </c>
      <c r="N59" s="6"/>
      <c r="O59" s="6"/>
      <c r="P59" s="6"/>
      <c r="Q59" s="6"/>
      <c r="R59" s="6"/>
      <c r="S59" s="6"/>
      <c r="T59" s="6"/>
      <c r="U59" s="6"/>
      <c r="V59" s="6"/>
      <c r="W59" s="6"/>
      <c r="X59" s="6"/>
      <c r="Y59" s="6"/>
      <c r="Z59" s="6"/>
    </row>
    <row r="60" ht="18.75" customHeight="1">
      <c r="A60" s="8">
        <v>8.0</v>
      </c>
      <c r="B60" s="8" t="s">
        <v>220</v>
      </c>
      <c r="C60" s="8" t="s">
        <v>221</v>
      </c>
      <c r="D60" s="7" t="s">
        <v>376</v>
      </c>
      <c r="E60" s="9" t="s">
        <v>377</v>
      </c>
      <c r="F60" s="7" t="s">
        <v>378</v>
      </c>
      <c r="G60" s="7" t="s">
        <v>379</v>
      </c>
      <c r="H60" s="7" t="s">
        <v>302</v>
      </c>
      <c r="I60" s="9" t="s">
        <v>380</v>
      </c>
      <c r="J60" s="7" t="s">
        <v>381</v>
      </c>
      <c r="K60" s="10" t="s">
        <v>22</v>
      </c>
      <c r="L60" s="6"/>
      <c r="M60" s="9" t="s">
        <v>382</v>
      </c>
      <c r="N60" s="6"/>
      <c r="O60" s="6"/>
      <c r="P60" s="6"/>
      <c r="Q60" s="6"/>
      <c r="R60" s="6"/>
      <c r="S60" s="6"/>
      <c r="T60" s="6"/>
      <c r="U60" s="6"/>
      <c r="V60" s="6"/>
      <c r="W60" s="6"/>
      <c r="X60" s="6"/>
      <c r="Y60" s="6"/>
      <c r="Z60" s="6"/>
    </row>
    <row r="61" ht="18.75" customHeight="1">
      <c r="A61" s="8">
        <v>8.0</v>
      </c>
      <c r="B61" s="8" t="s">
        <v>220</v>
      </c>
      <c r="C61" s="8" t="s">
        <v>221</v>
      </c>
      <c r="D61" s="7" t="s">
        <v>383</v>
      </c>
      <c r="E61" s="9" t="s">
        <v>384</v>
      </c>
      <c r="F61" s="7" t="s">
        <v>378</v>
      </c>
      <c r="G61" s="7" t="s">
        <v>379</v>
      </c>
      <c r="H61" s="7" t="s">
        <v>302</v>
      </c>
      <c r="I61" s="9" t="s">
        <v>385</v>
      </c>
      <c r="J61" s="7" t="s">
        <v>386</v>
      </c>
      <c r="K61" s="10" t="s">
        <v>22</v>
      </c>
      <c r="L61" s="6"/>
      <c r="M61" s="9" t="s">
        <v>387</v>
      </c>
      <c r="N61" s="6"/>
      <c r="O61" s="6"/>
      <c r="P61" s="6"/>
      <c r="Q61" s="6"/>
      <c r="R61" s="6"/>
      <c r="S61" s="6"/>
      <c r="T61" s="6"/>
      <c r="U61" s="6"/>
      <c r="V61" s="6"/>
      <c r="W61" s="6"/>
      <c r="X61" s="6"/>
      <c r="Y61" s="6"/>
      <c r="Z61" s="6"/>
    </row>
    <row r="62" ht="18.75" customHeight="1">
      <c r="A62" s="8">
        <v>8.0</v>
      </c>
      <c r="B62" s="8" t="s">
        <v>220</v>
      </c>
      <c r="C62" s="8" t="s">
        <v>221</v>
      </c>
      <c r="D62" s="7" t="s">
        <v>388</v>
      </c>
      <c r="E62" s="9" t="s">
        <v>389</v>
      </c>
      <c r="F62" s="7" t="s">
        <v>378</v>
      </c>
      <c r="G62" s="7" t="s">
        <v>379</v>
      </c>
      <c r="H62" s="7" t="s">
        <v>302</v>
      </c>
      <c r="I62" s="9" t="s">
        <v>390</v>
      </c>
      <c r="J62" s="7" t="s">
        <v>391</v>
      </c>
      <c r="K62" s="10" t="s">
        <v>22</v>
      </c>
      <c r="L62" s="6"/>
      <c r="M62" s="9" t="s">
        <v>392</v>
      </c>
      <c r="N62" s="6"/>
      <c r="O62" s="6"/>
      <c r="P62" s="6"/>
      <c r="Q62" s="6"/>
      <c r="R62" s="6"/>
      <c r="S62" s="6"/>
      <c r="T62" s="6"/>
      <c r="U62" s="6"/>
      <c r="V62" s="6"/>
      <c r="W62" s="6"/>
      <c r="X62" s="6"/>
      <c r="Y62" s="6"/>
      <c r="Z62" s="6"/>
    </row>
    <row r="63" ht="18.75" customHeight="1">
      <c r="A63" s="8">
        <v>7.0</v>
      </c>
      <c r="B63" s="8" t="s">
        <v>393</v>
      </c>
      <c r="C63" s="8" t="s">
        <v>394</v>
      </c>
      <c r="D63" s="7" t="s">
        <v>395</v>
      </c>
      <c r="E63" s="9" t="s">
        <v>396</v>
      </c>
      <c r="F63" s="9" t="s">
        <v>396</v>
      </c>
      <c r="G63" s="9" t="s">
        <v>397</v>
      </c>
      <c r="H63" s="7" t="s">
        <v>302</v>
      </c>
      <c r="I63" s="9" t="s">
        <v>398</v>
      </c>
      <c r="J63" s="7" t="s">
        <v>399</v>
      </c>
      <c r="K63" s="10" t="s">
        <v>22</v>
      </c>
      <c r="L63" s="6"/>
      <c r="M63" s="9" t="s">
        <v>400</v>
      </c>
      <c r="N63" s="6"/>
      <c r="O63" s="6"/>
      <c r="P63" s="6"/>
      <c r="Q63" s="6"/>
      <c r="R63" s="6"/>
      <c r="S63" s="6"/>
      <c r="T63" s="6"/>
      <c r="U63" s="6"/>
      <c r="V63" s="6"/>
      <c r="W63" s="6"/>
      <c r="X63" s="6"/>
      <c r="Y63" s="6"/>
      <c r="Z63" s="6"/>
    </row>
    <row r="64" ht="18.75" customHeight="1">
      <c r="A64" s="8">
        <v>7.0</v>
      </c>
      <c r="B64" s="8" t="s">
        <v>393</v>
      </c>
      <c r="C64" s="8" t="s">
        <v>394</v>
      </c>
      <c r="D64" s="7" t="s">
        <v>401</v>
      </c>
      <c r="E64" s="9" t="s">
        <v>402</v>
      </c>
      <c r="F64" s="9" t="s">
        <v>402</v>
      </c>
      <c r="G64" s="9" t="s">
        <v>403</v>
      </c>
      <c r="H64" s="7" t="s">
        <v>302</v>
      </c>
      <c r="I64" s="9" t="s">
        <v>404</v>
      </c>
      <c r="J64" s="7" t="s">
        <v>405</v>
      </c>
      <c r="K64" s="10" t="s">
        <v>22</v>
      </c>
      <c r="L64" s="6"/>
      <c r="M64" s="9" t="s">
        <v>406</v>
      </c>
      <c r="N64" s="6"/>
      <c r="O64" s="6"/>
      <c r="P64" s="6"/>
      <c r="Q64" s="6"/>
      <c r="R64" s="6"/>
      <c r="S64" s="6"/>
      <c r="T64" s="6"/>
      <c r="U64" s="6"/>
      <c r="V64" s="6"/>
      <c r="W64" s="6"/>
      <c r="X64" s="6"/>
      <c r="Y64" s="6"/>
      <c r="Z64"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38"/>
  </cols>
  <sheetData>
    <row r="1">
      <c r="A1" s="11" t="s">
        <v>21</v>
      </c>
      <c r="B1" s="12" t="s">
        <v>407</v>
      </c>
      <c r="C1" s="13"/>
      <c r="D1" s="13"/>
      <c r="E1" s="13"/>
      <c r="F1" s="13"/>
      <c r="G1" s="13"/>
      <c r="H1" s="13"/>
      <c r="I1" s="13"/>
      <c r="J1" s="13"/>
      <c r="K1" s="13"/>
      <c r="L1" s="13"/>
      <c r="M1" s="13"/>
      <c r="N1" s="13"/>
      <c r="O1" s="13"/>
      <c r="P1" s="13"/>
      <c r="Q1" s="13"/>
      <c r="R1" s="13"/>
      <c r="S1" s="13"/>
      <c r="T1" s="13"/>
      <c r="U1" s="13"/>
      <c r="V1" s="13"/>
      <c r="W1" s="13"/>
      <c r="X1" s="13"/>
      <c r="Y1" s="13"/>
      <c r="Z1" s="13"/>
    </row>
    <row r="2">
      <c r="A2" s="11" t="s">
        <v>30</v>
      </c>
      <c r="B2" s="12" t="s">
        <v>408</v>
      </c>
      <c r="C2" s="13"/>
      <c r="D2" s="13"/>
      <c r="E2" s="13"/>
      <c r="F2" s="13"/>
      <c r="G2" s="13"/>
      <c r="H2" s="13"/>
      <c r="I2" s="13"/>
      <c r="J2" s="13"/>
      <c r="K2" s="13"/>
      <c r="L2" s="13"/>
      <c r="M2" s="13"/>
      <c r="N2" s="13"/>
      <c r="O2" s="13"/>
      <c r="P2" s="13"/>
      <c r="Q2" s="13"/>
      <c r="R2" s="13"/>
      <c r="S2" s="13"/>
      <c r="T2" s="13"/>
      <c r="U2" s="13"/>
      <c r="V2" s="13"/>
      <c r="W2" s="13"/>
      <c r="X2" s="13"/>
      <c r="Y2" s="13"/>
      <c r="Z2" s="13"/>
    </row>
    <row r="3">
      <c r="A3" s="11" t="s">
        <v>36</v>
      </c>
      <c r="B3" s="12" t="s">
        <v>409</v>
      </c>
      <c r="C3" s="13"/>
      <c r="D3" s="13"/>
      <c r="E3" s="13"/>
      <c r="F3" s="13"/>
      <c r="G3" s="13"/>
      <c r="H3" s="13"/>
      <c r="I3" s="13"/>
      <c r="J3" s="13"/>
      <c r="K3" s="13"/>
      <c r="L3" s="13"/>
      <c r="M3" s="13"/>
      <c r="N3" s="13"/>
      <c r="O3" s="13"/>
      <c r="P3" s="13"/>
      <c r="Q3" s="13"/>
      <c r="R3" s="13"/>
      <c r="S3" s="13"/>
      <c r="T3" s="13"/>
      <c r="U3" s="13"/>
      <c r="V3" s="13"/>
      <c r="W3" s="13"/>
      <c r="X3" s="13"/>
      <c r="Y3" s="13"/>
      <c r="Z3" s="13"/>
    </row>
    <row r="4">
      <c r="A4" s="11" t="s">
        <v>42</v>
      </c>
      <c r="B4" s="12" t="s">
        <v>410</v>
      </c>
      <c r="C4" s="13"/>
      <c r="D4" s="13"/>
      <c r="E4" s="13"/>
      <c r="F4" s="13"/>
      <c r="G4" s="13"/>
      <c r="H4" s="13"/>
      <c r="I4" s="13"/>
      <c r="J4" s="13"/>
      <c r="K4" s="13"/>
      <c r="L4" s="13"/>
      <c r="M4" s="13"/>
      <c r="N4" s="13"/>
      <c r="O4" s="13"/>
      <c r="P4" s="13"/>
      <c r="Q4" s="13"/>
      <c r="R4" s="13"/>
      <c r="S4" s="13"/>
      <c r="T4" s="13"/>
      <c r="U4" s="13"/>
      <c r="V4" s="13"/>
      <c r="W4" s="13"/>
      <c r="X4" s="13"/>
      <c r="Y4" s="13"/>
      <c r="Z4" s="13"/>
    </row>
    <row r="5">
      <c r="A5" s="11" t="s">
        <v>48</v>
      </c>
      <c r="B5" s="12" t="s">
        <v>411</v>
      </c>
      <c r="C5" s="13"/>
      <c r="D5" s="13"/>
      <c r="E5" s="13"/>
      <c r="F5" s="13"/>
      <c r="G5" s="13"/>
      <c r="H5" s="13"/>
      <c r="I5" s="13"/>
      <c r="J5" s="13"/>
      <c r="K5" s="13"/>
      <c r="L5" s="13"/>
      <c r="M5" s="13"/>
      <c r="N5" s="13"/>
      <c r="O5" s="13"/>
      <c r="P5" s="13"/>
      <c r="Q5" s="13"/>
      <c r="R5" s="13"/>
      <c r="S5" s="13"/>
      <c r="T5" s="13"/>
      <c r="U5" s="13"/>
      <c r="V5" s="13"/>
      <c r="W5" s="13"/>
      <c r="X5" s="13"/>
      <c r="Y5" s="13"/>
      <c r="Z5" s="13"/>
    </row>
    <row r="6">
      <c r="A6" s="11" t="s">
        <v>54</v>
      </c>
      <c r="B6" s="12" t="s">
        <v>412</v>
      </c>
      <c r="C6" s="13"/>
      <c r="D6" s="13"/>
      <c r="E6" s="13"/>
      <c r="F6" s="13"/>
      <c r="G6" s="13"/>
      <c r="H6" s="13"/>
      <c r="I6" s="13"/>
      <c r="J6" s="13"/>
      <c r="K6" s="13"/>
      <c r="L6" s="13"/>
      <c r="M6" s="13"/>
      <c r="N6" s="13"/>
      <c r="O6" s="13"/>
      <c r="P6" s="13"/>
      <c r="Q6" s="13"/>
      <c r="R6" s="13"/>
      <c r="S6" s="13"/>
      <c r="T6" s="13"/>
      <c r="U6" s="13"/>
      <c r="V6" s="13"/>
      <c r="W6" s="13"/>
      <c r="X6" s="13"/>
      <c r="Y6" s="13"/>
      <c r="Z6" s="13"/>
    </row>
    <row r="7">
      <c r="A7" s="11" t="s">
        <v>60</v>
      </c>
      <c r="B7" s="12" t="s">
        <v>413</v>
      </c>
      <c r="C7" s="13"/>
      <c r="D7" s="13"/>
      <c r="E7" s="13"/>
      <c r="F7" s="13"/>
      <c r="G7" s="13"/>
      <c r="H7" s="13"/>
      <c r="I7" s="13"/>
      <c r="J7" s="13"/>
      <c r="K7" s="13"/>
      <c r="L7" s="13"/>
      <c r="M7" s="13"/>
      <c r="N7" s="13"/>
      <c r="O7" s="13"/>
      <c r="P7" s="13"/>
      <c r="Q7" s="13"/>
      <c r="R7" s="13"/>
      <c r="S7" s="13"/>
      <c r="T7" s="13"/>
      <c r="U7" s="13"/>
      <c r="V7" s="13"/>
      <c r="W7" s="13"/>
      <c r="X7" s="13"/>
      <c r="Y7" s="13"/>
      <c r="Z7" s="13"/>
    </row>
    <row r="8">
      <c r="A8" s="11" t="s">
        <v>67</v>
      </c>
      <c r="B8" s="12" t="s">
        <v>414</v>
      </c>
      <c r="C8" s="13"/>
      <c r="D8" s="13"/>
      <c r="E8" s="13"/>
      <c r="F8" s="13"/>
      <c r="G8" s="13"/>
      <c r="H8" s="13"/>
      <c r="I8" s="13"/>
      <c r="J8" s="13"/>
      <c r="K8" s="13"/>
      <c r="L8" s="13"/>
      <c r="M8" s="13"/>
      <c r="N8" s="13"/>
      <c r="O8" s="13"/>
      <c r="P8" s="13"/>
      <c r="Q8" s="13"/>
      <c r="R8" s="13"/>
      <c r="S8" s="13"/>
      <c r="T8" s="13"/>
      <c r="U8" s="13"/>
      <c r="V8" s="13"/>
      <c r="W8" s="13"/>
      <c r="X8" s="13"/>
      <c r="Y8" s="13"/>
      <c r="Z8" s="13"/>
    </row>
    <row r="9">
      <c r="A9" s="11" t="s">
        <v>74</v>
      </c>
      <c r="B9" s="12" t="s">
        <v>415</v>
      </c>
      <c r="C9" s="13"/>
      <c r="D9" s="13"/>
      <c r="E9" s="13"/>
      <c r="F9" s="13"/>
      <c r="G9" s="13"/>
      <c r="H9" s="13"/>
      <c r="I9" s="13"/>
      <c r="J9" s="13"/>
      <c r="K9" s="13"/>
      <c r="L9" s="13"/>
      <c r="M9" s="13"/>
      <c r="N9" s="13"/>
      <c r="O9" s="13"/>
      <c r="P9" s="13"/>
      <c r="Q9" s="13"/>
      <c r="R9" s="13"/>
      <c r="S9" s="13"/>
      <c r="T9" s="13"/>
      <c r="U9" s="13"/>
      <c r="V9" s="13"/>
      <c r="W9" s="13"/>
      <c r="X9" s="13"/>
      <c r="Y9" s="13"/>
      <c r="Z9" s="13"/>
    </row>
    <row r="10">
      <c r="A10" s="11" t="s">
        <v>82</v>
      </c>
      <c r="B10" s="12" t="s">
        <v>416</v>
      </c>
      <c r="C10" s="13"/>
      <c r="D10" s="13"/>
      <c r="E10" s="13"/>
      <c r="F10" s="13"/>
      <c r="G10" s="13"/>
      <c r="H10" s="13"/>
      <c r="I10" s="13"/>
      <c r="J10" s="13"/>
      <c r="K10" s="13"/>
      <c r="L10" s="13"/>
      <c r="M10" s="13"/>
      <c r="N10" s="13"/>
      <c r="O10" s="13"/>
      <c r="P10" s="13"/>
      <c r="Q10" s="13"/>
      <c r="R10" s="13"/>
      <c r="S10" s="13"/>
      <c r="T10" s="13"/>
      <c r="U10" s="13"/>
      <c r="V10" s="13"/>
      <c r="W10" s="13"/>
      <c r="X10" s="13"/>
      <c r="Y10" s="13"/>
      <c r="Z10" s="13"/>
    </row>
    <row r="11">
      <c r="A11" s="11" t="s">
        <v>88</v>
      </c>
      <c r="B11" s="12" t="s">
        <v>417</v>
      </c>
      <c r="C11" s="13"/>
      <c r="D11" s="13"/>
      <c r="E11" s="13"/>
      <c r="F11" s="13"/>
      <c r="G11" s="13"/>
      <c r="H11" s="13"/>
      <c r="I11" s="13"/>
      <c r="J11" s="13"/>
      <c r="K11" s="13"/>
      <c r="L11" s="13"/>
      <c r="M11" s="13"/>
      <c r="N11" s="13"/>
      <c r="O11" s="13"/>
      <c r="P11" s="13"/>
      <c r="Q11" s="13"/>
      <c r="R11" s="13"/>
      <c r="S11" s="13"/>
      <c r="T11" s="13"/>
      <c r="U11" s="13"/>
      <c r="V11" s="13"/>
      <c r="W11" s="13"/>
      <c r="X11" s="13"/>
      <c r="Y11" s="13"/>
      <c r="Z11" s="13"/>
    </row>
    <row r="12">
      <c r="A12" s="11" t="s">
        <v>96</v>
      </c>
      <c r="B12" s="12" t="s">
        <v>418</v>
      </c>
      <c r="C12" s="13"/>
      <c r="D12" s="13"/>
      <c r="E12" s="13"/>
      <c r="F12" s="13"/>
      <c r="G12" s="13"/>
      <c r="H12" s="13"/>
      <c r="I12" s="13"/>
      <c r="J12" s="13"/>
      <c r="K12" s="13"/>
      <c r="L12" s="13"/>
      <c r="M12" s="13"/>
      <c r="N12" s="13"/>
      <c r="O12" s="13"/>
      <c r="P12" s="13"/>
      <c r="Q12" s="13"/>
      <c r="R12" s="13"/>
      <c r="S12" s="13"/>
      <c r="T12" s="13"/>
      <c r="U12" s="13"/>
      <c r="V12" s="13"/>
      <c r="W12" s="13"/>
      <c r="X12" s="13"/>
      <c r="Y12" s="13"/>
      <c r="Z12" s="13"/>
    </row>
    <row r="13">
      <c r="A13" s="11" t="s">
        <v>103</v>
      </c>
      <c r="B13" s="12" t="s">
        <v>419</v>
      </c>
      <c r="C13" s="13"/>
      <c r="D13" s="13"/>
      <c r="E13" s="13"/>
      <c r="F13" s="13"/>
      <c r="G13" s="13"/>
      <c r="H13" s="13"/>
      <c r="I13" s="13"/>
      <c r="J13" s="13"/>
      <c r="K13" s="13"/>
      <c r="L13" s="13"/>
      <c r="M13" s="13"/>
      <c r="N13" s="13"/>
      <c r="O13" s="13"/>
      <c r="P13" s="13"/>
      <c r="Q13" s="13"/>
      <c r="R13" s="13"/>
      <c r="S13" s="13"/>
      <c r="T13" s="13"/>
      <c r="U13" s="13"/>
      <c r="V13" s="13"/>
      <c r="W13" s="13"/>
      <c r="X13" s="13"/>
      <c r="Y13" s="13"/>
      <c r="Z13" s="13"/>
    </row>
    <row r="14">
      <c r="A14" s="11" t="s">
        <v>110</v>
      </c>
      <c r="B14" s="12" t="s">
        <v>420</v>
      </c>
      <c r="C14" s="13"/>
      <c r="D14" s="13"/>
      <c r="E14" s="13"/>
      <c r="F14" s="13"/>
      <c r="G14" s="13"/>
      <c r="H14" s="13"/>
      <c r="I14" s="13"/>
      <c r="J14" s="13"/>
      <c r="K14" s="13"/>
      <c r="L14" s="13"/>
      <c r="M14" s="13"/>
      <c r="N14" s="13"/>
      <c r="O14" s="13"/>
      <c r="P14" s="13"/>
      <c r="Q14" s="13"/>
      <c r="R14" s="13"/>
      <c r="S14" s="13"/>
      <c r="T14" s="13"/>
      <c r="U14" s="13"/>
      <c r="V14" s="13"/>
      <c r="W14" s="13"/>
      <c r="X14" s="13"/>
      <c r="Y14" s="13"/>
      <c r="Z14" s="13"/>
    </row>
    <row r="15">
      <c r="A15" s="11" t="s">
        <v>118</v>
      </c>
      <c r="B15" s="12" t="s">
        <v>421</v>
      </c>
      <c r="C15" s="13"/>
      <c r="D15" s="13"/>
      <c r="E15" s="13"/>
      <c r="F15" s="13"/>
      <c r="G15" s="13"/>
      <c r="H15" s="13"/>
      <c r="I15" s="13"/>
      <c r="J15" s="13"/>
      <c r="K15" s="13"/>
      <c r="L15" s="13"/>
      <c r="M15" s="13"/>
      <c r="N15" s="13"/>
      <c r="O15" s="13"/>
      <c r="P15" s="13"/>
      <c r="Q15" s="13"/>
      <c r="R15" s="13"/>
      <c r="S15" s="13"/>
      <c r="T15" s="13"/>
      <c r="U15" s="13"/>
      <c r="V15" s="13"/>
      <c r="W15" s="13"/>
      <c r="X15" s="13"/>
      <c r="Y15" s="13"/>
      <c r="Z15" s="13"/>
    </row>
    <row r="16">
      <c r="A16" s="11" t="s">
        <v>126</v>
      </c>
      <c r="B16" s="12" t="s">
        <v>422</v>
      </c>
      <c r="C16" s="13"/>
      <c r="D16" s="13"/>
      <c r="E16" s="13"/>
      <c r="F16" s="13"/>
      <c r="G16" s="13"/>
      <c r="H16" s="13"/>
      <c r="I16" s="13"/>
      <c r="J16" s="13"/>
      <c r="K16" s="13"/>
      <c r="L16" s="13"/>
      <c r="M16" s="13"/>
      <c r="N16" s="13"/>
      <c r="O16" s="13"/>
      <c r="P16" s="13"/>
      <c r="Q16" s="13"/>
      <c r="R16" s="13"/>
      <c r="S16" s="13"/>
      <c r="T16" s="13"/>
      <c r="U16" s="13"/>
      <c r="V16" s="13"/>
      <c r="W16" s="13"/>
      <c r="X16" s="13"/>
      <c r="Y16" s="13"/>
      <c r="Z16" s="13"/>
    </row>
    <row r="17">
      <c r="A17" s="11" t="s">
        <v>133</v>
      </c>
      <c r="B17" s="12" t="s">
        <v>423</v>
      </c>
      <c r="C17" s="13"/>
      <c r="D17" s="13"/>
      <c r="E17" s="13"/>
      <c r="F17" s="13"/>
      <c r="G17" s="13"/>
      <c r="H17" s="13"/>
      <c r="I17" s="13"/>
      <c r="J17" s="13"/>
      <c r="K17" s="13"/>
      <c r="L17" s="13"/>
      <c r="M17" s="13"/>
      <c r="N17" s="13"/>
      <c r="O17" s="13"/>
      <c r="P17" s="13"/>
      <c r="Q17" s="13"/>
      <c r="R17" s="13"/>
      <c r="S17" s="13"/>
      <c r="T17" s="13"/>
      <c r="U17" s="13"/>
      <c r="V17" s="13"/>
      <c r="W17" s="13"/>
      <c r="X17" s="13"/>
      <c r="Y17" s="13"/>
      <c r="Z17" s="13"/>
    </row>
    <row r="18">
      <c r="A18" s="11" t="s">
        <v>140</v>
      </c>
      <c r="B18" s="12" t="s">
        <v>424</v>
      </c>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11" t="s">
        <v>146</v>
      </c>
      <c r="B19" s="12" t="s">
        <v>425</v>
      </c>
      <c r="C19" s="13"/>
      <c r="D19" s="13"/>
      <c r="E19" s="13"/>
      <c r="F19" s="13"/>
      <c r="G19" s="13"/>
      <c r="H19" s="13"/>
      <c r="I19" s="13"/>
      <c r="J19" s="13"/>
      <c r="K19" s="13"/>
      <c r="L19" s="13"/>
      <c r="M19" s="13"/>
      <c r="N19" s="13"/>
      <c r="O19" s="13"/>
      <c r="P19" s="13"/>
      <c r="Q19" s="13"/>
      <c r="R19" s="13"/>
      <c r="S19" s="13"/>
      <c r="T19" s="13"/>
      <c r="U19" s="13"/>
      <c r="V19" s="13"/>
      <c r="W19" s="13"/>
      <c r="X19" s="13"/>
      <c r="Y19" s="13"/>
      <c r="Z19" s="13"/>
    </row>
    <row r="20">
      <c r="A20" s="11" t="s">
        <v>152</v>
      </c>
      <c r="B20" s="12" t="s">
        <v>426</v>
      </c>
      <c r="C20" s="13"/>
      <c r="D20" s="13"/>
      <c r="E20" s="13"/>
      <c r="F20" s="13"/>
      <c r="G20" s="13"/>
      <c r="H20" s="13"/>
      <c r="I20" s="13"/>
      <c r="J20" s="13"/>
      <c r="K20" s="13"/>
      <c r="L20" s="13"/>
      <c r="M20" s="13"/>
      <c r="N20" s="13"/>
      <c r="O20" s="13"/>
      <c r="P20" s="13"/>
      <c r="Q20" s="13"/>
      <c r="R20" s="13"/>
      <c r="S20" s="13"/>
      <c r="T20" s="13"/>
      <c r="U20" s="13"/>
      <c r="V20" s="13"/>
      <c r="W20" s="13"/>
      <c r="X20" s="13"/>
      <c r="Y20" s="13"/>
      <c r="Z20" s="13"/>
    </row>
    <row r="21">
      <c r="A21" s="11" t="s">
        <v>157</v>
      </c>
      <c r="B21" s="12" t="s">
        <v>427</v>
      </c>
      <c r="C21" s="13"/>
      <c r="D21" s="13"/>
      <c r="E21" s="13"/>
      <c r="F21" s="13"/>
      <c r="G21" s="13"/>
      <c r="H21" s="13"/>
      <c r="I21" s="13"/>
      <c r="J21" s="13"/>
      <c r="K21" s="13"/>
      <c r="L21" s="13"/>
      <c r="M21" s="13"/>
      <c r="N21" s="13"/>
      <c r="O21" s="13"/>
      <c r="P21" s="13"/>
      <c r="Q21" s="13"/>
      <c r="R21" s="13"/>
      <c r="S21" s="13"/>
      <c r="T21" s="13"/>
      <c r="U21" s="13"/>
      <c r="V21" s="13"/>
      <c r="W21" s="13"/>
      <c r="X21" s="13"/>
      <c r="Y21" s="13"/>
      <c r="Z21" s="13"/>
    </row>
    <row r="22">
      <c r="A22" s="11" t="s">
        <v>162</v>
      </c>
      <c r="B22" s="12" t="s">
        <v>428</v>
      </c>
      <c r="C22" s="13"/>
      <c r="D22" s="13"/>
      <c r="E22" s="13"/>
      <c r="F22" s="13"/>
      <c r="G22" s="13"/>
      <c r="H22" s="13"/>
      <c r="I22" s="13"/>
      <c r="J22" s="13"/>
      <c r="K22" s="13"/>
      <c r="L22" s="13"/>
      <c r="M22" s="13"/>
      <c r="N22" s="13"/>
      <c r="O22" s="13"/>
      <c r="P22" s="13"/>
      <c r="Q22" s="13"/>
      <c r="R22" s="13"/>
      <c r="S22" s="13"/>
      <c r="T22" s="13"/>
      <c r="U22" s="13"/>
      <c r="V22" s="13"/>
      <c r="W22" s="13"/>
      <c r="X22" s="13"/>
      <c r="Y22" s="13"/>
      <c r="Z22" s="13"/>
    </row>
    <row r="23">
      <c r="A23" s="11" t="s">
        <v>167</v>
      </c>
      <c r="B23" s="12" t="s">
        <v>429</v>
      </c>
      <c r="C23" s="13"/>
      <c r="D23" s="13"/>
      <c r="E23" s="13"/>
      <c r="F23" s="13"/>
      <c r="G23" s="13"/>
      <c r="H23" s="13"/>
      <c r="I23" s="13"/>
      <c r="J23" s="13"/>
      <c r="K23" s="13"/>
      <c r="L23" s="13"/>
      <c r="M23" s="13"/>
      <c r="N23" s="13"/>
      <c r="O23" s="13"/>
      <c r="P23" s="13"/>
      <c r="Q23" s="13"/>
      <c r="R23" s="13"/>
      <c r="S23" s="13"/>
      <c r="T23" s="13"/>
      <c r="U23" s="13"/>
      <c r="V23" s="13"/>
      <c r="W23" s="13"/>
      <c r="X23" s="13"/>
      <c r="Y23" s="13"/>
      <c r="Z23" s="13"/>
    </row>
    <row r="24">
      <c r="A24" s="11" t="s">
        <v>172</v>
      </c>
      <c r="B24" s="12" t="s">
        <v>430</v>
      </c>
      <c r="C24" s="13"/>
      <c r="D24" s="13"/>
      <c r="E24" s="13"/>
      <c r="F24" s="13"/>
      <c r="G24" s="13"/>
      <c r="H24" s="13"/>
      <c r="I24" s="13"/>
      <c r="J24" s="13"/>
      <c r="K24" s="13"/>
      <c r="L24" s="13"/>
      <c r="M24" s="13"/>
      <c r="N24" s="13"/>
      <c r="O24" s="13"/>
      <c r="P24" s="13"/>
      <c r="Q24" s="13"/>
      <c r="R24" s="13"/>
      <c r="S24" s="13"/>
      <c r="T24" s="13"/>
      <c r="U24" s="13"/>
      <c r="V24" s="13"/>
      <c r="W24" s="13"/>
      <c r="X24" s="13"/>
      <c r="Y24" s="13"/>
      <c r="Z24" s="13"/>
    </row>
    <row r="25">
      <c r="A25" s="11" t="s">
        <v>177</v>
      </c>
      <c r="B25" s="12" t="s">
        <v>431</v>
      </c>
      <c r="C25" s="13"/>
      <c r="D25" s="13"/>
      <c r="E25" s="13"/>
      <c r="F25" s="13"/>
      <c r="G25" s="13"/>
      <c r="H25" s="13"/>
      <c r="I25" s="13"/>
      <c r="J25" s="13"/>
      <c r="K25" s="13"/>
      <c r="L25" s="13"/>
      <c r="M25" s="13"/>
      <c r="N25" s="13"/>
      <c r="O25" s="13"/>
      <c r="P25" s="13"/>
      <c r="Q25" s="13"/>
      <c r="R25" s="13"/>
      <c r="S25" s="13"/>
      <c r="T25" s="13"/>
      <c r="U25" s="13"/>
      <c r="V25" s="13"/>
      <c r="W25" s="13"/>
      <c r="X25" s="13"/>
      <c r="Y25" s="13"/>
      <c r="Z25" s="13"/>
    </row>
    <row r="26">
      <c r="A26" s="11" t="s">
        <v>185</v>
      </c>
      <c r="B26" s="12" t="s">
        <v>432</v>
      </c>
      <c r="C26" s="13"/>
      <c r="D26" s="13"/>
      <c r="E26" s="13"/>
      <c r="F26" s="13"/>
      <c r="G26" s="13"/>
      <c r="H26" s="13"/>
      <c r="I26" s="13"/>
      <c r="J26" s="13"/>
      <c r="K26" s="13"/>
      <c r="L26" s="13"/>
      <c r="M26" s="13"/>
      <c r="N26" s="13"/>
      <c r="O26" s="13"/>
      <c r="P26" s="13"/>
      <c r="Q26" s="13"/>
      <c r="R26" s="13"/>
      <c r="S26" s="13"/>
      <c r="T26" s="13"/>
      <c r="U26" s="13"/>
      <c r="V26" s="13"/>
      <c r="W26" s="13"/>
      <c r="X26" s="13"/>
      <c r="Y26" s="13"/>
      <c r="Z26" s="13"/>
    </row>
    <row r="27">
      <c r="A27" s="11" t="s">
        <v>192</v>
      </c>
      <c r="B27" s="12" t="s">
        <v>433</v>
      </c>
      <c r="C27" s="13"/>
      <c r="D27" s="13"/>
      <c r="E27" s="13"/>
      <c r="F27" s="13"/>
      <c r="G27" s="13"/>
      <c r="H27" s="13"/>
      <c r="I27" s="13"/>
      <c r="J27" s="13"/>
      <c r="K27" s="13"/>
      <c r="L27" s="13"/>
      <c r="M27" s="13"/>
      <c r="N27" s="13"/>
      <c r="O27" s="13"/>
      <c r="P27" s="13"/>
      <c r="Q27" s="13"/>
      <c r="R27" s="13"/>
      <c r="S27" s="13"/>
      <c r="T27" s="13"/>
      <c r="U27" s="13"/>
      <c r="V27" s="13"/>
      <c r="W27" s="13"/>
      <c r="X27" s="13"/>
      <c r="Y27" s="13"/>
      <c r="Z27" s="13"/>
    </row>
    <row r="28">
      <c r="A28" s="11" t="s">
        <v>199</v>
      </c>
      <c r="B28" s="12" t="s">
        <v>434</v>
      </c>
      <c r="C28" s="13"/>
      <c r="D28" s="13"/>
      <c r="E28" s="13"/>
      <c r="F28" s="13"/>
      <c r="G28" s="13"/>
      <c r="H28" s="13"/>
      <c r="I28" s="13"/>
      <c r="J28" s="13"/>
      <c r="K28" s="13"/>
      <c r="L28" s="13"/>
      <c r="M28" s="13"/>
      <c r="N28" s="13"/>
      <c r="O28" s="13"/>
      <c r="P28" s="13"/>
      <c r="Q28" s="13"/>
      <c r="R28" s="13"/>
      <c r="S28" s="13"/>
      <c r="T28" s="13"/>
      <c r="U28" s="13"/>
      <c r="V28" s="13"/>
      <c r="W28" s="13"/>
      <c r="X28" s="13"/>
      <c r="Y28" s="13"/>
      <c r="Z28" s="13"/>
    </row>
    <row r="29">
      <c r="A29" s="11" t="s">
        <v>206</v>
      </c>
      <c r="B29" s="12" t="s">
        <v>435</v>
      </c>
      <c r="C29" s="13"/>
      <c r="D29" s="13"/>
      <c r="E29" s="13"/>
      <c r="F29" s="13"/>
      <c r="G29" s="13"/>
      <c r="H29" s="13"/>
      <c r="I29" s="13"/>
      <c r="J29" s="13"/>
      <c r="K29" s="13"/>
      <c r="L29" s="13"/>
      <c r="M29" s="13"/>
      <c r="N29" s="13"/>
      <c r="O29" s="13"/>
      <c r="P29" s="13"/>
      <c r="Q29" s="13"/>
      <c r="R29" s="13"/>
      <c r="S29" s="13"/>
      <c r="T29" s="13"/>
      <c r="U29" s="13"/>
      <c r="V29" s="13"/>
      <c r="W29" s="13"/>
      <c r="X29" s="13"/>
      <c r="Y29" s="13"/>
      <c r="Z29" s="13"/>
    </row>
    <row r="30">
      <c r="A30" s="11" t="s">
        <v>212</v>
      </c>
      <c r="B30" s="12" t="s">
        <v>436</v>
      </c>
      <c r="C30" s="13"/>
      <c r="D30" s="13"/>
      <c r="E30" s="13"/>
      <c r="F30" s="13"/>
      <c r="G30" s="13"/>
      <c r="H30" s="13"/>
      <c r="I30" s="13"/>
      <c r="J30" s="13"/>
      <c r="K30" s="13"/>
      <c r="L30" s="13"/>
      <c r="M30" s="13"/>
      <c r="N30" s="13"/>
      <c r="O30" s="13"/>
      <c r="P30" s="13"/>
      <c r="Q30" s="13"/>
      <c r="R30" s="13"/>
      <c r="S30" s="13"/>
      <c r="T30" s="13"/>
      <c r="U30" s="13"/>
      <c r="V30" s="13"/>
      <c r="W30" s="13"/>
      <c r="X30" s="13"/>
      <c r="Y30" s="13"/>
      <c r="Z30" s="13"/>
    </row>
    <row r="31">
      <c r="A31" s="12" t="s">
        <v>218</v>
      </c>
      <c r="B31" s="12" t="s">
        <v>437</v>
      </c>
      <c r="C31" s="13"/>
      <c r="D31" s="13"/>
      <c r="E31" s="13"/>
      <c r="F31" s="13"/>
      <c r="G31" s="13"/>
      <c r="H31" s="13"/>
      <c r="I31" s="13"/>
      <c r="J31" s="13"/>
      <c r="K31" s="13"/>
      <c r="L31" s="13"/>
      <c r="M31" s="13"/>
      <c r="N31" s="13"/>
      <c r="O31" s="13"/>
      <c r="P31" s="13"/>
      <c r="Q31" s="13"/>
      <c r="R31" s="13"/>
      <c r="S31" s="13"/>
      <c r="T31" s="13"/>
      <c r="U31" s="13"/>
      <c r="V31" s="13"/>
      <c r="W31" s="13"/>
      <c r="X31" s="13"/>
      <c r="Y31" s="13"/>
      <c r="Z31" s="13"/>
    </row>
    <row r="32">
      <c r="A32" s="12" t="s">
        <v>228</v>
      </c>
      <c r="B32" s="12" t="s">
        <v>438</v>
      </c>
      <c r="C32" s="13"/>
      <c r="D32" s="13"/>
      <c r="E32" s="13"/>
      <c r="F32" s="13"/>
      <c r="G32" s="13"/>
      <c r="H32" s="13"/>
      <c r="I32" s="13"/>
      <c r="J32" s="13"/>
      <c r="K32" s="13"/>
      <c r="L32" s="13"/>
      <c r="M32" s="13"/>
      <c r="N32" s="13"/>
      <c r="O32" s="13"/>
      <c r="P32" s="13"/>
      <c r="Q32" s="13"/>
      <c r="R32" s="13"/>
      <c r="S32" s="13"/>
      <c r="T32" s="13"/>
      <c r="U32" s="13"/>
      <c r="V32" s="13"/>
      <c r="W32" s="13"/>
      <c r="X32" s="13"/>
      <c r="Y32" s="13"/>
      <c r="Z32" s="13"/>
    </row>
    <row r="33">
      <c r="A33" s="12" t="s">
        <v>233</v>
      </c>
      <c r="B33" s="12" t="s">
        <v>439</v>
      </c>
      <c r="C33" s="13"/>
      <c r="D33" s="13"/>
      <c r="E33" s="13"/>
      <c r="F33" s="13"/>
      <c r="G33" s="13"/>
      <c r="H33" s="13"/>
      <c r="I33" s="13"/>
      <c r="J33" s="13"/>
      <c r="K33" s="13"/>
      <c r="L33" s="13"/>
      <c r="M33" s="13"/>
      <c r="N33" s="13"/>
      <c r="O33" s="13"/>
      <c r="P33" s="13"/>
      <c r="Q33" s="13"/>
      <c r="R33" s="13"/>
      <c r="S33" s="13"/>
      <c r="T33" s="13"/>
      <c r="U33" s="13"/>
      <c r="V33" s="13"/>
      <c r="W33" s="13"/>
      <c r="X33" s="13"/>
      <c r="Y33" s="13"/>
      <c r="Z33" s="13"/>
    </row>
    <row r="34">
      <c r="A34" s="12" t="s">
        <v>238</v>
      </c>
      <c r="B34" s="12" t="s">
        <v>440</v>
      </c>
      <c r="C34" s="13"/>
      <c r="D34" s="13"/>
      <c r="E34" s="13"/>
      <c r="F34" s="13"/>
      <c r="G34" s="13"/>
      <c r="H34" s="13"/>
      <c r="I34" s="13"/>
      <c r="J34" s="13"/>
      <c r="K34" s="13"/>
      <c r="L34" s="13"/>
      <c r="M34" s="13"/>
      <c r="N34" s="13"/>
      <c r="O34" s="13"/>
      <c r="P34" s="13"/>
      <c r="Q34" s="13"/>
      <c r="R34" s="13"/>
      <c r="S34" s="13"/>
      <c r="T34" s="13"/>
      <c r="U34" s="13"/>
      <c r="V34" s="13"/>
      <c r="W34" s="13"/>
      <c r="X34" s="13"/>
      <c r="Y34" s="13"/>
      <c r="Z34" s="13"/>
    </row>
    <row r="35">
      <c r="A35" s="12" t="s">
        <v>245</v>
      </c>
      <c r="B35" s="12" t="s">
        <v>441</v>
      </c>
      <c r="C35" s="13"/>
      <c r="D35" s="13"/>
      <c r="E35" s="13"/>
      <c r="F35" s="13"/>
      <c r="G35" s="13"/>
      <c r="H35" s="13"/>
      <c r="I35" s="13"/>
      <c r="J35" s="13"/>
      <c r="K35" s="13"/>
      <c r="L35" s="13"/>
      <c r="M35" s="13"/>
      <c r="N35" s="13"/>
      <c r="O35" s="13"/>
      <c r="P35" s="13"/>
      <c r="Q35" s="13"/>
      <c r="R35" s="13"/>
      <c r="S35" s="13"/>
      <c r="T35" s="13"/>
      <c r="U35" s="13"/>
      <c r="V35" s="13"/>
      <c r="W35" s="13"/>
      <c r="X35" s="13"/>
      <c r="Y35" s="13"/>
      <c r="Z35" s="13"/>
    </row>
    <row r="36">
      <c r="A36" s="12" t="s">
        <v>250</v>
      </c>
      <c r="B36" s="12" t="s">
        <v>442</v>
      </c>
      <c r="C36" s="13"/>
      <c r="D36" s="13"/>
      <c r="E36" s="13"/>
      <c r="F36" s="13"/>
      <c r="G36" s="13"/>
      <c r="H36" s="13"/>
      <c r="I36" s="13"/>
      <c r="J36" s="13"/>
      <c r="K36" s="13"/>
      <c r="L36" s="13"/>
      <c r="M36" s="13"/>
      <c r="N36" s="13"/>
      <c r="O36" s="13"/>
      <c r="P36" s="13"/>
      <c r="Q36" s="13"/>
      <c r="R36" s="13"/>
      <c r="S36" s="13"/>
      <c r="T36" s="13"/>
      <c r="U36" s="13"/>
      <c r="V36" s="13"/>
      <c r="W36" s="13"/>
      <c r="X36" s="13"/>
      <c r="Y36" s="13"/>
      <c r="Z36" s="13"/>
    </row>
    <row r="37">
      <c r="A37" s="12" t="s">
        <v>256</v>
      </c>
      <c r="B37" s="12" t="s">
        <v>443</v>
      </c>
      <c r="C37" s="13"/>
      <c r="D37" s="13"/>
      <c r="E37" s="13"/>
      <c r="F37" s="13"/>
      <c r="G37" s="13"/>
      <c r="H37" s="13"/>
      <c r="I37" s="13"/>
      <c r="J37" s="13"/>
      <c r="K37" s="13"/>
      <c r="L37" s="13"/>
      <c r="M37" s="13"/>
      <c r="N37" s="13"/>
      <c r="O37" s="13"/>
      <c r="P37" s="13"/>
      <c r="Q37" s="13"/>
      <c r="R37" s="13"/>
      <c r="S37" s="13"/>
      <c r="T37" s="13"/>
      <c r="U37" s="13"/>
      <c r="V37" s="13"/>
      <c r="W37" s="13"/>
      <c r="X37" s="13"/>
      <c r="Y37" s="13"/>
      <c r="Z37" s="13"/>
    </row>
    <row r="38">
      <c r="A38" s="12" t="s">
        <v>261</v>
      </c>
      <c r="B38" s="12" t="s">
        <v>444</v>
      </c>
      <c r="C38" s="13"/>
      <c r="D38" s="13"/>
      <c r="E38" s="13"/>
      <c r="F38" s="13"/>
      <c r="G38" s="13"/>
      <c r="H38" s="13"/>
      <c r="I38" s="13"/>
      <c r="J38" s="13"/>
      <c r="K38" s="13"/>
      <c r="L38" s="13"/>
      <c r="M38" s="13"/>
      <c r="N38" s="13"/>
      <c r="O38" s="13"/>
      <c r="P38" s="13"/>
      <c r="Q38" s="13"/>
      <c r="R38" s="13"/>
      <c r="S38" s="13"/>
      <c r="T38" s="13"/>
      <c r="U38" s="13"/>
      <c r="V38" s="13"/>
      <c r="W38" s="13"/>
      <c r="X38" s="13"/>
      <c r="Y38" s="13"/>
      <c r="Z38" s="13"/>
    </row>
    <row r="39">
      <c r="A39" s="12" t="s">
        <v>269</v>
      </c>
      <c r="B39" s="12" t="s">
        <v>445</v>
      </c>
      <c r="C39" s="13"/>
      <c r="D39" s="13"/>
      <c r="E39" s="13"/>
      <c r="F39" s="13"/>
      <c r="G39" s="13"/>
      <c r="H39" s="13"/>
      <c r="I39" s="13"/>
      <c r="J39" s="13"/>
      <c r="K39" s="13"/>
      <c r="L39" s="13"/>
      <c r="M39" s="13"/>
      <c r="N39" s="13"/>
      <c r="O39" s="13"/>
      <c r="P39" s="13"/>
      <c r="Q39" s="13"/>
      <c r="R39" s="13"/>
      <c r="S39" s="13"/>
      <c r="T39" s="13"/>
      <c r="U39" s="13"/>
      <c r="V39" s="13"/>
      <c r="W39" s="13"/>
      <c r="X39" s="13"/>
      <c r="Y39" s="13"/>
      <c r="Z39" s="13"/>
    </row>
    <row r="40">
      <c r="A40" s="12" t="s">
        <v>274</v>
      </c>
      <c r="B40" s="12" t="s">
        <v>446</v>
      </c>
      <c r="C40" s="13"/>
      <c r="D40" s="13"/>
      <c r="E40" s="13"/>
      <c r="F40" s="13"/>
      <c r="G40" s="13"/>
      <c r="H40" s="13"/>
      <c r="I40" s="13"/>
      <c r="J40" s="13"/>
      <c r="K40" s="13"/>
      <c r="L40" s="13"/>
      <c r="M40" s="13"/>
      <c r="N40" s="13"/>
      <c r="O40" s="13"/>
      <c r="P40" s="13"/>
      <c r="Q40" s="13"/>
      <c r="R40" s="13"/>
      <c r="S40" s="13"/>
      <c r="T40" s="13"/>
      <c r="U40" s="13"/>
      <c r="V40" s="13"/>
      <c r="W40" s="13"/>
      <c r="X40" s="13"/>
      <c r="Y40" s="13"/>
      <c r="Z40" s="13"/>
    </row>
    <row r="41">
      <c r="A41" s="12" t="s">
        <v>279</v>
      </c>
      <c r="B41" s="12" t="s">
        <v>447</v>
      </c>
      <c r="C41" s="13"/>
      <c r="D41" s="13"/>
      <c r="E41" s="13"/>
      <c r="F41" s="13"/>
      <c r="G41" s="13"/>
      <c r="H41" s="13"/>
      <c r="I41" s="13"/>
      <c r="J41" s="13"/>
      <c r="K41" s="13"/>
      <c r="L41" s="13"/>
      <c r="M41" s="13"/>
      <c r="N41" s="13"/>
      <c r="O41" s="13"/>
      <c r="P41" s="13"/>
      <c r="Q41" s="13"/>
      <c r="R41" s="13"/>
      <c r="S41" s="13"/>
      <c r="T41" s="13"/>
      <c r="U41" s="13"/>
      <c r="V41" s="13"/>
      <c r="W41" s="13"/>
      <c r="X41" s="13"/>
      <c r="Y41" s="13"/>
      <c r="Z41" s="13"/>
    </row>
    <row r="42">
      <c r="A42" s="12" t="s">
        <v>286</v>
      </c>
      <c r="B42" s="12" t="s">
        <v>448</v>
      </c>
      <c r="C42" s="13"/>
      <c r="D42" s="13"/>
      <c r="E42" s="13"/>
      <c r="F42" s="13"/>
      <c r="G42" s="13"/>
      <c r="H42" s="13"/>
      <c r="I42" s="13"/>
      <c r="J42" s="13"/>
      <c r="K42" s="13"/>
      <c r="L42" s="13"/>
      <c r="M42" s="13"/>
      <c r="N42" s="13"/>
      <c r="O42" s="13"/>
      <c r="P42" s="13"/>
      <c r="Q42" s="13"/>
      <c r="R42" s="13"/>
      <c r="S42" s="13"/>
      <c r="T42" s="13"/>
      <c r="U42" s="13"/>
      <c r="V42" s="13"/>
      <c r="W42" s="13"/>
      <c r="X42" s="13"/>
      <c r="Y42" s="13"/>
      <c r="Z42" s="13"/>
    </row>
    <row r="43">
      <c r="A43" s="12" t="s">
        <v>291</v>
      </c>
      <c r="B43" s="12" t="s">
        <v>449</v>
      </c>
      <c r="C43" s="13"/>
      <c r="D43" s="13"/>
      <c r="E43" s="13"/>
      <c r="F43" s="13"/>
      <c r="G43" s="13"/>
      <c r="H43" s="13"/>
      <c r="I43" s="13"/>
      <c r="J43" s="13"/>
      <c r="K43" s="13"/>
      <c r="L43" s="13"/>
      <c r="M43" s="13"/>
      <c r="N43" s="13"/>
      <c r="O43" s="13"/>
      <c r="P43" s="13"/>
      <c r="Q43" s="13"/>
      <c r="R43" s="13"/>
      <c r="S43" s="13"/>
      <c r="T43" s="13"/>
      <c r="U43" s="13"/>
      <c r="V43" s="13"/>
      <c r="W43" s="13"/>
      <c r="X43" s="13"/>
      <c r="Y43" s="13"/>
      <c r="Z43" s="13"/>
    </row>
    <row r="44">
      <c r="A44" s="12" t="s">
        <v>296</v>
      </c>
      <c r="B44" s="12" t="s">
        <v>450</v>
      </c>
      <c r="C44" s="13"/>
      <c r="D44" s="13"/>
      <c r="E44" s="13"/>
      <c r="F44" s="13"/>
      <c r="G44" s="13"/>
      <c r="H44" s="13"/>
      <c r="I44" s="13"/>
      <c r="J44" s="13"/>
      <c r="K44" s="13"/>
      <c r="L44" s="13"/>
      <c r="M44" s="13"/>
      <c r="N44" s="13"/>
      <c r="O44" s="13"/>
      <c r="P44" s="13"/>
      <c r="Q44" s="13"/>
      <c r="R44" s="13"/>
      <c r="S44" s="13"/>
      <c r="T44" s="13"/>
      <c r="U44" s="13"/>
      <c r="V44" s="13"/>
      <c r="W44" s="13"/>
      <c r="X44" s="13"/>
      <c r="Y44" s="13"/>
      <c r="Z44" s="13"/>
    </row>
    <row r="45">
      <c r="A45" s="12" t="s">
        <v>304</v>
      </c>
      <c r="B45" s="12" t="s">
        <v>451</v>
      </c>
      <c r="C45" s="13"/>
      <c r="D45" s="13"/>
      <c r="E45" s="13"/>
      <c r="F45" s="13"/>
      <c r="G45" s="13"/>
      <c r="H45" s="13"/>
      <c r="I45" s="13"/>
      <c r="J45" s="13"/>
      <c r="K45" s="13"/>
      <c r="L45" s="13"/>
      <c r="M45" s="13"/>
      <c r="N45" s="13"/>
      <c r="O45" s="13"/>
      <c r="P45" s="13"/>
      <c r="Q45" s="13"/>
      <c r="R45" s="13"/>
      <c r="S45" s="13"/>
      <c r="T45" s="13"/>
      <c r="U45" s="13"/>
      <c r="V45" s="13"/>
      <c r="W45" s="13"/>
      <c r="X45" s="13"/>
      <c r="Y45" s="13"/>
      <c r="Z45" s="13"/>
    </row>
    <row r="46">
      <c r="A46" s="12" t="s">
        <v>309</v>
      </c>
      <c r="B46" s="12" t="s">
        <v>452</v>
      </c>
      <c r="C46" s="13"/>
      <c r="D46" s="13"/>
      <c r="E46" s="13"/>
      <c r="F46" s="13"/>
      <c r="G46" s="13"/>
      <c r="H46" s="13"/>
      <c r="I46" s="13"/>
      <c r="J46" s="13"/>
      <c r="K46" s="13"/>
      <c r="L46" s="13"/>
      <c r="M46" s="13"/>
      <c r="N46" s="13"/>
      <c r="O46" s="13"/>
      <c r="P46" s="13"/>
      <c r="Q46" s="13"/>
      <c r="R46" s="13"/>
      <c r="S46" s="13"/>
      <c r="T46" s="13"/>
      <c r="U46" s="13"/>
      <c r="V46" s="13"/>
      <c r="W46" s="13"/>
      <c r="X46" s="13"/>
      <c r="Y46" s="13"/>
      <c r="Z46" s="13"/>
    </row>
    <row r="47">
      <c r="A47" s="12" t="s">
        <v>314</v>
      </c>
      <c r="B47" s="12" t="s">
        <v>453</v>
      </c>
      <c r="C47" s="13"/>
      <c r="D47" s="13"/>
      <c r="E47" s="13"/>
      <c r="F47" s="13"/>
      <c r="G47" s="13"/>
      <c r="H47" s="13"/>
      <c r="I47" s="13"/>
      <c r="J47" s="13"/>
      <c r="K47" s="13"/>
      <c r="L47" s="13"/>
      <c r="M47" s="13"/>
      <c r="N47" s="13"/>
      <c r="O47" s="13"/>
      <c r="P47" s="13"/>
      <c r="Q47" s="13"/>
      <c r="R47" s="13"/>
      <c r="S47" s="13"/>
      <c r="T47" s="13"/>
      <c r="U47" s="13"/>
      <c r="V47" s="13"/>
      <c r="W47" s="13"/>
      <c r="X47" s="13"/>
      <c r="Y47" s="13"/>
      <c r="Z47" s="13"/>
    </row>
    <row r="48">
      <c r="A48" s="12" t="s">
        <v>320</v>
      </c>
      <c r="B48" s="12" t="s">
        <v>454</v>
      </c>
      <c r="C48" s="13"/>
      <c r="D48" s="13"/>
      <c r="E48" s="13"/>
      <c r="F48" s="13"/>
      <c r="G48" s="13"/>
      <c r="H48" s="13"/>
      <c r="I48" s="13"/>
      <c r="J48" s="13"/>
      <c r="K48" s="13"/>
      <c r="L48" s="13"/>
      <c r="M48" s="13"/>
      <c r="N48" s="13"/>
      <c r="O48" s="13"/>
      <c r="P48" s="13"/>
      <c r="Q48" s="13"/>
      <c r="R48" s="13"/>
      <c r="S48" s="13"/>
      <c r="T48" s="13"/>
      <c r="U48" s="13"/>
      <c r="V48" s="13"/>
      <c r="W48" s="13"/>
      <c r="X48" s="13"/>
      <c r="Y48" s="13"/>
      <c r="Z48" s="13"/>
    </row>
    <row r="49">
      <c r="A49" s="12" t="s">
        <v>325</v>
      </c>
      <c r="B49" s="12" t="s">
        <v>455</v>
      </c>
      <c r="C49" s="13"/>
      <c r="D49" s="13"/>
      <c r="E49" s="13"/>
      <c r="F49" s="13"/>
      <c r="G49" s="13"/>
      <c r="H49" s="13"/>
      <c r="I49" s="13"/>
      <c r="J49" s="13"/>
      <c r="K49" s="13"/>
      <c r="L49" s="13"/>
      <c r="M49" s="13"/>
      <c r="N49" s="13"/>
      <c r="O49" s="13"/>
      <c r="P49" s="13"/>
      <c r="Q49" s="13"/>
      <c r="R49" s="13"/>
      <c r="S49" s="13"/>
      <c r="T49" s="13"/>
      <c r="U49" s="13"/>
      <c r="V49" s="13"/>
      <c r="W49" s="13"/>
      <c r="X49" s="13"/>
      <c r="Y49" s="13"/>
      <c r="Z49" s="13"/>
    </row>
    <row r="50">
      <c r="A50" s="12" t="s">
        <v>331</v>
      </c>
      <c r="B50" s="12" t="s">
        <v>456</v>
      </c>
      <c r="C50" s="13"/>
      <c r="D50" s="13"/>
      <c r="E50" s="13"/>
      <c r="F50" s="13"/>
      <c r="G50" s="13"/>
      <c r="H50" s="13"/>
      <c r="I50" s="13"/>
      <c r="J50" s="13"/>
      <c r="K50" s="13"/>
      <c r="L50" s="13"/>
      <c r="M50" s="13"/>
      <c r="N50" s="13"/>
      <c r="O50" s="13"/>
      <c r="P50" s="13"/>
      <c r="Q50" s="13"/>
      <c r="R50" s="13"/>
      <c r="S50" s="13"/>
      <c r="T50" s="13"/>
      <c r="U50" s="13"/>
      <c r="V50" s="13"/>
      <c r="W50" s="13"/>
      <c r="X50" s="13"/>
      <c r="Y50" s="13"/>
      <c r="Z50" s="13"/>
    </row>
    <row r="51">
      <c r="A51" s="12" t="s">
        <v>336</v>
      </c>
      <c r="B51" s="12" t="s">
        <v>457</v>
      </c>
      <c r="C51" s="13"/>
      <c r="D51" s="13"/>
      <c r="E51" s="13"/>
      <c r="F51" s="13"/>
      <c r="G51" s="13"/>
      <c r="H51" s="13"/>
      <c r="I51" s="13"/>
      <c r="J51" s="13"/>
      <c r="K51" s="13"/>
      <c r="L51" s="13"/>
      <c r="M51" s="13"/>
      <c r="N51" s="13"/>
      <c r="O51" s="13"/>
      <c r="P51" s="13"/>
      <c r="Q51" s="13"/>
      <c r="R51" s="13"/>
      <c r="S51" s="13"/>
      <c r="T51" s="13"/>
      <c r="U51" s="13"/>
      <c r="V51" s="13"/>
      <c r="W51" s="13"/>
      <c r="X51" s="13"/>
      <c r="Y51" s="13"/>
      <c r="Z51" s="13"/>
    </row>
    <row r="52">
      <c r="A52" s="12" t="s">
        <v>341</v>
      </c>
      <c r="B52" s="12" t="s">
        <v>458</v>
      </c>
      <c r="C52" s="13"/>
      <c r="D52" s="13"/>
      <c r="E52" s="13"/>
      <c r="F52" s="13"/>
      <c r="G52" s="13"/>
      <c r="H52" s="13"/>
      <c r="I52" s="13"/>
      <c r="J52" s="13"/>
      <c r="K52" s="13"/>
      <c r="L52" s="13"/>
      <c r="M52" s="13"/>
      <c r="N52" s="13"/>
      <c r="O52" s="13"/>
      <c r="P52" s="13"/>
      <c r="Q52" s="13"/>
      <c r="R52" s="13"/>
      <c r="S52" s="13"/>
      <c r="T52" s="13"/>
      <c r="U52" s="13"/>
      <c r="V52" s="13"/>
      <c r="W52" s="13"/>
      <c r="X52" s="13"/>
      <c r="Y52" s="13"/>
      <c r="Z52" s="13"/>
    </row>
    <row r="53">
      <c r="A53" s="12" t="s">
        <v>347</v>
      </c>
      <c r="B53" s="12" t="s">
        <v>459</v>
      </c>
      <c r="C53" s="13"/>
      <c r="D53" s="13"/>
      <c r="E53" s="13"/>
      <c r="F53" s="13"/>
      <c r="G53" s="13"/>
      <c r="H53" s="13"/>
      <c r="I53" s="13"/>
      <c r="J53" s="13"/>
      <c r="K53" s="13"/>
      <c r="L53" s="13"/>
      <c r="M53" s="13"/>
      <c r="N53" s="13"/>
      <c r="O53" s="13"/>
      <c r="P53" s="13"/>
      <c r="Q53" s="13"/>
      <c r="R53" s="13"/>
      <c r="S53" s="13"/>
      <c r="T53" s="13"/>
      <c r="U53" s="13"/>
      <c r="V53" s="13"/>
      <c r="W53" s="13"/>
      <c r="X53" s="13"/>
      <c r="Y53" s="13"/>
      <c r="Z53" s="13"/>
    </row>
    <row r="54">
      <c r="A54" s="12" t="s">
        <v>352</v>
      </c>
      <c r="B54" s="12" t="s">
        <v>460</v>
      </c>
      <c r="C54" s="13"/>
      <c r="D54" s="13"/>
      <c r="E54" s="13"/>
      <c r="F54" s="13"/>
      <c r="G54" s="13"/>
      <c r="H54" s="13"/>
      <c r="I54" s="13"/>
      <c r="J54" s="13"/>
      <c r="K54" s="13"/>
      <c r="L54" s="13"/>
      <c r="M54" s="13"/>
      <c r="N54" s="13"/>
      <c r="O54" s="13"/>
      <c r="P54" s="13"/>
      <c r="Q54" s="13"/>
      <c r="R54" s="13"/>
      <c r="S54" s="13"/>
      <c r="T54" s="13"/>
      <c r="U54" s="13"/>
      <c r="V54" s="13"/>
      <c r="W54" s="13"/>
      <c r="X54" s="13"/>
      <c r="Y54" s="13"/>
      <c r="Z54" s="13"/>
    </row>
    <row r="55">
      <c r="A55" s="12" t="s">
        <v>358</v>
      </c>
      <c r="B55" s="12" t="s">
        <v>461</v>
      </c>
      <c r="C55" s="13"/>
      <c r="D55" s="13"/>
      <c r="E55" s="13"/>
      <c r="F55" s="13"/>
      <c r="G55" s="13"/>
      <c r="H55" s="13"/>
      <c r="I55" s="13"/>
      <c r="J55" s="13"/>
      <c r="K55" s="13"/>
      <c r="L55" s="13"/>
      <c r="M55" s="13"/>
      <c r="N55" s="13"/>
      <c r="O55" s="13"/>
      <c r="P55" s="13"/>
      <c r="Q55" s="13"/>
      <c r="R55" s="13"/>
      <c r="S55" s="13"/>
      <c r="T55" s="13"/>
      <c r="U55" s="13"/>
      <c r="V55" s="13"/>
      <c r="W55" s="13"/>
      <c r="X55" s="13"/>
      <c r="Y55" s="13"/>
      <c r="Z55" s="13"/>
    </row>
    <row r="56">
      <c r="A56" s="12" t="s">
        <v>363</v>
      </c>
      <c r="B56" s="12" t="s">
        <v>462</v>
      </c>
      <c r="C56" s="13"/>
      <c r="D56" s="13"/>
      <c r="E56" s="13"/>
      <c r="F56" s="13"/>
      <c r="G56" s="13"/>
      <c r="H56" s="13"/>
      <c r="I56" s="13"/>
      <c r="J56" s="13"/>
      <c r="K56" s="13"/>
      <c r="L56" s="13"/>
      <c r="M56" s="13"/>
      <c r="N56" s="13"/>
      <c r="O56" s="13"/>
      <c r="P56" s="13"/>
      <c r="Q56" s="13"/>
      <c r="R56" s="13"/>
      <c r="S56" s="13"/>
      <c r="T56" s="13"/>
      <c r="U56" s="13"/>
      <c r="V56" s="13"/>
      <c r="W56" s="13"/>
      <c r="X56" s="13"/>
      <c r="Y56" s="13"/>
      <c r="Z56" s="13"/>
    </row>
    <row r="57">
      <c r="A57" s="12" t="s">
        <v>369</v>
      </c>
      <c r="B57" s="12" t="s">
        <v>463</v>
      </c>
      <c r="C57" s="13"/>
      <c r="D57" s="13"/>
      <c r="E57" s="13"/>
      <c r="F57" s="13"/>
      <c r="G57" s="13"/>
      <c r="H57" s="13"/>
      <c r="I57" s="13"/>
      <c r="J57" s="13"/>
      <c r="K57" s="13"/>
      <c r="L57" s="13"/>
      <c r="M57" s="13"/>
      <c r="N57" s="13"/>
      <c r="O57" s="13"/>
      <c r="P57" s="13"/>
      <c r="Q57" s="13"/>
      <c r="R57" s="13"/>
      <c r="S57" s="13"/>
      <c r="T57" s="13"/>
      <c r="U57" s="13"/>
      <c r="V57" s="13"/>
      <c r="W57" s="13"/>
      <c r="X57" s="13"/>
      <c r="Y57" s="13"/>
      <c r="Z57" s="13"/>
    </row>
    <row r="58">
      <c r="A58" s="12" t="s">
        <v>374</v>
      </c>
      <c r="B58" s="12" t="s">
        <v>464</v>
      </c>
      <c r="C58" s="13"/>
      <c r="D58" s="13"/>
      <c r="E58" s="13"/>
      <c r="F58" s="13"/>
      <c r="G58" s="13"/>
      <c r="H58" s="13"/>
      <c r="I58" s="13"/>
      <c r="J58" s="13"/>
      <c r="K58" s="13"/>
      <c r="L58" s="13"/>
      <c r="M58" s="13"/>
      <c r="N58" s="13"/>
      <c r="O58" s="13"/>
      <c r="P58" s="13"/>
      <c r="Q58" s="13"/>
      <c r="R58" s="13"/>
      <c r="S58" s="13"/>
      <c r="T58" s="13"/>
      <c r="U58" s="13"/>
      <c r="V58" s="13"/>
      <c r="W58" s="13"/>
      <c r="X58" s="13"/>
      <c r="Y58" s="13"/>
      <c r="Z58" s="13"/>
    </row>
    <row r="59">
      <c r="A59" s="12" t="s">
        <v>381</v>
      </c>
      <c r="B59" s="12" t="s">
        <v>465</v>
      </c>
      <c r="C59" s="13"/>
      <c r="D59" s="13"/>
      <c r="E59" s="13"/>
      <c r="F59" s="13"/>
      <c r="G59" s="13"/>
      <c r="H59" s="13"/>
      <c r="I59" s="13"/>
      <c r="J59" s="13"/>
      <c r="K59" s="13"/>
      <c r="L59" s="13"/>
      <c r="M59" s="13"/>
      <c r="N59" s="13"/>
      <c r="O59" s="13"/>
      <c r="P59" s="13"/>
      <c r="Q59" s="13"/>
      <c r="R59" s="13"/>
      <c r="S59" s="13"/>
      <c r="T59" s="13"/>
      <c r="U59" s="13"/>
      <c r="V59" s="13"/>
      <c r="W59" s="13"/>
      <c r="X59" s="13"/>
      <c r="Y59" s="13"/>
      <c r="Z59" s="13"/>
    </row>
    <row r="60">
      <c r="A60" s="12" t="s">
        <v>386</v>
      </c>
      <c r="B60" s="12" t="s">
        <v>466</v>
      </c>
      <c r="C60" s="13"/>
      <c r="D60" s="13"/>
      <c r="E60" s="13"/>
      <c r="F60" s="13"/>
      <c r="G60" s="13"/>
      <c r="H60" s="13"/>
      <c r="I60" s="13"/>
      <c r="J60" s="13"/>
      <c r="K60" s="13"/>
      <c r="L60" s="13"/>
      <c r="M60" s="13"/>
      <c r="N60" s="13"/>
      <c r="O60" s="13"/>
      <c r="P60" s="13"/>
      <c r="Q60" s="13"/>
      <c r="R60" s="13"/>
      <c r="S60" s="13"/>
      <c r="T60" s="13"/>
      <c r="U60" s="13"/>
      <c r="V60" s="13"/>
      <c r="W60" s="13"/>
      <c r="X60" s="13"/>
      <c r="Y60" s="13"/>
      <c r="Z60" s="13"/>
    </row>
    <row r="61">
      <c r="A61" s="12" t="s">
        <v>391</v>
      </c>
      <c r="B61" s="12" t="s">
        <v>467</v>
      </c>
      <c r="C61" s="13"/>
      <c r="D61" s="13"/>
      <c r="E61" s="13"/>
      <c r="F61" s="13"/>
      <c r="G61" s="13"/>
      <c r="H61" s="13"/>
      <c r="I61" s="13"/>
      <c r="J61" s="13"/>
      <c r="K61" s="13"/>
      <c r="L61" s="13"/>
      <c r="M61" s="13"/>
      <c r="N61" s="13"/>
      <c r="O61" s="13"/>
      <c r="P61" s="13"/>
      <c r="Q61" s="13"/>
      <c r="R61" s="13"/>
      <c r="S61" s="13"/>
      <c r="T61" s="13"/>
      <c r="U61" s="13"/>
      <c r="V61" s="13"/>
      <c r="W61" s="13"/>
      <c r="X61" s="13"/>
      <c r="Y61" s="13"/>
      <c r="Z61" s="13"/>
    </row>
    <row r="62">
      <c r="A62" s="12" t="s">
        <v>399</v>
      </c>
      <c r="B62" s="14" t="s">
        <v>468</v>
      </c>
      <c r="C62" s="13"/>
      <c r="D62" s="13"/>
      <c r="E62" s="13"/>
      <c r="F62" s="13"/>
      <c r="G62" s="13"/>
      <c r="H62" s="13"/>
      <c r="I62" s="13"/>
      <c r="J62" s="13"/>
      <c r="K62" s="13"/>
      <c r="L62" s="13"/>
      <c r="M62" s="13"/>
      <c r="N62" s="13"/>
      <c r="O62" s="13"/>
      <c r="P62" s="13"/>
      <c r="Q62" s="13"/>
      <c r="R62" s="13"/>
      <c r="S62" s="13"/>
      <c r="T62" s="13"/>
      <c r="U62" s="13"/>
      <c r="V62" s="13"/>
      <c r="W62" s="13"/>
      <c r="X62" s="13"/>
      <c r="Y62" s="13"/>
      <c r="Z62" s="13"/>
    </row>
    <row r="63">
      <c r="A63" s="12" t="s">
        <v>405</v>
      </c>
      <c r="B63" s="14" t="s">
        <v>469</v>
      </c>
      <c r="C63" s="13"/>
      <c r="D63" s="13"/>
      <c r="E63" s="13"/>
      <c r="F63" s="13"/>
      <c r="G63" s="13"/>
      <c r="H63" s="13"/>
      <c r="I63" s="13"/>
      <c r="J63" s="13"/>
      <c r="K63" s="13"/>
      <c r="L63" s="13"/>
      <c r="M63" s="13"/>
      <c r="N63" s="13"/>
      <c r="O63" s="13"/>
      <c r="P63" s="13"/>
      <c r="Q63" s="13"/>
      <c r="R63" s="13"/>
      <c r="S63" s="13"/>
      <c r="T63" s="13"/>
      <c r="U63" s="13"/>
      <c r="V63" s="13"/>
      <c r="W63" s="13"/>
      <c r="X63" s="13"/>
      <c r="Y63" s="13"/>
      <c r="Z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c r="A65" s="15"/>
      <c r="B65" s="15"/>
      <c r="C65" s="15"/>
      <c r="D65" s="15"/>
      <c r="E65" s="15"/>
      <c r="F65" s="15"/>
      <c r="G65" s="15"/>
      <c r="H65" s="15"/>
      <c r="I65" s="15"/>
      <c r="J65" s="15"/>
      <c r="K65" s="15"/>
      <c r="L65" s="15"/>
      <c r="M65" s="13"/>
      <c r="N65" s="13"/>
      <c r="O65" s="13"/>
      <c r="P65" s="13"/>
      <c r="Q65" s="13"/>
      <c r="R65" s="13"/>
      <c r="S65" s="13"/>
      <c r="T65" s="13"/>
      <c r="U65" s="13"/>
      <c r="V65" s="13"/>
      <c r="W65" s="13"/>
      <c r="X65" s="13"/>
      <c r="Y65" s="13"/>
      <c r="Z65" s="13"/>
    </row>
    <row r="66">
      <c r="A66" s="15"/>
      <c r="B66" s="15"/>
      <c r="C66" s="15"/>
      <c r="D66" s="15"/>
      <c r="E66" s="15"/>
      <c r="F66" s="15"/>
      <c r="G66" s="15"/>
      <c r="H66" s="15"/>
      <c r="I66" s="15"/>
      <c r="J66" s="15"/>
      <c r="K66" s="15"/>
      <c r="L66" s="15"/>
      <c r="M66" s="13"/>
      <c r="N66" s="13"/>
      <c r="O66" s="13"/>
      <c r="P66" s="13"/>
      <c r="Q66" s="13"/>
      <c r="R66" s="13"/>
      <c r="S66" s="13"/>
      <c r="T66" s="13"/>
      <c r="U66" s="13"/>
      <c r="V66" s="13"/>
      <c r="W66" s="13"/>
      <c r="X66" s="13"/>
      <c r="Y66" s="13"/>
      <c r="Z66" s="13"/>
    </row>
    <row r="67">
      <c r="A67" s="12" t="str">
        <f t="shared" ref="A67:A130" si="1">"Team: " &amp; B67 &amp; "  -  Project: " &amp; C67</f>
        <v>Team: Team Name  -  Project: Project Title </v>
      </c>
      <c r="B67" s="13" t="s">
        <v>4</v>
      </c>
      <c r="C67" s="13" t="s">
        <v>470</v>
      </c>
      <c r="D67" s="13"/>
      <c r="E67" s="13"/>
      <c r="F67" s="13"/>
      <c r="G67" s="13"/>
      <c r="H67" s="13"/>
      <c r="I67" s="13"/>
      <c r="J67" s="13"/>
      <c r="K67" s="13"/>
      <c r="L67" s="13"/>
      <c r="M67" s="13"/>
      <c r="N67" s="13"/>
      <c r="O67" s="13"/>
      <c r="P67" s="13"/>
      <c r="Q67" s="13"/>
      <c r="R67" s="13"/>
      <c r="S67" s="13"/>
      <c r="T67" s="13"/>
      <c r="U67" s="13"/>
      <c r="V67" s="13"/>
      <c r="W67" s="13"/>
      <c r="X67" s="13"/>
      <c r="Y67" s="13"/>
      <c r="Z67" s="13"/>
    </row>
    <row r="68">
      <c r="A68" s="12" t="str">
        <f t="shared" si="1"/>
        <v>Team: Windrow  -  Project: Automated Compost Turner</v>
      </c>
      <c r="B68" s="14" t="s">
        <v>16</v>
      </c>
      <c r="C68" s="14" t="s">
        <v>17</v>
      </c>
      <c r="D68" s="13"/>
      <c r="E68" s="13"/>
      <c r="F68" s="13"/>
      <c r="G68" s="13"/>
      <c r="H68" s="13"/>
      <c r="I68" s="13"/>
      <c r="J68" s="13"/>
      <c r="K68" s="13"/>
      <c r="L68" s="13"/>
      <c r="M68" s="13"/>
      <c r="N68" s="13"/>
      <c r="O68" s="13"/>
      <c r="P68" s="13"/>
      <c r="Q68" s="13"/>
      <c r="R68" s="13"/>
      <c r="S68" s="13"/>
      <c r="T68" s="13"/>
      <c r="U68" s="13"/>
      <c r="V68" s="13"/>
      <c r="W68" s="13"/>
      <c r="X68" s="13"/>
      <c r="Y68" s="13"/>
      <c r="Z68" s="13"/>
    </row>
    <row r="69">
      <c r="A69" s="12" t="str">
        <f t="shared" si="1"/>
        <v>Team: Tomato Recovery Team  -  Project: Capturing Tomatoes from Rock Removal System</v>
      </c>
      <c r="B69" s="14" t="s">
        <v>25</v>
      </c>
      <c r="C69" s="14" t="s">
        <v>26</v>
      </c>
      <c r="D69" s="13"/>
      <c r="E69" s="13"/>
      <c r="F69" s="13"/>
      <c r="G69" s="13"/>
      <c r="H69" s="13"/>
      <c r="I69" s="13"/>
      <c r="J69" s="13"/>
      <c r="K69" s="13"/>
      <c r="L69" s="13"/>
      <c r="M69" s="13"/>
      <c r="N69" s="13"/>
      <c r="O69" s="13"/>
      <c r="P69" s="13"/>
      <c r="Q69" s="13"/>
      <c r="R69" s="13"/>
      <c r="S69" s="13"/>
      <c r="T69" s="13"/>
      <c r="U69" s="13"/>
      <c r="V69" s="13"/>
      <c r="W69" s="13"/>
      <c r="X69" s="13"/>
      <c r="Y69" s="13"/>
      <c r="Z69" s="13"/>
    </row>
    <row r="70">
      <c r="A70" s="12" t="str">
        <f t="shared" si="1"/>
        <v>Team: Tomato Feeder MOT Removal  -  Project: Removing Sand and Silt from Tomato Flume</v>
      </c>
      <c r="B70" s="14" t="s">
        <v>33</v>
      </c>
      <c r="C70" s="14" t="s">
        <v>34</v>
      </c>
      <c r="D70" s="13"/>
      <c r="E70" s="13"/>
      <c r="F70" s="13"/>
      <c r="G70" s="13"/>
      <c r="H70" s="13"/>
      <c r="I70" s="13"/>
      <c r="J70" s="13"/>
      <c r="K70" s="13"/>
      <c r="L70" s="13"/>
      <c r="M70" s="13"/>
      <c r="N70" s="13"/>
      <c r="O70" s="13"/>
      <c r="P70" s="13"/>
      <c r="Q70" s="13"/>
      <c r="R70" s="13"/>
      <c r="S70" s="13"/>
      <c r="T70" s="13"/>
      <c r="U70" s="13"/>
      <c r="V70" s="13"/>
      <c r="W70" s="13"/>
      <c r="X70" s="13"/>
      <c r="Y70" s="13"/>
      <c r="Z70" s="13"/>
    </row>
    <row r="71">
      <c r="A71" s="12" t="str">
        <f t="shared" si="1"/>
        <v>Team: MOT Busters  -  Project: Removing Light Materials-Other-Than-Tomatoes (MOT) from the Tomato Flume Transport System</v>
      </c>
      <c r="B71" s="14" t="s">
        <v>39</v>
      </c>
      <c r="C71" s="14" t="s">
        <v>40</v>
      </c>
      <c r="D71" s="13"/>
      <c r="E71" s="13"/>
      <c r="F71" s="13"/>
      <c r="G71" s="13"/>
      <c r="H71" s="13"/>
      <c r="I71" s="13"/>
      <c r="J71" s="13"/>
      <c r="K71" s="13"/>
      <c r="L71" s="13"/>
      <c r="M71" s="13"/>
      <c r="N71" s="13"/>
      <c r="O71" s="13"/>
      <c r="P71" s="13"/>
      <c r="Q71" s="13"/>
      <c r="R71" s="13"/>
      <c r="S71" s="13"/>
      <c r="T71" s="13"/>
      <c r="U71" s="13"/>
      <c r="V71" s="13"/>
      <c r="W71" s="13"/>
      <c r="X71" s="13"/>
      <c r="Y71" s="13"/>
      <c r="Z71" s="13"/>
    </row>
    <row r="72">
      <c r="A72" s="12" t="str">
        <f t="shared" si="1"/>
        <v>Team: Tomato-Tomato  -  Project: Reducing Finisher Screen Damage by Better Preparation of Tomato Pulp</v>
      </c>
      <c r="B72" s="14" t="s">
        <v>45</v>
      </c>
      <c r="C72" s="14" t="s">
        <v>46</v>
      </c>
      <c r="D72" s="13"/>
      <c r="E72" s="13"/>
      <c r="F72" s="13"/>
      <c r="G72" s="13"/>
      <c r="H72" s="13"/>
      <c r="I72" s="13"/>
      <c r="J72" s="13"/>
      <c r="K72" s="13"/>
      <c r="L72" s="13"/>
      <c r="M72" s="13"/>
      <c r="N72" s="13"/>
      <c r="O72" s="13"/>
      <c r="P72" s="13"/>
      <c r="Q72" s="13"/>
      <c r="R72" s="13"/>
      <c r="S72" s="13"/>
      <c r="T72" s="13"/>
      <c r="U72" s="13"/>
      <c r="V72" s="13"/>
      <c r="W72" s="13"/>
      <c r="X72" s="13"/>
      <c r="Y72" s="13"/>
      <c r="Z72" s="13"/>
    </row>
    <row r="73">
      <c r="A73" s="12" t="str">
        <f t="shared" si="1"/>
        <v>Team: Tomato Town Droppers  -  Project: Tomato Harvester Self-Cleaning Kit</v>
      </c>
      <c r="B73" s="14" t="s">
        <v>51</v>
      </c>
      <c r="C73" s="14" t="s">
        <v>52</v>
      </c>
      <c r="D73" s="13"/>
      <c r="E73" s="13"/>
      <c r="F73" s="13"/>
      <c r="G73" s="13"/>
      <c r="H73" s="13"/>
      <c r="I73" s="13"/>
      <c r="J73" s="13"/>
      <c r="K73" s="13"/>
      <c r="L73" s="13"/>
      <c r="M73" s="13"/>
      <c r="N73" s="13"/>
      <c r="O73" s="13"/>
      <c r="P73" s="13"/>
      <c r="Q73" s="13"/>
      <c r="R73" s="13"/>
      <c r="S73" s="13"/>
      <c r="T73" s="13"/>
      <c r="U73" s="13"/>
      <c r="V73" s="13"/>
      <c r="W73" s="13"/>
      <c r="X73" s="13"/>
      <c r="Y73" s="13"/>
      <c r="Z73" s="13"/>
    </row>
    <row r="74">
      <c r="A74" s="12" t="str">
        <f t="shared" si="1"/>
        <v>Team: Pomodoro Salato  -  Project: Controlling Sodium Levels in Topping Juice</v>
      </c>
      <c r="B74" s="14" t="s">
        <v>57</v>
      </c>
      <c r="C74" s="14" t="s">
        <v>58</v>
      </c>
      <c r="D74" s="13"/>
      <c r="E74" s="13"/>
      <c r="F74" s="13"/>
      <c r="G74" s="13"/>
      <c r="H74" s="13"/>
      <c r="I74" s="13"/>
      <c r="J74" s="13"/>
      <c r="K74" s="13"/>
      <c r="L74" s="13"/>
      <c r="M74" s="13"/>
      <c r="N74" s="13"/>
      <c r="O74" s="13"/>
      <c r="P74" s="13"/>
      <c r="Q74" s="13"/>
      <c r="R74" s="13"/>
      <c r="S74" s="13"/>
      <c r="T74" s="13"/>
      <c r="U74" s="13"/>
      <c r="V74" s="13"/>
      <c r="W74" s="13"/>
      <c r="X74" s="13"/>
      <c r="Y74" s="13"/>
      <c r="Z74" s="13"/>
    </row>
    <row r="75">
      <c r="A75" s="12" t="str">
        <f t="shared" si="1"/>
        <v>Team: Team Roast  -  Project: Small Scale Vegetable Roasting</v>
      </c>
      <c r="B75" s="14" t="s">
        <v>63</v>
      </c>
      <c r="C75" s="14" t="s">
        <v>64</v>
      </c>
      <c r="D75" s="13"/>
      <c r="E75" s="13"/>
      <c r="F75" s="13"/>
      <c r="G75" s="13"/>
      <c r="H75" s="13"/>
      <c r="I75" s="13"/>
      <c r="J75" s="13"/>
      <c r="K75" s="13"/>
      <c r="L75" s="13"/>
      <c r="M75" s="13"/>
      <c r="N75" s="13"/>
      <c r="O75" s="13"/>
      <c r="P75" s="13"/>
      <c r="Q75" s="13"/>
      <c r="R75" s="13"/>
      <c r="S75" s="13"/>
      <c r="T75" s="13"/>
      <c r="U75" s="13"/>
      <c r="V75" s="13"/>
      <c r="W75" s="13"/>
      <c r="X75" s="13"/>
      <c r="Y75" s="13"/>
      <c r="Z75" s="13"/>
    </row>
    <row r="76">
      <c r="A76" s="12" t="str">
        <f t="shared" si="1"/>
        <v>Team: Getting a Grip  -  Project: Agriculture Grasping</v>
      </c>
      <c r="B76" s="14" t="s">
        <v>70</v>
      </c>
      <c r="C76" s="14" t="s">
        <v>71</v>
      </c>
      <c r="D76" s="13"/>
      <c r="E76" s="13"/>
      <c r="F76" s="13"/>
      <c r="G76" s="13"/>
      <c r="H76" s="13"/>
      <c r="I76" s="13"/>
      <c r="J76" s="13"/>
      <c r="K76" s="13"/>
      <c r="L76" s="13"/>
      <c r="M76" s="13"/>
      <c r="N76" s="13"/>
      <c r="O76" s="13"/>
      <c r="P76" s="13"/>
      <c r="Q76" s="13"/>
      <c r="R76" s="13"/>
      <c r="S76" s="13"/>
      <c r="T76" s="13"/>
      <c r="U76" s="13"/>
      <c r="V76" s="13"/>
      <c r="W76" s="13"/>
      <c r="X76" s="13"/>
      <c r="Y76" s="13"/>
      <c r="Z76" s="13"/>
    </row>
    <row r="77">
      <c r="A77" s="12" t="str">
        <f t="shared" si="1"/>
        <v>Team: Simple Made Difficult  -  Project: Vehicle Door Open/Closing Test Device</v>
      </c>
      <c r="B77" s="14" t="s">
        <v>77</v>
      </c>
      <c r="C77" s="14" t="s">
        <v>78</v>
      </c>
      <c r="D77" s="13"/>
      <c r="E77" s="13"/>
      <c r="F77" s="13"/>
      <c r="G77" s="13"/>
      <c r="H77" s="13"/>
      <c r="I77" s="13"/>
      <c r="J77" s="13"/>
      <c r="K77" s="13"/>
      <c r="L77" s="13"/>
      <c r="M77" s="13"/>
      <c r="N77" s="13"/>
      <c r="O77" s="13"/>
      <c r="P77" s="13"/>
      <c r="Q77" s="13"/>
      <c r="R77" s="13"/>
      <c r="S77" s="13"/>
      <c r="T77" s="13"/>
      <c r="U77" s="13"/>
      <c r="V77" s="13"/>
      <c r="W77" s="13"/>
      <c r="X77" s="13"/>
      <c r="Y77" s="13"/>
      <c r="Z77" s="13"/>
    </row>
    <row r="78">
      <c r="A78" s="12" t="str">
        <f t="shared" si="1"/>
        <v>Team: Squirrel'd Away  -  Project: Down the Squirrel Hole</v>
      </c>
      <c r="B78" s="14" t="s">
        <v>85</v>
      </c>
      <c r="C78" s="14" t="s">
        <v>86</v>
      </c>
      <c r="D78" s="13"/>
      <c r="E78" s="13"/>
      <c r="F78" s="13"/>
      <c r="G78" s="13"/>
      <c r="H78" s="13"/>
      <c r="I78" s="13"/>
      <c r="J78" s="13"/>
      <c r="K78" s="13"/>
      <c r="L78" s="13"/>
      <c r="M78" s="13"/>
      <c r="N78" s="13"/>
      <c r="O78" s="13"/>
      <c r="P78" s="13"/>
      <c r="Q78" s="13"/>
      <c r="R78" s="13"/>
      <c r="S78" s="13"/>
      <c r="T78" s="13"/>
      <c r="U78" s="13"/>
      <c r="V78" s="13"/>
      <c r="W78" s="13"/>
      <c r="X78" s="13"/>
      <c r="Y78" s="13"/>
      <c r="Z78" s="13"/>
    </row>
    <row r="79">
      <c r="A79" s="12" t="str">
        <f t="shared" si="1"/>
        <v>Team: Patient Assistant Logger  -  Project: Patient logger reporting</v>
      </c>
      <c r="B79" s="14" t="s">
        <v>91</v>
      </c>
      <c r="C79" s="14" t="s">
        <v>92</v>
      </c>
      <c r="D79" s="13"/>
      <c r="E79" s="13"/>
      <c r="F79" s="13"/>
      <c r="G79" s="13"/>
      <c r="H79" s="13"/>
      <c r="I79" s="13"/>
      <c r="J79" s="13"/>
      <c r="K79" s="13"/>
      <c r="L79" s="13"/>
      <c r="M79" s="13"/>
      <c r="N79" s="13"/>
      <c r="O79" s="13"/>
      <c r="P79" s="13"/>
      <c r="Q79" s="13"/>
      <c r="R79" s="13"/>
      <c r="S79" s="13"/>
      <c r="T79" s="13"/>
      <c r="U79" s="13"/>
      <c r="V79" s="13"/>
      <c r="W79" s="13"/>
      <c r="X79" s="13"/>
      <c r="Y79" s="13"/>
      <c r="Z79" s="13"/>
    </row>
    <row r="80">
      <c r="A80" s="12" t="str">
        <f t="shared" si="1"/>
        <v>Team: Cow Bound  -  Project: Virtual Livestock Fence</v>
      </c>
      <c r="B80" s="14" t="s">
        <v>99</v>
      </c>
      <c r="C80" s="14" t="s">
        <v>100</v>
      </c>
      <c r="D80" s="13"/>
      <c r="E80" s="13"/>
      <c r="F80" s="13"/>
      <c r="G80" s="13"/>
      <c r="H80" s="13"/>
      <c r="I80" s="13"/>
      <c r="J80" s="13"/>
      <c r="K80" s="13"/>
      <c r="L80" s="13"/>
      <c r="M80" s="13"/>
      <c r="N80" s="13"/>
      <c r="O80" s="13"/>
      <c r="P80" s="13"/>
      <c r="Q80" s="13"/>
      <c r="R80" s="13"/>
      <c r="S80" s="13"/>
      <c r="T80" s="13"/>
      <c r="U80" s="13"/>
      <c r="V80" s="13"/>
      <c r="W80" s="13"/>
      <c r="X80" s="13"/>
      <c r="Y80" s="13"/>
      <c r="Z80" s="13"/>
    </row>
    <row r="81">
      <c r="A81" s="12" t="str">
        <f t="shared" si="1"/>
        <v>Team: EcoHub Design  -  Project: Sustainable Transit Facility Design</v>
      </c>
      <c r="B81" s="14" t="s">
        <v>106</v>
      </c>
      <c r="C81" s="14" t="s">
        <v>107</v>
      </c>
      <c r="D81" s="13"/>
      <c r="E81" s="13"/>
      <c r="F81" s="13"/>
      <c r="G81" s="13"/>
      <c r="H81" s="13"/>
      <c r="I81" s="13"/>
      <c r="J81" s="13"/>
      <c r="K81" s="13"/>
      <c r="L81" s="13"/>
      <c r="M81" s="13"/>
      <c r="N81" s="13"/>
      <c r="O81" s="13"/>
      <c r="P81" s="13"/>
      <c r="Q81" s="13"/>
      <c r="R81" s="13"/>
      <c r="S81" s="13"/>
      <c r="T81" s="13"/>
      <c r="U81" s="13"/>
      <c r="V81" s="13"/>
      <c r="W81" s="13"/>
      <c r="X81" s="13"/>
      <c r="Y81" s="13"/>
      <c r="Z81" s="13"/>
    </row>
    <row r="82">
      <c r="A82" s="12" t="str">
        <f t="shared" si="1"/>
        <v>Team: Burning Bad  -  Project: Biochar Oxidation</v>
      </c>
      <c r="B82" s="14" t="s">
        <v>113</v>
      </c>
      <c r="C82" s="14" t="s">
        <v>114</v>
      </c>
      <c r="D82" s="13"/>
      <c r="E82" s="13"/>
      <c r="F82" s="13"/>
      <c r="G82" s="13"/>
      <c r="H82" s="13"/>
      <c r="I82" s="13"/>
      <c r="J82" s="13"/>
      <c r="K82" s="13"/>
      <c r="L82" s="13"/>
      <c r="M82" s="13"/>
      <c r="N82" s="13"/>
      <c r="O82" s="13"/>
      <c r="P82" s="13"/>
      <c r="Q82" s="13"/>
      <c r="R82" s="13"/>
      <c r="S82" s="13"/>
      <c r="T82" s="13"/>
      <c r="U82" s="13"/>
      <c r="V82" s="13"/>
      <c r="W82" s="13"/>
      <c r="X82" s="13"/>
      <c r="Y82" s="13"/>
      <c r="Z82" s="13"/>
    </row>
    <row r="83">
      <c r="A83" s="12" t="str">
        <f t="shared" si="1"/>
        <v>Team: U-Power  -  Project: Renewable Smart Power Brick Phase 2</v>
      </c>
      <c r="B83" s="14" t="s">
        <v>121</v>
      </c>
      <c r="C83" s="14" t="s">
        <v>122</v>
      </c>
      <c r="D83" s="13"/>
      <c r="E83" s="13"/>
      <c r="F83" s="13"/>
      <c r="G83" s="13"/>
      <c r="H83" s="13"/>
      <c r="I83" s="13"/>
      <c r="J83" s="13"/>
      <c r="K83" s="13"/>
      <c r="L83" s="13"/>
      <c r="M83" s="13"/>
      <c r="N83" s="13"/>
      <c r="O83" s="13"/>
      <c r="P83" s="13"/>
      <c r="Q83" s="13"/>
      <c r="R83" s="13"/>
      <c r="S83" s="13"/>
      <c r="T83" s="13"/>
      <c r="U83" s="13"/>
      <c r="V83" s="13"/>
      <c r="W83" s="13"/>
      <c r="X83" s="13"/>
      <c r="Y83" s="13"/>
      <c r="Z83" s="13"/>
    </row>
    <row r="84">
      <c r="A84" s="12" t="str">
        <f t="shared" si="1"/>
        <v>Team: A-Team  -  Project: Tubular Drag Conveyor Cleaning System</v>
      </c>
      <c r="B84" s="14" t="s">
        <v>129</v>
      </c>
      <c r="C84" s="14" t="s">
        <v>130</v>
      </c>
      <c r="D84" s="13"/>
      <c r="E84" s="13"/>
      <c r="F84" s="13"/>
      <c r="G84" s="13"/>
      <c r="H84" s="13"/>
      <c r="I84" s="13"/>
      <c r="J84" s="13"/>
      <c r="K84" s="13"/>
      <c r="L84" s="13"/>
      <c r="M84" s="13"/>
      <c r="N84" s="13"/>
      <c r="O84" s="13"/>
      <c r="P84" s="13"/>
      <c r="Q84" s="13"/>
      <c r="R84" s="13"/>
      <c r="S84" s="13"/>
      <c r="T84" s="13"/>
      <c r="U84" s="13"/>
      <c r="V84" s="13"/>
      <c r="W84" s="13"/>
      <c r="X84" s="13"/>
      <c r="Y84" s="13"/>
      <c r="Z84" s="13"/>
    </row>
    <row r="85">
      <c r="A85" s="12" t="str">
        <f t="shared" si="1"/>
        <v>Team: Algae Busters  -  Project: Clean Dairy Water Trough Design</v>
      </c>
      <c r="B85" s="14" t="s">
        <v>136</v>
      </c>
      <c r="C85" s="14" t="s">
        <v>137</v>
      </c>
      <c r="D85" s="13"/>
      <c r="E85" s="13"/>
      <c r="F85" s="13"/>
      <c r="G85" s="13"/>
      <c r="H85" s="13"/>
      <c r="I85" s="13"/>
      <c r="J85" s="13"/>
      <c r="K85" s="13"/>
      <c r="L85" s="13"/>
      <c r="M85" s="13"/>
      <c r="N85" s="13"/>
      <c r="O85" s="13"/>
      <c r="P85" s="13"/>
      <c r="Q85" s="13"/>
      <c r="R85" s="13"/>
      <c r="S85" s="13"/>
      <c r="T85" s="13"/>
      <c r="U85" s="13"/>
      <c r="V85" s="13"/>
      <c r="W85" s="13"/>
      <c r="X85" s="13"/>
      <c r="Y85" s="13"/>
      <c r="Z85" s="13"/>
    </row>
    <row r="86">
      <c r="A86" s="12" t="str">
        <f t="shared" si="1"/>
        <v>Team: Dust Exhausters  -  Project: Dust Control Utilizing Fluid Dynamics</v>
      </c>
      <c r="B86" s="14" t="s">
        <v>143</v>
      </c>
      <c r="C86" s="14" t="s">
        <v>144</v>
      </c>
      <c r="D86" s="13"/>
      <c r="E86" s="13"/>
      <c r="F86" s="13"/>
      <c r="G86" s="13"/>
      <c r="H86" s="13"/>
      <c r="I86" s="13"/>
      <c r="J86" s="13"/>
      <c r="K86" s="13"/>
      <c r="L86" s="13"/>
      <c r="M86" s="13"/>
      <c r="N86" s="13"/>
      <c r="O86" s="13"/>
      <c r="P86" s="13"/>
      <c r="Q86" s="13"/>
      <c r="R86" s="13"/>
      <c r="S86" s="13"/>
      <c r="T86" s="13"/>
      <c r="U86" s="13"/>
      <c r="V86" s="13"/>
      <c r="W86" s="13"/>
      <c r="X86" s="13"/>
      <c r="Y86" s="13"/>
      <c r="Z86" s="13"/>
    </row>
    <row r="87">
      <c r="A87" s="12" t="str">
        <f t="shared" si="1"/>
        <v>Team: Lightweight  -  Project: Ballast Lift Assist</v>
      </c>
      <c r="B87" s="14" t="s">
        <v>149</v>
      </c>
      <c r="C87" s="14" t="s">
        <v>150</v>
      </c>
      <c r="D87" s="13"/>
      <c r="E87" s="13"/>
      <c r="F87" s="13"/>
      <c r="G87" s="13"/>
      <c r="H87" s="13"/>
      <c r="I87" s="13"/>
      <c r="J87" s="13"/>
      <c r="K87" s="13"/>
      <c r="L87" s="13"/>
      <c r="M87" s="13"/>
      <c r="N87" s="13"/>
      <c r="O87" s="13"/>
      <c r="P87" s="13"/>
      <c r="Q87" s="13"/>
      <c r="R87" s="13"/>
      <c r="S87" s="13"/>
      <c r="T87" s="13"/>
      <c r="U87" s="13"/>
      <c r="V87" s="13"/>
      <c r="W87" s="13"/>
      <c r="X87" s="13"/>
      <c r="Y87" s="13"/>
      <c r="Z87" s="13"/>
    </row>
    <row r="88">
      <c r="A88" s="12" t="str">
        <f t="shared" si="1"/>
        <v>Team: Who Caught Roger Rabbit  -  Project: Down the Squirrel Hole</v>
      </c>
      <c r="B88" s="14" t="s">
        <v>155</v>
      </c>
      <c r="C88" s="14" t="s">
        <v>86</v>
      </c>
      <c r="D88" s="13"/>
      <c r="E88" s="13"/>
      <c r="F88" s="13"/>
      <c r="G88" s="13"/>
      <c r="H88" s="13"/>
      <c r="I88" s="13"/>
      <c r="J88" s="13"/>
      <c r="K88" s="13"/>
      <c r="L88" s="13"/>
      <c r="M88" s="13"/>
      <c r="N88" s="13"/>
      <c r="O88" s="13"/>
      <c r="P88" s="13"/>
      <c r="Q88" s="13"/>
      <c r="R88" s="13"/>
      <c r="S88" s="13"/>
      <c r="T88" s="13"/>
      <c r="U88" s="13"/>
      <c r="V88" s="13"/>
      <c r="W88" s="13"/>
      <c r="X88" s="13"/>
      <c r="Y88" s="13"/>
      <c r="Z88" s="13"/>
    </row>
    <row r="89">
      <c r="A89" s="12" t="str">
        <f t="shared" si="1"/>
        <v>Team: PLR  -  Project: Patient logger reporting</v>
      </c>
      <c r="B89" s="14" t="s">
        <v>160</v>
      </c>
      <c r="C89" s="14" t="s">
        <v>92</v>
      </c>
      <c r="D89" s="13"/>
      <c r="E89" s="13"/>
      <c r="F89" s="13"/>
      <c r="G89" s="13"/>
      <c r="H89" s="13"/>
      <c r="I89" s="13"/>
      <c r="J89" s="13"/>
      <c r="K89" s="13"/>
      <c r="L89" s="13"/>
      <c r="M89" s="13"/>
      <c r="N89" s="13"/>
      <c r="O89" s="13"/>
      <c r="P89" s="13"/>
      <c r="Q89" s="13"/>
      <c r="R89" s="13"/>
      <c r="S89" s="13"/>
      <c r="T89" s="13"/>
      <c r="U89" s="13"/>
      <c r="V89" s="13"/>
      <c r="W89" s="13"/>
      <c r="X89" s="13"/>
      <c r="Y89" s="13"/>
      <c r="Z89" s="13"/>
    </row>
    <row r="90">
      <c r="A90" s="12" t="str">
        <f t="shared" si="1"/>
        <v>Team: Virtual Barriers  -  Project: Virtual Livestock Fence</v>
      </c>
      <c r="B90" s="14" t="s">
        <v>165</v>
      </c>
      <c r="C90" s="14" t="s">
        <v>100</v>
      </c>
      <c r="D90" s="13"/>
      <c r="E90" s="13"/>
      <c r="F90" s="13"/>
      <c r="G90" s="13"/>
      <c r="H90" s="13"/>
      <c r="I90" s="13"/>
      <c r="J90" s="13"/>
      <c r="K90" s="13"/>
      <c r="L90" s="13"/>
      <c r="M90" s="13"/>
      <c r="N90" s="13"/>
      <c r="O90" s="13"/>
      <c r="P90" s="13"/>
      <c r="Q90" s="13"/>
      <c r="R90" s="13"/>
      <c r="S90" s="13"/>
      <c r="T90" s="13"/>
      <c r="U90" s="13"/>
      <c r="V90" s="13"/>
      <c r="W90" s="13"/>
      <c r="X90" s="13"/>
      <c r="Y90" s="13"/>
      <c r="Z90" s="13"/>
    </row>
    <row r="91">
      <c r="A91" s="12" t="str">
        <f t="shared" si="1"/>
        <v>Team: Next Step Bobcats  -  Project: Sustainable Transit Facility Design</v>
      </c>
      <c r="B91" s="14" t="s">
        <v>170</v>
      </c>
      <c r="C91" s="14" t="s">
        <v>107</v>
      </c>
      <c r="D91" s="13"/>
      <c r="E91" s="13"/>
      <c r="F91" s="13"/>
      <c r="G91" s="13"/>
      <c r="H91" s="13"/>
      <c r="I91" s="13"/>
      <c r="J91" s="13"/>
      <c r="K91" s="13"/>
      <c r="L91" s="13"/>
      <c r="M91" s="13"/>
      <c r="N91" s="13"/>
      <c r="O91" s="13"/>
      <c r="P91" s="13"/>
      <c r="Q91" s="13"/>
      <c r="R91" s="13"/>
      <c r="S91" s="13"/>
      <c r="T91" s="13"/>
      <c r="U91" s="13"/>
      <c r="V91" s="13"/>
      <c r="W91" s="13"/>
      <c r="X91" s="13"/>
      <c r="Y91" s="13"/>
      <c r="Z91" s="13"/>
    </row>
    <row r="92">
      <c r="A92" s="12" t="str">
        <f t="shared" si="1"/>
        <v>Team: Biochar  -  Project: Biochar Oxidation</v>
      </c>
      <c r="B92" s="14" t="s">
        <v>175</v>
      </c>
      <c r="C92" s="14" t="s">
        <v>114</v>
      </c>
      <c r="D92" s="13"/>
      <c r="E92" s="13"/>
      <c r="F92" s="13"/>
      <c r="G92" s="13"/>
      <c r="H92" s="13"/>
      <c r="I92" s="13"/>
      <c r="J92" s="13"/>
      <c r="K92" s="13"/>
      <c r="L92" s="13"/>
      <c r="M92" s="13"/>
      <c r="N92" s="13"/>
      <c r="O92" s="13"/>
      <c r="P92" s="13"/>
      <c r="Q92" s="13"/>
      <c r="R92" s="13"/>
      <c r="S92" s="13"/>
      <c r="T92" s="13"/>
      <c r="U92" s="13"/>
      <c r="V92" s="13"/>
      <c r="W92" s="13"/>
      <c r="X92" s="13"/>
      <c r="Y92" s="13"/>
      <c r="Z92" s="13"/>
    </row>
    <row r="93">
      <c r="A93" s="12" t="str">
        <f t="shared" si="1"/>
        <v>Team: Rough Riders  -  Project: Adjustable Mountain Bike Seat</v>
      </c>
      <c r="B93" s="14" t="s">
        <v>180</v>
      </c>
      <c r="C93" s="14" t="s">
        <v>181</v>
      </c>
      <c r="D93" s="13"/>
      <c r="E93" s="13"/>
      <c r="F93" s="13"/>
      <c r="G93" s="13"/>
      <c r="H93" s="13"/>
      <c r="I93" s="13"/>
      <c r="J93" s="13"/>
      <c r="K93" s="13"/>
      <c r="L93" s="13"/>
      <c r="M93" s="13"/>
      <c r="N93" s="13"/>
      <c r="O93" s="13"/>
      <c r="P93" s="13"/>
      <c r="Q93" s="13"/>
      <c r="R93" s="13"/>
      <c r="S93" s="13"/>
      <c r="T93" s="13"/>
      <c r="U93" s="13"/>
      <c r="V93" s="13"/>
      <c r="W93" s="13"/>
      <c r="X93" s="13"/>
      <c r="Y93" s="13"/>
      <c r="Z93" s="13"/>
    </row>
    <row r="94">
      <c r="A94" s="12" t="str">
        <f t="shared" si="1"/>
        <v>Team: Keg lifters  -  Project: Cornelius Keg Storage Ergonomic Improvement</v>
      </c>
      <c r="B94" s="14" t="s">
        <v>188</v>
      </c>
      <c r="C94" s="14" t="s">
        <v>189</v>
      </c>
      <c r="D94" s="13"/>
      <c r="E94" s="13"/>
      <c r="F94" s="13"/>
      <c r="G94" s="13"/>
      <c r="H94" s="13"/>
      <c r="I94" s="13"/>
      <c r="J94" s="13"/>
      <c r="K94" s="13"/>
      <c r="L94" s="13"/>
      <c r="M94" s="13"/>
      <c r="N94" s="13"/>
      <c r="O94" s="13"/>
      <c r="P94" s="13"/>
      <c r="Q94" s="13"/>
      <c r="R94" s="13"/>
      <c r="S94" s="13"/>
      <c r="T94" s="13"/>
      <c r="U94" s="13"/>
      <c r="V94" s="13"/>
      <c r="W94" s="13"/>
      <c r="X94" s="13"/>
      <c r="Y94" s="13"/>
      <c r="Z94" s="13"/>
    </row>
    <row r="95">
      <c r="A95" s="12" t="str">
        <f t="shared" si="1"/>
        <v>Team: The Flow Co.  -  Project: Mesh Network Leak Detection in Drip Lines/Emission Devices</v>
      </c>
      <c r="B95" s="14" t="s">
        <v>195</v>
      </c>
      <c r="C95" s="14" t="s">
        <v>196</v>
      </c>
      <c r="D95" s="13"/>
      <c r="E95" s="13"/>
      <c r="F95" s="13"/>
      <c r="G95" s="13"/>
      <c r="H95" s="13"/>
      <c r="I95" s="13"/>
      <c r="J95" s="13"/>
      <c r="K95" s="13"/>
      <c r="L95" s="13"/>
      <c r="M95" s="13"/>
      <c r="N95" s="13"/>
      <c r="O95" s="13"/>
      <c r="P95" s="13"/>
      <c r="Q95" s="13"/>
      <c r="R95" s="13"/>
      <c r="S95" s="13"/>
      <c r="T95" s="13"/>
      <c r="U95" s="13"/>
      <c r="V95" s="13"/>
      <c r="W95" s="13"/>
      <c r="X95" s="13"/>
      <c r="Y95" s="13"/>
      <c r="Z95" s="13"/>
    </row>
    <row r="96">
      <c r="A96" s="12" t="str">
        <f t="shared" si="1"/>
        <v>Team: Pellet Containment  -  Project: Pallet containment and handling</v>
      </c>
      <c r="B96" s="14" t="s">
        <v>202</v>
      </c>
      <c r="C96" s="14" t="s">
        <v>471</v>
      </c>
      <c r="D96" s="13"/>
      <c r="E96" s="13"/>
      <c r="F96" s="13"/>
      <c r="G96" s="13"/>
      <c r="H96" s="13"/>
      <c r="I96" s="13"/>
      <c r="J96" s="13"/>
      <c r="K96" s="13"/>
      <c r="L96" s="13"/>
      <c r="M96" s="13"/>
      <c r="N96" s="13"/>
      <c r="O96" s="13"/>
      <c r="P96" s="13"/>
      <c r="Q96" s="13"/>
      <c r="R96" s="13"/>
      <c r="S96" s="13"/>
      <c r="T96" s="13"/>
      <c r="U96" s="13"/>
      <c r="V96" s="13"/>
      <c r="W96" s="13"/>
      <c r="X96" s="13"/>
      <c r="Y96" s="13"/>
      <c r="Z96" s="13"/>
    </row>
    <row r="97">
      <c r="A97" s="12" t="str">
        <f t="shared" si="1"/>
        <v>Team: Accel Solutions  -  Project: Test Bench for Sensors &amp; Harnesses</v>
      </c>
      <c r="B97" s="14" t="s">
        <v>209</v>
      </c>
      <c r="C97" s="14" t="s">
        <v>210</v>
      </c>
      <c r="D97" s="13"/>
      <c r="E97" s="13"/>
      <c r="F97" s="13"/>
      <c r="G97" s="13"/>
      <c r="H97" s="13"/>
      <c r="I97" s="13"/>
      <c r="J97" s="13"/>
      <c r="K97" s="13"/>
      <c r="L97" s="13"/>
      <c r="M97" s="13"/>
      <c r="N97" s="13"/>
      <c r="O97" s="13"/>
      <c r="P97" s="13"/>
      <c r="Q97" s="13"/>
      <c r="R97" s="13"/>
      <c r="S97" s="13"/>
      <c r="T97" s="13"/>
      <c r="U97" s="13"/>
      <c r="V97" s="13"/>
      <c r="W97" s="13"/>
      <c r="X97" s="13"/>
      <c r="Y97" s="13"/>
      <c r="Z97" s="13"/>
    </row>
    <row r="98">
      <c r="A98" s="12" t="str">
        <f t="shared" si="1"/>
        <v>Team: Hay There  -  Project: Feeding the Animals</v>
      </c>
      <c r="B98" s="14" t="s">
        <v>215</v>
      </c>
      <c r="C98" s="14" t="s">
        <v>216</v>
      </c>
      <c r="D98" s="13"/>
      <c r="E98" s="13"/>
      <c r="F98" s="13"/>
      <c r="G98" s="13"/>
      <c r="H98" s="13"/>
      <c r="I98" s="13"/>
      <c r="J98" s="13"/>
      <c r="K98" s="13"/>
      <c r="L98" s="13"/>
      <c r="M98" s="13"/>
      <c r="N98" s="13"/>
      <c r="O98" s="13"/>
      <c r="P98" s="13"/>
      <c r="Q98" s="13"/>
      <c r="R98" s="13"/>
      <c r="S98" s="13"/>
      <c r="T98" s="13"/>
      <c r="U98" s="13"/>
      <c r="V98" s="13"/>
      <c r="W98" s="13"/>
      <c r="X98" s="13"/>
      <c r="Y98" s="13"/>
      <c r="Z98" s="13"/>
    </row>
    <row r="99">
      <c r="A99" s="12" t="str">
        <f t="shared" si="1"/>
        <v>Team: #1 Team  -  Project: Cardboard Box to Cloud</v>
      </c>
      <c r="B99" s="14" t="s">
        <v>223</v>
      </c>
      <c r="C99" s="14" t="s">
        <v>224</v>
      </c>
      <c r="D99" s="13"/>
      <c r="E99" s="13"/>
      <c r="F99" s="13"/>
      <c r="G99" s="13"/>
      <c r="H99" s="13"/>
      <c r="I99" s="13"/>
      <c r="J99" s="13"/>
      <c r="K99" s="13"/>
      <c r="L99" s="13"/>
      <c r="M99" s="13"/>
      <c r="N99" s="13"/>
      <c r="O99" s="13"/>
      <c r="P99" s="13"/>
      <c r="Q99" s="13"/>
      <c r="R99" s="13"/>
      <c r="S99" s="13"/>
      <c r="T99" s="13"/>
      <c r="U99" s="13"/>
      <c r="V99" s="13"/>
      <c r="W99" s="13"/>
      <c r="X99" s="13"/>
      <c r="Y99" s="13"/>
      <c r="Z99" s="13"/>
    </row>
    <row r="100">
      <c r="A100" s="12" t="str">
        <f t="shared" si="1"/>
        <v>Team: B2C  -  Project: Cardboard Box to Cloud</v>
      </c>
      <c r="B100" s="14" t="s">
        <v>231</v>
      </c>
      <c r="C100" s="14" t="s">
        <v>224</v>
      </c>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2" t="str">
        <f t="shared" si="1"/>
        <v>Team: BOXerBois  -  Project: Cardboard Box to Cloud</v>
      </c>
      <c r="B101" s="14" t="s">
        <v>236</v>
      </c>
      <c r="C101" s="14" t="s">
        <v>224</v>
      </c>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2" t="str">
        <f t="shared" si="1"/>
        <v>Team: Aggy  -  Project: Pest Control Reporting</v>
      </c>
      <c r="B102" s="14" t="s">
        <v>241</v>
      </c>
      <c r="C102" s="14" t="s">
        <v>242</v>
      </c>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2" t="str">
        <f t="shared" si="1"/>
        <v>Team: Verminators  -  Project: Pest Control Reporting</v>
      </c>
      <c r="B103" s="14" t="s">
        <v>248</v>
      </c>
      <c r="C103" s="14" t="s">
        <v>242</v>
      </c>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2" t="str">
        <f t="shared" si="1"/>
        <v>Team: r/HydroHomies  -  Project: Water Treatment Monitoring</v>
      </c>
      <c r="B104" s="14" t="s">
        <v>253</v>
      </c>
      <c r="C104" s="14" t="s">
        <v>254</v>
      </c>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2" t="str">
        <f t="shared" si="1"/>
        <v>Team: Water Boys  -  Project: Water Treatment Monitoring</v>
      </c>
      <c r="B105" s="14" t="s">
        <v>259</v>
      </c>
      <c r="C105" s="14" t="s">
        <v>254</v>
      </c>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2" t="str">
        <f t="shared" si="1"/>
        <v>Team: RobotWatch  -  Project: Service Reminder Application for Industrial and Mobile Robots</v>
      </c>
      <c r="B106" s="14" t="s">
        <v>264</v>
      </c>
      <c r="C106" s="14" t="s">
        <v>265</v>
      </c>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2" t="str">
        <f t="shared" si="1"/>
        <v>Team: Pit Stop  -  Project: Service Reminder Application for Industrial and Mobile Robots</v>
      </c>
      <c r="B107" s="14" t="s">
        <v>272</v>
      </c>
      <c r="C107" s="14" t="s">
        <v>265</v>
      </c>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2" t="str">
        <f t="shared" si="1"/>
        <v>Team: At Your Service  -  Project: Service Reminder Application for Industrial and Mobile Robots</v>
      </c>
      <c r="B108" s="14" t="s">
        <v>277</v>
      </c>
      <c r="C108" s="14" t="s">
        <v>265</v>
      </c>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2" t="str">
        <f t="shared" si="1"/>
        <v>Team: Agri Tab  -  Project: Customizable Views of Ag-gregated Data</v>
      </c>
      <c r="B109" s="14" t="s">
        <v>282</v>
      </c>
      <c r="C109" s="14" t="s">
        <v>283</v>
      </c>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2" t="str">
        <f t="shared" si="1"/>
        <v>Team: BLART (BListeringly fAst Rendered Tables)  -  Project: Customizable Views of Ag-gregated Data</v>
      </c>
      <c r="B110" s="14" t="s">
        <v>289</v>
      </c>
      <c r="C110" s="14" t="s">
        <v>283</v>
      </c>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2" t="str">
        <f t="shared" si="1"/>
        <v>Team: DataFarm  -  Project: Customizable Views of Ag-gregated Data</v>
      </c>
      <c r="B111" s="14" t="s">
        <v>294</v>
      </c>
      <c r="C111" s="14" t="s">
        <v>283</v>
      </c>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2" t="str">
        <f t="shared" si="1"/>
        <v>Team: Volunteer Hero  -  Project: UWMC's Volunteer Here</v>
      </c>
      <c r="B112" s="14" t="s">
        <v>299</v>
      </c>
      <c r="C112" s="14" t="s">
        <v>300</v>
      </c>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2" t="str">
        <f t="shared" si="1"/>
        <v>Team: Discover Help  -  Project: UWMC's Volunteer Here</v>
      </c>
      <c r="B113" s="14" t="s">
        <v>307</v>
      </c>
      <c r="C113" s="14" t="s">
        <v>300</v>
      </c>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2" t="str">
        <f t="shared" si="1"/>
        <v>Team: I2V  -  Project: UWMC's Volunteer Here</v>
      </c>
      <c r="B114" s="14" t="s">
        <v>312</v>
      </c>
      <c r="C114" s="14" t="s">
        <v>300</v>
      </c>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2" t="str">
        <f t="shared" si="1"/>
        <v>Team: Bart Central Valley Express  -  Project: Virtual Substation</v>
      </c>
      <c r="B115" s="14" t="s">
        <v>317</v>
      </c>
      <c r="C115" s="14" t="s">
        <v>318</v>
      </c>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2" t="str">
        <f t="shared" si="1"/>
        <v>Team: Over 9000 Amps  -  Project: Virtual Substation</v>
      </c>
      <c r="B116" s="14" t="s">
        <v>323</v>
      </c>
      <c r="C116" s="14" t="s">
        <v>318</v>
      </c>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2" t="str">
        <f t="shared" si="1"/>
        <v>Team: Battery Guys  -  Project: Automated Battery Monitoring for Life Safety Assets</v>
      </c>
      <c r="B117" s="14" t="s">
        <v>328</v>
      </c>
      <c r="C117" s="14" t="s">
        <v>329</v>
      </c>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2" t="str">
        <f t="shared" si="1"/>
        <v>Team: Batteryzilla  -  Project: Automated Battery Monitoring for Life Safety Assets</v>
      </c>
      <c r="B118" s="14" t="s">
        <v>334</v>
      </c>
      <c r="C118" s="14" t="s">
        <v>329</v>
      </c>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2" t="str">
        <f t="shared" si="1"/>
        <v>Team: Spark De Triomphe  -  Project: Automated Battery Monitoring for Life Safety Assets</v>
      </c>
      <c r="B119" s="14" t="s">
        <v>339</v>
      </c>
      <c r="C119" s="14" t="s">
        <v>329</v>
      </c>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2" t="str">
        <f t="shared" si="1"/>
        <v>Team: Team GGs  -  Project: Patient logger environment</v>
      </c>
      <c r="B120" s="14" t="s">
        <v>344</v>
      </c>
      <c r="C120" s="14" t="s">
        <v>345</v>
      </c>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2" t="str">
        <f t="shared" si="1"/>
        <v>Team: PatientLog  -  Project: Patient logger environment</v>
      </c>
      <c r="B121" s="14" t="s">
        <v>350</v>
      </c>
      <c r="C121" s="14" t="s">
        <v>345</v>
      </c>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2" t="str">
        <f t="shared" si="1"/>
        <v>Team: Glide Away  -  Project: Docker Based On-Premises Modbus/Bacnet Server</v>
      </c>
      <c r="B122" s="14" t="s">
        <v>355</v>
      </c>
      <c r="C122" s="14" t="s">
        <v>356</v>
      </c>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2" t="str">
        <f t="shared" si="1"/>
        <v>Team: Docker Crew  -  Project: Docker Based On-Premises Modbus/Bacnet Server</v>
      </c>
      <c r="B123" s="14" t="s">
        <v>361</v>
      </c>
      <c r="C123" s="14" t="s">
        <v>356</v>
      </c>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2" t="str">
        <f t="shared" si="1"/>
        <v>Team: Sweep Store  -  Project: Secure Realtime DB Import Desktop App</v>
      </c>
      <c r="B124" s="14" t="s">
        <v>366</v>
      </c>
      <c r="C124" s="14" t="s">
        <v>367</v>
      </c>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2" t="str">
        <f t="shared" si="1"/>
        <v>Team: Proton Import  -  Project: Secure Realtime DB Import Desktop App</v>
      </c>
      <c r="B125" s="14" t="s">
        <v>372</v>
      </c>
      <c r="C125" s="14" t="s">
        <v>367</v>
      </c>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2" t="str">
        <f t="shared" si="1"/>
        <v>Team: Italian Grey Wolves  -  Project: Database front-end app</v>
      </c>
      <c r="B126" s="14" t="s">
        <v>377</v>
      </c>
      <c r="C126" s="14" t="s">
        <v>378</v>
      </c>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2" t="str">
        <f t="shared" si="1"/>
        <v>Team: DataStack  -  Project: Database front-end app</v>
      </c>
      <c r="B127" s="14" t="s">
        <v>384</v>
      </c>
      <c r="C127" s="14" t="s">
        <v>378</v>
      </c>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2" t="str">
        <f t="shared" si="1"/>
        <v>Team: Wings  -  Project: Database front-end app</v>
      </c>
      <c r="B128" s="14" t="s">
        <v>389</v>
      </c>
      <c r="C128" s="14" t="s">
        <v>378</v>
      </c>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2" t="str">
        <f t="shared" si="1"/>
        <v>Team: Permafrost  -  Project: Permafrost</v>
      </c>
      <c r="B129" s="14" t="s">
        <v>396</v>
      </c>
      <c r="C129" s="14" t="s">
        <v>396</v>
      </c>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2" t="str">
        <f t="shared" si="1"/>
        <v>Team: Connecting Communities  -  Project: Connecting Communities</v>
      </c>
      <c r="B130" s="14" t="s">
        <v>402</v>
      </c>
      <c r="C130" s="14" t="s">
        <v>402</v>
      </c>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2"/>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2"/>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2"/>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25"/>
    <col customWidth="1" min="3" max="3" width="10.75"/>
    <col customWidth="1" min="4" max="4" width="13.75"/>
    <col customWidth="1" min="5" max="5" width="30.63"/>
    <col customWidth="1" min="6" max="6" width="30.88"/>
    <col customWidth="1" min="7" max="7" width="19.38"/>
    <col customWidth="1" min="8" max="8" width="19.0"/>
    <col customWidth="1" min="9" max="9" width="32.5"/>
    <col customWidth="1" min="10" max="10" width="70.88"/>
  </cols>
  <sheetData>
    <row r="1" ht="18.75" customHeight="1">
      <c r="A1" s="1" t="s">
        <v>0</v>
      </c>
      <c r="B1" s="1" t="s">
        <v>1</v>
      </c>
      <c r="C1" s="1" t="s">
        <v>2</v>
      </c>
      <c r="D1" s="2" t="s">
        <v>3</v>
      </c>
      <c r="E1" s="2" t="s">
        <v>4</v>
      </c>
      <c r="F1" s="2" t="s">
        <v>470</v>
      </c>
      <c r="G1" s="1" t="s">
        <v>6</v>
      </c>
      <c r="H1" s="1" t="s">
        <v>7</v>
      </c>
      <c r="I1" s="3" t="s">
        <v>8</v>
      </c>
      <c r="J1" s="3" t="s">
        <v>9</v>
      </c>
      <c r="K1" s="4" t="s">
        <v>10</v>
      </c>
    </row>
    <row r="2" ht="18.75" customHeight="1">
      <c r="A2" s="16">
        <v>1.0</v>
      </c>
      <c r="B2" s="16" t="s">
        <v>472</v>
      </c>
      <c r="C2" s="16" t="s">
        <v>221</v>
      </c>
      <c r="D2" s="17">
        <v>10.0</v>
      </c>
      <c r="E2" s="17" t="s">
        <v>473</v>
      </c>
      <c r="F2" s="16" t="s">
        <v>474</v>
      </c>
      <c r="G2" s="17" t="s">
        <v>284</v>
      </c>
      <c r="H2" s="17" t="s">
        <v>19</v>
      </c>
      <c r="I2" s="17" t="s">
        <v>475</v>
      </c>
      <c r="J2" s="17" t="s">
        <v>476</v>
      </c>
      <c r="K2" s="18" t="s">
        <v>477</v>
      </c>
    </row>
    <row r="3" ht="18.75" customHeight="1">
      <c r="A3" s="16">
        <v>2.0</v>
      </c>
      <c r="B3" s="16" t="s">
        <v>472</v>
      </c>
      <c r="C3" s="16" t="s">
        <v>221</v>
      </c>
      <c r="D3" s="17">
        <v>9.0</v>
      </c>
      <c r="E3" s="17" t="s">
        <v>478</v>
      </c>
      <c r="F3" s="16" t="s">
        <v>474</v>
      </c>
      <c r="G3" s="17" t="s">
        <v>284</v>
      </c>
      <c r="H3" s="17" t="s">
        <v>19</v>
      </c>
      <c r="I3" s="17" t="s">
        <v>479</v>
      </c>
      <c r="J3" s="17" t="s">
        <v>480</v>
      </c>
      <c r="K3" s="18" t="s">
        <v>477</v>
      </c>
    </row>
    <row r="4" ht="18.75" customHeight="1">
      <c r="A4" s="16">
        <v>3.0</v>
      </c>
      <c r="B4" s="16" t="s">
        <v>472</v>
      </c>
      <c r="C4" s="16" t="s">
        <v>221</v>
      </c>
      <c r="D4" s="17">
        <v>8.0</v>
      </c>
      <c r="E4" s="17" t="s">
        <v>481</v>
      </c>
      <c r="F4" s="16" t="s">
        <v>482</v>
      </c>
      <c r="G4" s="17" t="s">
        <v>27</v>
      </c>
      <c r="H4" s="17" t="s">
        <v>28</v>
      </c>
      <c r="I4" s="17" t="s">
        <v>483</v>
      </c>
      <c r="J4" s="17" t="s">
        <v>484</v>
      </c>
      <c r="K4" s="18" t="s">
        <v>477</v>
      </c>
    </row>
    <row r="5" ht="18.75" customHeight="1">
      <c r="A5" s="16">
        <v>4.0</v>
      </c>
      <c r="B5" s="16" t="s">
        <v>472</v>
      </c>
      <c r="C5" s="16" t="s">
        <v>221</v>
      </c>
      <c r="D5" s="17">
        <v>7.0</v>
      </c>
      <c r="E5" s="17" t="s">
        <v>485</v>
      </c>
      <c r="F5" s="16" t="s">
        <v>482</v>
      </c>
      <c r="G5" s="17" t="s">
        <v>27</v>
      </c>
      <c r="H5" s="17" t="s">
        <v>28</v>
      </c>
      <c r="I5" s="17" t="s">
        <v>486</v>
      </c>
      <c r="J5" s="17" t="s">
        <v>487</v>
      </c>
      <c r="K5" s="18" t="s">
        <v>477</v>
      </c>
    </row>
    <row r="6" ht="18.75" customHeight="1">
      <c r="A6" s="16">
        <v>5.0</v>
      </c>
      <c r="B6" s="16" t="s">
        <v>472</v>
      </c>
      <c r="C6" s="16" t="s">
        <v>221</v>
      </c>
      <c r="D6" s="17">
        <v>6.0</v>
      </c>
      <c r="E6" s="17" t="s">
        <v>488</v>
      </c>
      <c r="F6" s="16" t="s">
        <v>482</v>
      </c>
      <c r="G6" s="17" t="s">
        <v>27</v>
      </c>
      <c r="H6" s="17" t="s">
        <v>28</v>
      </c>
      <c r="I6" s="17" t="s">
        <v>489</v>
      </c>
      <c r="J6" s="17" t="s">
        <v>490</v>
      </c>
      <c r="K6" s="18" t="s">
        <v>477</v>
      </c>
    </row>
    <row r="7" ht="18.75" customHeight="1">
      <c r="A7" s="16">
        <v>6.0</v>
      </c>
      <c r="B7" s="16" t="s">
        <v>472</v>
      </c>
      <c r="C7" s="16" t="s">
        <v>221</v>
      </c>
      <c r="D7" s="17">
        <v>5.0</v>
      </c>
      <c r="E7" s="17" t="s">
        <v>491</v>
      </c>
      <c r="F7" s="16" t="s">
        <v>492</v>
      </c>
      <c r="G7" s="17" t="s">
        <v>493</v>
      </c>
      <c r="H7" s="17" t="s">
        <v>94</v>
      </c>
      <c r="I7" s="17" t="s">
        <v>494</v>
      </c>
      <c r="J7" s="17" t="s">
        <v>495</v>
      </c>
      <c r="K7" s="18" t="s">
        <v>477</v>
      </c>
    </row>
    <row r="8" ht="18.75" customHeight="1">
      <c r="A8" s="16">
        <v>6.0</v>
      </c>
      <c r="B8" s="16" t="s">
        <v>472</v>
      </c>
      <c r="C8" s="16" t="s">
        <v>221</v>
      </c>
      <c r="D8" s="17">
        <v>4.0</v>
      </c>
      <c r="E8" s="17" t="s">
        <v>496</v>
      </c>
      <c r="F8" s="16" t="s">
        <v>492</v>
      </c>
      <c r="G8" s="17" t="s">
        <v>493</v>
      </c>
      <c r="H8" s="17" t="s">
        <v>94</v>
      </c>
      <c r="I8" s="17" t="s">
        <v>497</v>
      </c>
      <c r="J8" s="17" t="s">
        <v>498</v>
      </c>
      <c r="K8" s="18" t="s">
        <v>477</v>
      </c>
    </row>
    <row r="9" ht="18.75" customHeight="1">
      <c r="A9" s="16">
        <v>1.0</v>
      </c>
      <c r="B9" s="16" t="s">
        <v>472</v>
      </c>
      <c r="C9" s="16" t="s">
        <v>221</v>
      </c>
      <c r="D9" s="17">
        <v>3.0</v>
      </c>
      <c r="E9" s="17" t="s">
        <v>499</v>
      </c>
      <c r="F9" s="16" t="s">
        <v>500</v>
      </c>
      <c r="G9" s="17" t="s">
        <v>225</v>
      </c>
      <c r="H9" s="17" t="s">
        <v>226</v>
      </c>
      <c r="I9" s="17" t="s">
        <v>501</v>
      </c>
      <c r="J9" s="17" t="s">
        <v>502</v>
      </c>
      <c r="K9" s="18" t="s">
        <v>477</v>
      </c>
    </row>
    <row r="10" ht="18.75" customHeight="1">
      <c r="A10" s="16">
        <v>2.0</v>
      </c>
      <c r="B10" s="16" t="s">
        <v>472</v>
      </c>
      <c r="C10" s="16" t="s">
        <v>221</v>
      </c>
      <c r="D10" s="17">
        <v>2.0</v>
      </c>
      <c r="E10" s="17" t="s">
        <v>503</v>
      </c>
      <c r="F10" s="16" t="s">
        <v>500</v>
      </c>
      <c r="G10" s="17" t="s">
        <v>225</v>
      </c>
      <c r="H10" s="17" t="s">
        <v>226</v>
      </c>
      <c r="I10" s="17" t="s">
        <v>504</v>
      </c>
      <c r="J10" s="17" t="s">
        <v>505</v>
      </c>
      <c r="K10" s="18" t="s">
        <v>477</v>
      </c>
    </row>
    <row r="11" ht="18.75" customHeight="1">
      <c r="A11" s="16">
        <v>3.0</v>
      </c>
      <c r="B11" s="16" t="s">
        <v>472</v>
      </c>
      <c r="C11" s="16" t="s">
        <v>221</v>
      </c>
      <c r="D11" s="17">
        <v>1.0</v>
      </c>
      <c r="E11" s="17" t="s">
        <v>506</v>
      </c>
      <c r="F11" s="16" t="s">
        <v>500</v>
      </c>
      <c r="G11" s="17" t="s">
        <v>225</v>
      </c>
      <c r="H11" s="17" t="s">
        <v>226</v>
      </c>
      <c r="I11" s="17" t="s">
        <v>507</v>
      </c>
      <c r="J11" s="17" t="s">
        <v>508</v>
      </c>
      <c r="K11" s="18" t="s">
        <v>477</v>
      </c>
    </row>
    <row r="12" ht="18.75" customHeight="1">
      <c r="A12" s="16">
        <v>4.0</v>
      </c>
      <c r="B12" s="16" t="s">
        <v>509</v>
      </c>
      <c r="C12" s="16" t="s">
        <v>14</v>
      </c>
      <c r="D12" s="17">
        <v>24.0</v>
      </c>
      <c r="E12" s="17" t="s">
        <v>510</v>
      </c>
      <c r="F12" s="16" t="s">
        <v>511</v>
      </c>
      <c r="G12" s="17" t="s">
        <v>512</v>
      </c>
      <c r="H12" s="17" t="s">
        <v>19</v>
      </c>
      <c r="I12" s="17" t="s">
        <v>513</v>
      </c>
      <c r="J12" s="17" t="s">
        <v>514</v>
      </c>
      <c r="K12" s="18" t="s">
        <v>477</v>
      </c>
    </row>
    <row r="13" ht="18.75" customHeight="1">
      <c r="A13" s="16">
        <v>5.0</v>
      </c>
      <c r="B13" s="16" t="s">
        <v>509</v>
      </c>
      <c r="C13" s="16" t="s">
        <v>14</v>
      </c>
      <c r="D13" s="17">
        <v>21.0</v>
      </c>
      <c r="E13" s="17" t="s">
        <v>515</v>
      </c>
      <c r="F13" s="16" t="s">
        <v>516</v>
      </c>
      <c r="G13" s="17" t="s">
        <v>204</v>
      </c>
      <c r="H13" s="17" t="s">
        <v>116</v>
      </c>
      <c r="I13" s="17" t="s">
        <v>517</v>
      </c>
      <c r="J13" s="17" t="s">
        <v>518</v>
      </c>
      <c r="K13" s="18" t="s">
        <v>477</v>
      </c>
    </row>
    <row r="14" ht="18.75" customHeight="1">
      <c r="A14" s="16">
        <v>6.0</v>
      </c>
      <c r="B14" s="16" t="s">
        <v>509</v>
      </c>
      <c r="C14" s="16" t="s">
        <v>14</v>
      </c>
      <c r="D14" s="17">
        <v>20.0</v>
      </c>
      <c r="E14" s="17" t="s">
        <v>519</v>
      </c>
      <c r="F14" s="16" t="s">
        <v>516</v>
      </c>
      <c r="G14" s="17" t="s">
        <v>204</v>
      </c>
      <c r="H14" s="17" t="s">
        <v>116</v>
      </c>
      <c r="I14" s="17" t="s">
        <v>520</v>
      </c>
      <c r="J14" s="17" t="s">
        <v>521</v>
      </c>
      <c r="K14" s="18" t="s">
        <v>477</v>
      </c>
    </row>
    <row r="15" ht="18.75" customHeight="1">
      <c r="A15" s="16">
        <v>6.0</v>
      </c>
      <c r="B15" s="16" t="s">
        <v>509</v>
      </c>
      <c r="C15" s="16" t="s">
        <v>14</v>
      </c>
      <c r="D15" s="17">
        <v>18.0</v>
      </c>
      <c r="E15" s="17" t="s">
        <v>522</v>
      </c>
      <c r="F15" s="16" t="s">
        <v>523</v>
      </c>
      <c r="G15" s="17" t="s">
        <v>182</v>
      </c>
      <c r="H15" s="17" t="s">
        <v>94</v>
      </c>
      <c r="I15" s="17" t="s">
        <v>524</v>
      </c>
      <c r="J15" s="17" t="s">
        <v>525</v>
      </c>
      <c r="K15" s="18" t="s">
        <v>477</v>
      </c>
    </row>
    <row r="16" ht="18.75" customHeight="1">
      <c r="A16" s="19"/>
      <c r="B16" s="19"/>
      <c r="C16" s="19"/>
      <c r="D16" s="20"/>
      <c r="E16" s="20"/>
      <c r="F16" s="19"/>
      <c r="G16" s="20"/>
      <c r="H16" s="20"/>
      <c r="I16" s="20"/>
      <c r="J16" s="20"/>
      <c r="K16" s="18"/>
    </row>
    <row r="17" ht="18.75" customHeight="1">
      <c r="A17" s="19"/>
      <c r="B17" s="19"/>
      <c r="C17" s="19"/>
      <c r="D17" s="20"/>
      <c r="E17" s="20"/>
      <c r="F17" s="19"/>
      <c r="G17" s="20"/>
      <c r="H17" s="20"/>
      <c r="I17" s="20"/>
      <c r="J17" s="20"/>
      <c r="K17" s="18"/>
    </row>
    <row r="18" ht="18.75" customHeight="1">
      <c r="A18" s="19"/>
      <c r="B18" s="19"/>
      <c r="C18" s="19"/>
      <c r="D18" s="20"/>
      <c r="E18" s="20"/>
      <c r="F18" s="19"/>
      <c r="G18" s="20"/>
      <c r="H18" s="20"/>
      <c r="I18" s="20"/>
      <c r="J18" s="20"/>
      <c r="K18" s="18"/>
    </row>
    <row r="19" ht="18.75" customHeight="1">
      <c r="A19" s="19"/>
      <c r="B19" s="19"/>
      <c r="C19" s="19"/>
      <c r="D19" s="20"/>
      <c r="E19" s="20"/>
      <c r="F19" s="20"/>
      <c r="G19" s="20"/>
      <c r="H19" s="20"/>
      <c r="I19" s="20"/>
      <c r="J19" s="20"/>
      <c r="K19" s="18"/>
    </row>
    <row r="20" ht="18.75" customHeight="1">
      <c r="A20" s="19"/>
      <c r="B20" s="19"/>
      <c r="C20" s="19"/>
      <c r="D20" s="20"/>
      <c r="E20" s="20"/>
      <c r="F20" s="20"/>
      <c r="G20" s="20"/>
      <c r="H20" s="20"/>
      <c r="I20" s="20"/>
      <c r="J20" s="20"/>
      <c r="K20" s="18"/>
    </row>
    <row r="21" ht="18.75" customHeight="1">
      <c r="A21" s="19"/>
      <c r="B21" s="19"/>
      <c r="C21" s="19"/>
      <c r="D21" s="20"/>
      <c r="E21" s="20"/>
      <c r="F21" s="20"/>
      <c r="G21" s="20"/>
      <c r="H21" s="20"/>
      <c r="I21" s="20"/>
      <c r="J21" s="20"/>
      <c r="K21" s="18"/>
    </row>
    <row r="22" ht="18.75" customHeight="1">
      <c r="A22" s="19"/>
      <c r="B22" s="19"/>
      <c r="C22" s="19"/>
      <c r="D22" s="20"/>
      <c r="E22" s="20"/>
      <c r="F22" s="20"/>
      <c r="G22" s="19"/>
      <c r="H22" s="20"/>
      <c r="I22" s="20"/>
      <c r="J22" s="20"/>
      <c r="K22" s="18"/>
    </row>
    <row r="23" ht="18.75" customHeight="1">
      <c r="A23" s="19"/>
      <c r="B23" s="19"/>
      <c r="C23" s="19"/>
      <c r="D23" s="20"/>
      <c r="E23" s="20"/>
      <c r="F23" s="20"/>
      <c r="G23" s="19"/>
      <c r="H23" s="20"/>
      <c r="I23" s="20"/>
      <c r="J23" s="20"/>
      <c r="K23" s="18"/>
    </row>
    <row r="24" ht="18.75" customHeight="1">
      <c r="A24" s="19"/>
      <c r="B24" s="19"/>
      <c r="C24" s="19"/>
      <c r="D24" s="20"/>
      <c r="E24" s="20"/>
      <c r="F24" s="20"/>
      <c r="G24" s="20"/>
      <c r="H24" s="20"/>
      <c r="I24" s="20"/>
      <c r="J24" s="20"/>
      <c r="K24" s="18"/>
    </row>
    <row r="25" ht="18.75" customHeight="1">
      <c r="A25" s="19"/>
      <c r="B25" s="19"/>
      <c r="C25" s="19"/>
      <c r="D25" s="20"/>
      <c r="E25" s="20"/>
      <c r="F25" s="20"/>
      <c r="G25" s="20"/>
      <c r="H25" s="20"/>
      <c r="I25" s="20"/>
      <c r="J25" s="20"/>
      <c r="K25" s="18"/>
    </row>
    <row r="26" ht="18.75" customHeight="1">
      <c r="A26" s="19"/>
      <c r="B26" s="19"/>
      <c r="C26" s="19"/>
      <c r="D26" s="20"/>
      <c r="E26" s="20"/>
      <c r="F26" s="20"/>
      <c r="G26" s="20"/>
      <c r="H26" s="20"/>
      <c r="I26" s="20"/>
      <c r="J26" s="20"/>
      <c r="K26" s="18"/>
    </row>
    <row r="27" ht="18.75" customHeight="1">
      <c r="A27" s="19"/>
      <c r="B27" s="19"/>
      <c r="C27" s="19"/>
      <c r="D27" s="20"/>
      <c r="E27" s="20"/>
      <c r="F27" s="20"/>
      <c r="G27" s="20"/>
      <c r="H27" s="20"/>
      <c r="I27" s="20"/>
      <c r="J27" s="20"/>
      <c r="K27" s="18"/>
    </row>
    <row r="28" ht="18.75" customHeight="1">
      <c r="A28" s="19"/>
      <c r="B28" s="19"/>
      <c r="C28" s="19"/>
      <c r="D28" s="20"/>
      <c r="E28" s="20"/>
      <c r="F28" s="20"/>
      <c r="G28" s="20"/>
      <c r="H28" s="20"/>
      <c r="I28" s="20"/>
      <c r="J28" s="20"/>
      <c r="K28" s="18"/>
    </row>
    <row r="29" ht="18.75" customHeight="1">
      <c r="A29" s="19"/>
      <c r="B29" s="19"/>
      <c r="C29" s="19"/>
      <c r="D29" s="20"/>
      <c r="E29" s="20"/>
      <c r="F29" s="20"/>
      <c r="G29" s="20"/>
      <c r="H29" s="20"/>
      <c r="I29" s="20"/>
      <c r="J29" s="20"/>
      <c r="K29" s="18"/>
    </row>
    <row r="30" ht="18.75" customHeight="1">
      <c r="A30" s="19"/>
      <c r="B30" s="19"/>
      <c r="C30" s="19"/>
      <c r="D30" s="20"/>
      <c r="E30" s="20"/>
      <c r="F30" s="20"/>
      <c r="G30" s="20"/>
      <c r="H30" s="20"/>
      <c r="I30" s="20"/>
      <c r="J30" s="20"/>
      <c r="K30" s="18"/>
    </row>
    <row r="31" ht="18.75" customHeight="1">
      <c r="A31" s="19"/>
      <c r="B31" s="19"/>
      <c r="C31" s="19"/>
      <c r="D31" s="20"/>
      <c r="E31" s="20"/>
      <c r="F31" s="20"/>
      <c r="G31" s="20"/>
      <c r="H31" s="20"/>
      <c r="I31" s="20"/>
      <c r="J31" s="20"/>
      <c r="K31" s="18"/>
    </row>
    <row r="32" ht="18.75" customHeight="1">
      <c r="A32" s="19"/>
      <c r="B32" s="19"/>
      <c r="C32" s="19"/>
      <c r="D32" s="20"/>
      <c r="E32" s="20"/>
      <c r="F32" s="20"/>
      <c r="G32" s="20"/>
      <c r="H32" s="20"/>
      <c r="I32" s="20"/>
      <c r="J32" s="20"/>
      <c r="K32" s="18"/>
    </row>
    <row r="33" ht="18.75" customHeight="1">
      <c r="A33" s="19"/>
      <c r="B33" s="19"/>
      <c r="C33" s="19"/>
      <c r="D33" s="20"/>
      <c r="E33" s="20"/>
      <c r="F33" s="20"/>
      <c r="G33" s="19"/>
      <c r="H33" s="20"/>
      <c r="I33" s="20"/>
      <c r="J33" s="20"/>
      <c r="K33" s="18"/>
    </row>
    <row r="34" ht="18.75" customHeight="1">
      <c r="A34" s="19"/>
      <c r="B34" s="19"/>
      <c r="C34" s="19"/>
      <c r="D34" s="20"/>
      <c r="E34" s="20"/>
      <c r="F34" s="20"/>
      <c r="G34" s="20"/>
      <c r="H34" s="20"/>
      <c r="I34" s="20"/>
      <c r="J34" s="20"/>
      <c r="K34" s="18"/>
    </row>
    <row r="35" ht="18.75" customHeight="1">
      <c r="A35" s="19"/>
      <c r="B35" s="19"/>
      <c r="C35" s="19"/>
      <c r="D35" s="20"/>
      <c r="E35" s="20"/>
      <c r="F35" s="20"/>
      <c r="G35" s="20"/>
      <c r="H35" s="20"/>
      <c r="I35" s="20"/>
      <c r="J35" s="20"/>
      <c r="K35" s="18"/>
    </row>
    <row r="36" ht="18.75" customHeight="1">
      <c r="A36" s="19"/>
      <c r="B36" s="19"/>
      <c r="C36" s="19"/>
      <c r="D36" s="20"/>
      <c r="E36" s="20"/>
      <c r="F36" s="20"/>
      <c r="G36" s="20"/>
      <c r="H36" s="20"/>
      <c r="I36" s="20"/>
      <c r="J36" s="20"/>
      <c r="K36" s="18"/>
    </row>
    <row r="37" ht="18.75" customHeight="1">
      <c r="A37" s="19"/>
      <c r="B37" s="19"/>
      <c r="C37" s="19"/>
      <c r="D37" s="20"/>
      <c r="E37" s="20"/>
      <c r="F37" s="20"/>
      <c r="G37" s="20"/>
      <c r="H37" s="20"/>
      <c r="I37" s="20"/>
      <c r="J37" s="20"/>
      <c r="K37" s="18"/>
    </row>
    <row r="38" ht="18.75" customHeight="1">
      <c r="A38" s="19"/>
      <c r="B38" s="19"/>
      <c r="C38" s="19"/>
      <c r="D38" s="20"/>
      <c r="E38" s="20"/>
      <c r="F38" s="20"/>
      <c r="G38" s="20"/>
      <c r="H38" s="20"/>
      <c r="I38" s="20"/>
      <c r="J38" s="20"/>
      <c r="K38" s="18"/>
    </row>
    <row r="39" ht="18.75" customHeight="1">
      <c r="A39" s="19"/>
      <c r="B39" s="19"/>
      <c r="C39" s="19"/>
      <c r="D39" s="20"/>
      <c r="E39" s="20"/>
      <c r="F39" s="20"/>
      <c r="G39" s="20"/>
      <c r="H39" s="20"/>
      <c r="I39" s="20"/>
      <c r="J39" s="20"/>
      <c r="K39" s="18"/>
    </row>
    <row r="40" ht="18.75" customHeight="1">
      <c r="A40" s="19"/>
      <c r="B40" s="19"/>
      <c r="C40" s="19"/>
      <c r="D40" s="20"/>
      <c r="E40" s="20"/>
      <c r="F40" s="20"/>
      <c r="G40" s="20"/>
      <c r="H40" s="20"/>
      <c r="I40" s="20"/>
      <c r="J40" s="20"/>
      <c r="K40" s="18"/>
    </row>
    <row r="41" ht="18.75" customHeight="1">
      <c r="A41" s="19"/>
      <c r="B41" s="19"/>
      <c r="C41" s="19"/>
      <c r="D41" s="20"/>
      <c r="E41" s="20"/>
      <c r="F41" s="20"/>
      <c r="G41" s="20"/>
      <c r="H41" s="20"/>
      <c r="I41" s="20"/>
      <c r="J41" s="20"/>
      <c r="K41" s="18"/>
    </row>
    <row r="42" ht="18.75" customHeight="1">
      <c r="A42" s="19"/>
      <c r="B42" s="19"/>
      <c r="C42" s="19"/>
      <c r="D42" s="20"/>
      <c r="E42" s="20"/>
      <c r="F42" s="20"/>
      <c r="G42" s="20"/>
      <c r="H42" s="20"/>
      <c r="I42" s="20"/>
      <c r="J42" s="20"/>
      <c r="K42" s="18"/>
    </row>
    <row r="43" ht="18.75" customHeight="1">
      <c r="A43" s="19"/>
      <c r="B43" s="19"/>
      <c r="C43" s="19"/>
      <c r="D43" s="20"/>
      <c r="E43" s="20"/>
      <c r="F43" s="19"/>
      <c r="G43" s="20"/>
      <c r="H43" s="20"/>
      <c r="I43" s="20"/>
      <c r="J43" s="20"/>
      <c r="K43" s="18"/>
    </row>
    <row r="44" ht="18.75" customHeight="1">
      <c r="A44" s="19"/>
      <c r="B44" s="19"/>
      <c r="C44" s="19"/>
      <c r="D44" s="20"/>
      <c r="E44" s="20"/>
      <c r="F44" s="19"/>
      <c r="G44" s="20"/>
      <c r="H44" s="20"/>
      <c r="I44" s="20"/>
      <c r="J44" s="20"/>
      <c r="K44" s="18"/>
    </row>
    <row r="45" ht="18.75" customHeight="1">
      <c r="A45" s="19"/>
      <c r="B45" s="19"/>
      <c r="C45" s="19"/>
      <c r="D45" s="20"/>
      <c r="E45" s="20"/>
      <c r="F45" s="19"/>
      <c r="G45" s="20"/>
      <c r="H45" s="20"/>
      <c r="I45" s="20"/>
      <c r="J45" s="20"/>
      <c r="K45" s="18"/>
    </row>
    <row r="46" ht="18.75" customHeight="1">
      <c r="A46" s="19"/>
      <c r="B46" s="19"/>
      <c r="C46" s="19"/>
      <c r="D46" s="20"/>
      <c r="E46" s="20"/>
      <c r="F46" s="19"/>
      <c r="G46" s="20"/>
      <c r="H46" s="20"/>
      <c r="I46" s="20"/>
      <c r="J46" s="20"/>
      <c r="K46" s="18"/>
    </row>
    <row r="47" ht="18.75" customHeight="1">
      <c r="A47" s="19"/>
      <c r="B47" s="19"/>
      <c r="C47" s="19"/>
      <c r="D47" s="20"/>
      <c r="E47" s="20"/>
      <c r="F47" s="19"/>
      <c r="G47" s="20"/>
      <c r="H47" s="20"/>
      <c r="I47" s="20"/>
      <c r="J47" s="20"/>
      <c r="K47" s="18"/>
    </row>
    <row r="48" ht="18.75" customHeight="1">
      <c r="A48" s="19"/>
      <c r="B48" s="19"/>
      <c r="C48" s="19"/>
      <c r="D48" s="20"/>
      <c r="E48" s="20"/>
      <c r="F48" s="19"/>
      <c r="G48" s="20"/>
      <c r="H48" s="20"/>
      <c r="I48" s="20"/>
      <c r="J48" s="20"/>
      <c r="K48" s="18"/>
    </row>
    <row r="49" ht="18.75" customHeight="1">
      <c r="A49" s="19"/>
      <c r="B49" s="19"/>
      <c r="C49" s="19"/>
      <c r="D49" s="20"/>
      <c r="E49" s="20"/>
      <c r="F49" s="19"/>
      <c r="G49" s="20"/>
      <c r="H49" s="20"/>
      <c r="I49" s="20"/>
      <c r="J49" s="20"/>
      <c r="K49" s="18"/>
    </row>
    <row r="50" ht="18.75" customHeight="1">
      <c r="A50" s="19"/>
      <c r="B50" s="19"/>
      <c r="C50" s="19"/>
      <c r="D50" s="20"/>
      <c r="E50" s="20"/>
      <c r="F50" s="19"/>
      <c r="G50" s="20"/>
      <c r="H50" s="20"/>
      <c r="I50" s="20"/>
      <c r="J50" s="20"/>
      <c r="K50" s="18"/>
    </row>
    <row r="51" ht="18.75" customHeight="1">
      <c r="A51" s="19"/>
      <c r="B51" s="19"/>
      <c r="C51" s="19"/>
      <c r="D51" s="20"/>
      <c r="E51" s="20"/>
      <c r="F51" s="19"/>
      <c r="G51" s="20"/>
      <c r="H51" s="20"/>
      <c r="I51" s="20"/>
      <c r="J51" s="20"/>
      <c r="K51" s="18"/>
    </row>
    <row r="52" ht="18.75" customHeight="1">
      <c r="A52" s="19"/>
      <c r="B52" s="19"/>
      <c r="C52" s="19"/>
      <c r="D52" s="20"/>
      <c r="E52" s="20"/>
      <c r="F52" s="19"/>
      <c r="G52" s="20"/>
      <c r="H52" s="20"/>
      <c r="I52" s="20"/>
      <c r="J52" s="20"/>
      <c r="K52" s="18"/>
    </row>
    <row r="53" ht="18.75" customHeight="1">
      <c r="A53" s="19"/>
      <c r="B53" s="19"/>
      <c r="C53" s="19"/>
      <c r="D53" s="20"/>
      <c r="E53" s="20"/>
      <c r="F53" s="19"/>
      <c r="G53" s="20"/>
      <c r="H53" s="20"/>
      <c r="I53" s="20"/>
      <c r="J53" s="20"/>
      <c r="K53" s="18"/>
    </row>
    <row r="54" ht="18.75" customHeight="1">
      <c r="A54" s="19"/>
      <c r="B54" s="19"/>
      <c r="C54" s="19"/>
      <c r="D54" s="20"/>
      <c r="E54" s="20"/>
      <c r="F54" s="19"/>
      <c r="G54" s="20"/>
      <c r="H54" s="20"/>
      <c r="I54" s="20"/>
      <c r="J54" s="20"/>
      <c r="K54" s="18"/>
    </row>
    <row r="55" ht="18.75" customHeight="1">
      <c r="A55" s="19"/>
      <c r="B55" s="19"/>
      <c r="C55" s="19"/>
      <c r="D55" s="20"/>
      <c r="E55" s="20"/>
      <c r="F55" s="19"/>
      <c r="G55" s="20"/>
      <c r="H55" s="20"/>
      <c r="I55" s="20"/>
      <c r="J55" s="20"/>
      <c r="K55" s="18"/>
    </row>
    <row r="56" ht="18.75" customHeight="1">
      <c r="A56" s="19"/>
      <c r="B56" s="19"/>
      <c r="C56" s="19"/>
      <c r="D56" s="20"/>
      <c r="E56" s="20"/>
      <c r="F56" s="19"/>
      <c r="G56" s="20"/>
      <c r="H56" s="20"/>
      <c r="I56" s="20"/>
      <c r="J56" s="20"/>
      <c r="K56" s="18"/>
    </row>
    <row r="57" ht="18.75" customHeight="1">
      <c r="A57" s="19"/>
      <c r="B57" s="19"/>
      <c r="C57" s="19"/>
      <c r="D57" s="20"/>
      <c r="E57" s="20"/>
      <c r="F57" s="19"/>
      <c r="G57" s="20"/>
      <c r="H57" s="20"/>
      <c r="I57" s="20"/>
      <c r="J57" s="20"/>
      <c r="K57" s="18"/>
    </row>
    <row r="58" ht="18.75" customHeight="1">
      <c r="A58" s="19"/>
      <c r="B58" s="19"/>
      <c r="C58" s="19"/>
      <c r="D58" s="20"/>
      <c r="E58" s="20"/>
      <c r="F58" s="19"/>
      <c r="G58" s="20"/>
      <c r="H58" s="20"/>
      <c r="I58" s="20"/>
      <c r="J58" s="20"/>
      <c r="K58" s="18"/>
    </row>
    <row r="59" ht="18.75" customHeight="1">
      <c r="A59" s="19"/>
      <c r="B59" s="19"/>
      <c r="C59" s="19"/>
      <c r="D59" s="20"/>
      <c r="E59" s="20"/>
      <c r="F59" s="19"/>
      <c r="G59" s="20"/>
      <c r="H59" s="20"/>
      <c r="I59" s="20"/>
      <c r="J59" s="20"/>
      <c r="K59" s="18"/>
    </row>
    <row r="60" ht="18.75" customHeight="1">
      <c r="A60" s="19"/>
      <c r="B60" s="19"/>
      <c r="C60" s="19"/>
      <c r="D60" s="20"/>
      <c r="E60" s="20"/>
      <c r="F60" s="19"/>
      <c r="G60" s="20"/>
      <c r="H60" s="20"/>
      <c r="I60" s="20"/>
      <c r="J60" s="20"/>
      <c r="K60" s="18"/>
    </row>
    <row r="61" ht="18.75" customHeight="1">
      <c r="A61" s="19"/>
      <c r="B61" s="19"/>
      <c r="C61" s="19"/>
      <c r="D61" s="20"/>
      <c r="E61" s="20"/>
      <c r="F61" s="19"/>
      <c r="G61" s="20"/>
      <c r="H61" s="20"/>
      <c r="I61" s="20"/>
      <c r="J61" s="20"/>
      <c r="K61" s="18"/>
    </row>
    <row r="62" ht="18.75" customHeight="1">
      <c r="A62" s="19"/>
      <c r="B62" s="19"/>
      <c r="C62" s="19"/>
      <c r="D62" s="20"/>
      <c r="E62" s="20"/>
      <c r="F62" s="19"/>
      <c r="G62" s="20"/>
      <c r="H62" s="20"/>
      <c r="I62" s="20"/>
      <c r="J62" s="20"/>
      <c r="K62" s="18"/>
    </row>
    <row r="63" ht="18.75" customHeight="1">
      <c r="A63" s="19"/>
      <c r="B63" s="19"/>
      <c r="C63" s="19"/>
      <c r="D63" s="20"/>
      <c r="E63" s="20"/>
      <c r="F63" s="19"/>
      <c r="G63" s="20"/>
      <c r="H63" s="20"/>
      <c r="I63" s="20"/>
      <c r="J63" s="20"/>
      <c r="K63" s="18"/>
    </row>
    <row r="64" ht="18.75" customHeight="1">
      <c r="A64" s="19"/>
      <c r="B64" s="19"/>
      <c r="C64" s="19"/>
      <c r="D64" s="20"/>
      <c r="E64" s="20"/>
      <c r="F64" s="19"/>
      <c r="G64" s="20"/>
      <c r="H64" s="20"/>
      <c r="I64" s="20"/>
      <c r="J64" s="20"/>
      <c r="K64" s="18"/>
    </row>
    <row r="65" ht="18.75" customHeight="1">
      <c r="A65" s="19"/>
      <c r="B65" s="19"/>
      <c r="C65" s="19"/>
      <c r="D65" s="20"/>
      <c r="E65" s="20"/>
      <c r="F65" s="19"/>
      <c r="G65" s="20"/>
      <c r="H65" s="20"/>
      <c r="I65" s="20"/>
      <c r="J65" s="20"/>
      <c r="K65" s="18"/>
    </row>
    <row r="66" ht="18.75" customHeight="1">
      <c r="A66" s="19"/>
      <c r="B66" s="19"/>
      <c r="C66" s="19"/>
      <c r="D66" s="20"/>
      <c r="E66" s="20"/>
      <c r="F66" s="19"/>
      <c r="G66" s="20"/>
      <c r="H66" s="20"/>
      <c r="I66" s="20"/>
      <c r="J66" s="20"/>
      <c r="K66" s="18"/>
    </row>
    <row r="67" ht="18.75" customHeight="1">
      <c r="A67" s="19"/>
      <c r="B67" s="19"/>
      <c r="C67" s="19"/>
      <c r="D67" s="20"/>
      <c r="E67" s="20"/>
      <c r="F67" s="19"/>
      <c r="G67" s="19"/>
      <c r="H67" s="20"/>
      <c r="I67" s="20"/>
      <c r="J67" s="20"/>
      <c r="K67" s="18"/>
    </row>
    <row r="68" ht="18.75" customHeight="1">
      <c r="A68" s="19"/>
      <c r="B68" s="19"/>
      <c r="C68" s="19"/>
      <c r="D68" s="20"/>
      <c r="E68" s="20"/>
      <c r="F68" s="19"/>
      <c r="G68" s="20"/>
      <c r="H68" s="20"/>
      <c r="I68" s="20"/>
      <c r="J68" s="20"/>
      <c r="K68" s="18"/>
    </row>
    <row r="69" ht="18.75" customHeight="1">
      <c r="A69" s="19"/>
      <c r="B69" s="19"/>
      <c r="C69" s="19"/>
      <c r="D69" s="20"/>
      <c r="E69" s="20"/>
      <c r="F69" s="19"/>
      <c r="G69" s="20"/>
      <c r="H69" s="20"/>
      <c r="I69" s="20"/>
      <c r="J69" s="20"/>
      <c r="K69" s="18"/>
    </row>
    <row r="70" ht="18.75" customHeight="1">
      <c r="A70" s="19"/>
      <c r="B70" s="19"/>
      <c r="C70" s="19"/>
      <c r="D70" s="20"/>
      <c r="E70" s="20"/>
      <c r="F70" s="19"/>
      <c r="G70" s="20"/>
      <c r="H70" s="20"/>
      <c r="I70" s="20"/>
      <c r="J70" s="20"/>
      <c r="K70" s="18"/>
    </row>
    <row r="71" ht="18.75" customHeight="1">
      <c r="A71" s="19"/>
      <c r="B71" s="19"/>
      <c r="C71" s="19"/>
      <c r="D71" s="20"/>
      <c r="E71" s="20"/>
      <c r="F71" s="19"/>
      <c r="G71" s="20"/>
      <c r="H71" s="20"/>
      <c r="I71" s="20"/>
      <c r="J71" s="20"/>
      <c r="K71" s="18"/>
    </row>
    <row r="72" ht="18.75" customHeight="1">
      <c r="A72" s="19"/>
      <c r="B72" s="19"/>
      <c r="C72" s="19"/>
      <c r="D72" s="20"/>
      <c r="E72" s="20"/>
      <c r="F72" s="19"/>
      <c r="G72" s="20"/>
      <c r="H72" s="20"/>
      <c r="I72" s="20"/>
      <c r="J72" s="20"/>
      <c r="K72" s="18"/>
    </row>
    <row r="73" ht="18.75" customHeight="1">
      <c r="A73" s="19"/>
      <c r="B73" s="19"/>
      <c r="C73" s="19"/>
      <c r="D73" s="20"/>
      <c r="E73" s="20"/>
      <c r="F73" s="19"/>
      <c r="G73" s="20"/>
      <c r="H73" s="20"/>
      <c r="I73" s="20"/>
      <c r="J73" s="20"/>
      <c r="K73" s="18"/>
    </row>
    <row r="74" ht="18.75" customHeight="1">
      <c r="A74" s="19"/>
      <c r="B74" s="19"/>
      <c r="C74" s="19"/>
      <c r="D74" s="20"/>
      <c r="E74" s="20"/>
      <c r="F74" s="19"/>
      <c r="G74" s="20"/>
      <c r="H74" s="20"/>
      <c r="I74" s="20"/>
      <c r="J74" s="20"/>
      <c r="K74" s="18"/>
    </row>
    <row r="75" ht="18.75" customHeight="1">
      <c r="A75" s="19"/>
      <c r="B75" s="19"/>
      <c r="C75" s="19"/>
      <c r="D75" s="20"/>
      <c r="E75" s="20"/>
      <c r="F75" s="19"/>
      <c r="G75" s="20"/>
      <c r="H75" s="20"/>
      <c r="I75" s="20"/>
      <c r="J75" s="20"/>
      <c r="K75" s="18"/>
    </row>
    <row r="76" ht="18.75" customHeight="1">
      <c r="A76" s="19"/>
      <c r="B76" s="19"/>
      <c r="C76" s="19"/>
      <c r="D76" s="20"/>
      <c r="E76" s="20"/>
      <c r="F76" s="19"/>
      <c r="G76" s="20"/>
      <c r="H76" s="20"/>
      <c r="I76" s="20"/>
      <c r="J76" s="20"/>
      <c r="K76" s="18"/>
    </row>
    <row r="77" ht="18.75" customHeight="1">
      <c r="A77" s="19"/>
      <c r="B77" s="19"/>
      <c r="C77" s="19"/>
      <c r="D77" s="20"/>
      <c r="E77" s="20"/>
      <c r="F77" s="19"/>
      <c r="G77" s="20"/>
      <c r="H77" s="20"/>
      <c r="I77" s="20"/>
      <c r="J77" s="20"/>
      <c r="K77" s="18"/>
    </row>
    <row r="78" ht="18.75" customHeight="1">
      <c r="A78" s="19"/>
      <c r="B78" s="19"/>
      <c r="C78" s="19"/>
      <c r="D78" s="20"/>
      <c r="E78" s="20"/>
      <c r="F78" s="19"/>
      <c r="G78" s="20"/>
      <c r="H78" s="20"/>
      <c r="I78" s="20"/>
      <c r="J78" s="20"/>
      <c r="K78" s="18"/>
    </row>
    <row r="79" ht="18.75" customHeight="1">
      <c r="A79" s="19"/>
      <c r="B79" s="19"/>
      <c r="C79" s="19"/>
      <c r="D79" s="20"/>
      <c r="E79" s="20"/>
      <c r="F79" s="19"/>
      <c r="G79" s="20"/>
      <c r="H79" s="20"/>
      <c r="I79" s="20"/>
      <c r="J79" s="20"/>
      <c r="K79" s="18"/>
    </row>
    <row r="80" ht="18.75" customHeight="1">
      <c r="A80" s="19"/>
      <c r="B80" s="19"/>
      <c r="C80" s="19"/>
      <c r="D80" s="20"/>
      <c r="E80" s="20"/>
      <c r="F80" s="19"/>
      <c r="G80" s="20"/>
      <c r="H80" s="20"/>
      <c r="I80" s="20"/>
      <c r="J80" s="20"/>
      <c r="K80" s="18"/>
    </row>
    <row r="81" ht="18.75" customHeight="1">
      <c r="A81" s="19"/>
      <c r="B81" s="19"/>
      <c r="C81" s="19"/>
      <c r="D81" s="20"/>
      <c r="E81" s="20"/>
      <c r="F81" s="19"/>
      <c r="G81" s="20"/>
      <c r="H81" s="20"/>
      <c r="I81" s="20"/>
      <c r="J81" s="20"/>
      <c r="K81" s="18"/>
    </row>
    <row r="82" ht="18.75" customHeight="1">
      <c r="A82" s="19"/>
      <c r="B82" s="19"/>
      <c r="C82" s="19"/>
      <c r="D82" s="20"/>
      <c r="E82" s="20"/>
      <c r="F82" s="19"/>
      <c r="G82" s="20"/>
      <c r="H82" s="20"/>
      <c r="I82" s="20"/>
      <c r="J82" s="20"/>
      <c r="K82" s="18"/>
    </row>
    <row r="83" ht="18.75" customHeight="1">
      <c r="A83" s="19"/>
      <c r="B83" s="19"/>
      <c r="C83" s="19"/>
      <c r="D83" s="20"/>
      <c r="E83" s="20"/>
      <c r="F83" s="19"/>
      <c r="G83" s="20"/>
      <c r="H83" s="20"/>
      <c r="I83" s="20"/>
      <c r="J83" s="20"/>
      <c r="K83" s="18"/>
    </row>
    <row r="84" ht="18.75" customHeight="1">
      <c r="A84" s="19"/>
      <c r="B84" s="19"/>
      <c r="C84" s="19"/>
      <c r="D84" s="20"/>
      <c r="E84" s="20"/>
      <c r="F84" s="19"/>
      <c r="G84" s="20"/>
      <c r="H84" s="20"/>
      <c r="I84" s="20"/>
      <c r="J84" s="20"/>
      <c r="K84" s="18"/>
    </row>
    <row r="85" ht="18.75" customHeight="1">
      <c r="A85" s="19"/>
      <c r="B85" s="19"/>
      <c r="C85" s="19"/>
      <c r="D85" s="20"/>
      <c r="E85" s="20"/>
      <c r="F85" s="19"/>
      <c r="G85" s="20"/>
      <c r="H85" s="20"/>
      <c r="I85" s="20"/>
      <c r="J85" s="20"/>
      <c r="K85" s="18"/>
    </row>
    <row r="86" ht="18.75" customHeight="1">
      <c r="A86" s="19"/>
      <c r="B86" s="19"/>
      <c r="C86" s="19"/>
      <c r="D86" s="20"/>
      <c r="E86" s="20"/>
      <c r="F86" s="19"/>
      <c r="G86" s="20"/>
      <c r="H86" s="20"/>
      <c r="I86" s="20"/>
      <c r="J86" s="20"/>
      <c r="K86" s="18"/>
    </row>
    <row r="87" ht="18.75" customHeight="1">
      <c r="A87" s="19"/>
      <c r="B87" s="19"/>
      <c r="C87" s="19"/>
      <c r="D87" s="20"/>
      <c r="E87" s="20"/>
      <c r="F87" s="19"/>
      <c r="G87" s="21"/>
      <c r="H87" s="20"/>
      <c r="I87" s="20"/>
      <c r="J87" s="20"/>
      <c r="K87" s="18"/>
    </row>
    <row r="88" ht="18.75" customHeight="1">
      <c r="A88" s="19"/>
      <c r="B88" s="19"/>
      <c r="C88" s="19"/>
      <c r="D88" s="20"/>
      <c r="E88" s="20"/>
      <c r="F88" s="19"/>
      <c r="G88" s="19"/>
      <c r="H88" s="20"/>
      <c r="I88" s="20"/>
      <c r="J88" s="20"/>
      <c r="K88" s="18"/>
    </row>
    <row r="89" ht="18.75" customHeight="1">
      <c r="A89" s="19"/>
      <c r="B89" s="19"/>
      <c r="C89" s="19"/>
      <c r="D89" s="20"/>
      <c r="E89" s="20"/>
      <c r="F89" s="19"/>
      <c r="G89" s="19"/>
      <c r="H89" s="20"/>
      <c r="I89" s="20"/>
      <c r="J89" s="20"/>
      <c r="K89" s="18"/>
    </row>
    <row r="90" ht="18.75" customHeight="1">
      <c r="A90" s="19"/>
      <c r="B90" s="19"/>
      <c r="C90" s="19"/>
      <c r="D90" s="20"/>
      <c r="E90" s="20"/>
      <c r="F90" s="19"/>
      <c r="G90" s="20"/>
      <c r="H90" s="20"/>
      <c r="I90" s="20"/>
      <c r="J90" s="20"/>
      <c r="K90" s="18"/>
    </row>
    <row r="91" ht="18.75" customHeight="1">
      <c r="A91" s="19"/>
      <c r="B91" s="19"/>
      <c r="C91" s="19"/>
      <c r="D91" s="20"/>
      <c r="E91" s="20"/>
      <c r="F91" s="19"/>
      <c r="G91" s="21"/>
      <c r="H91" s="20"/>
      <c r="I91" s="20"/>
      <c r="J91" s="20"/>
      <c r="K91" s="18"/>
    </row>
    <row r="92" ht="18.75" customHeight="1">
      <c r="A92" s="19"/>
      <c r="B92" s="19"/>
      <c r="C92" s="19"/>
      <c r="D92" s="20"/>
      <c r="E92" s="20"/>
      <c r="F92" s="19"/>
      <c r="G92" s="20"/>
      <c r="H92" s="20"/>
      <c r="I92" s="20"/>
      <c r="J92" s="20"/>
      <c r="K92" s="18"/>
    </row>
    <row r="93" ht="18.75" customHeight="1">
      <c r="A93" s="19"/>
      <c r="B93" s="19"/>
      <c r="C93" s="19"/>
      <c r="D93" s="20"/>
      <c r="E93" s="20"/>
      <c r="F93" s="19"/>
      <c r="G93" s="20"/>
      <c r="H93" s="20"/>
      <c r="I93" s="20"/>
      <c r="J93" s="20"/>
      <c r="K93" s="18"/>
    </row>
    <row r="94" ht="18.75" customHeight="1">
      <c r="A94" s="19"/>
      <c r="B94" s="19"/>
      <c r="C94" s="19"/>
      <c r="D94" s="20"/>
      <c r="E94" s="20"/>
      <c r="F94" s="19"/>
      <c r="G94" s="20"/>
      <c r="H94" s="20"/>
      <c r="I94" s="20"/>
      <c r="J94" s="20"/>
      <c r="K94" s="18"/>
    </row>
    <row r="95" ht="18.75" customHeight="1">
      <c r="A95" s="19"/>
      <c r="B95" s="19"/>
      <c r="C95" s="19"/>
      <c r="D95" s="20"/>
      <c r="E95" s="20"/>
      <c r="F95" s="19"/>
      <c r="G95" s="20"/>
      <c r="H95" s="20"/>
      <c r="I95" s="20"/>
      <c r="J95" s="20"/>
      <c r="K95" s="18"/>
    </row>
    <row r="96" ht="18.75" customHeight="1">
      <c r="A96" s="19"/>
      <c r="B96" s="19"/>
      <c r="C96" s="19"/>
      <c r="D96" s="20"/>
      <c r="E96" s="20"/>
      <c r="F96" s="19"/>
      <c r="G96" s="20"/>
      <c r="H96" s="20"/>
      <c r="I96" s="20"/>
      <c r="J96" s="20"/>
      <c r="K96" s="18"/>
    </row>
    <row r="97" ht="18.75" customHeight="1">
      <c r="A97" s="19"/>
      <c r="B97" s="19"/>
      <c r="C97" s="19"/>
      <c r="D97" s="20"/>
      <c r="E97" s="20"/>
      <c r="F97" s="19"/>
      <c r="G97" s="20"/>
      <c r="H97" s="20"/>
      <c r="I97" s="20"/>
      <c r="J97" s="20"/>
      <c r="K97" s="18"/>
    </row>
    <row r="98" ht="18.75" customHeight="1">
      <c r="A98" s="19"/>
      <c r="B98" s="19"/>
      <c r="C98" s="19"/>
      <c r="D98" s="20"/>
      <c r="E98" s="20"/>
      <c r="F98" s="19"/>
      <c r="G98" s="20"/>
      <c r="H98" s="20"/>
      <c r="I98" s="20"/>
      <c r="J98" s="20"/>
      <c r="K98" s="18"/>
    </row>
    <row r="99" ht="18.75" customHeight="1">
      <c r="A99" s="19"/>
      <c r="B99" s="19"/>
      <c r="C99" s="19"/>
      <c r="D99" s="20"/>
      <c r="E99" s="20"/>
      <c r="F99" s="19"/>
      <c r="G99" s="20"/>
      <c r="H99" s="20"/>
      <c r="I99" s="20"/>
      <c r="J99" s="20"/>
      <c r="K99" s="18"/>
    </row>
    <row r="100" ht="18.75" customHeight="1">
      <c r="A100" s="19"/>
      <c r="B100" s="19"/>
      <c r="C100" s="19"/>
      <c r="D100" s="20"/>
      <c r="E100" s="20"/>
      <c r="F100" s="19"/>
      <c r="G100" s="20"/>
      <c r="H100" s="20"/>
      <c r="I100" s="20"/>
      <c r="J100" s="20"/>
      <c r="K100" s="18"/>
    </row>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drawing r:id="rId1"/>
</worksheet>
</file>